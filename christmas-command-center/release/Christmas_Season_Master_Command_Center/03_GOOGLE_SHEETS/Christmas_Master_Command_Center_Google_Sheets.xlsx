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VER" state="visible" r:id="rId4"/>
    <sheet sheetId="2" name="START HERE" state="visible" r:id="rId5"/>
    <sheet sheetId="3" name="SETTINGS" state="visible" r:id="rId6"/>
    <sheet sheetId="4" name="DASHBOARD" state="visible" r:id="rId7"/>
    <sheet sheetId="5" name="SEASON VISION" state="visible" r:id="rId8"/>
    <sheet sheetId="6" name="RECIPIENT PROFILES" state="visible" r:id="rId9"/>
    <sheet sheetId="7" name="PEOPLE + BUDGETS" state="visible" r:id="rId10"/>
    <sheet sheetId="8" name="MASTER BUDGET" state="visible" r:id="rId11"/>
    <sheet sheetId="9" name="GIFT PLANNER" state="visible" r:id="rId12"/>
    <sheet sheetId="10" name="STOCKING STUFFERS" state="visible" r:id="rId13"/>
    <sheet sheetId="11" name="ONLINE ORDERS" state="visible" r:id="rId14"/>
    <sheet sheetId="12" name="RETURNS + EXCHANGES" state="visible" r:id="rId15"/>
    <sheet sheetId="13" name="CHRISTMAS CALENDAR" state="visible" r:id="rId16"/>
    <sheet sheetId="14" name="VENDORS + APPOINTMENTS" state="visible" r:id="rId17"/>
    <sheet sheetId="15" name="DECOR INVENTORY" state="visible" r:id="rId18"/>
    <sheet sheetId="16" name="DECORATING PLAN" state="visible" r:id="rId19"/>
    <sheet sheetId="17" name="TABLESCAPE + FLORALS" state="visible" r:id="rId20"/>
    <sheet sheetId="18" name="MEAL + BAKING PLAN" state="visible" r:id="rId21"/>
    <sheet sheetId="19" name="GROCERY LIST" state="visible" r:id="rId22"/>
    <sheet sheetId="20" name="RECIPE INDEX" state="visible" r:id="rId23"/>
    <sheet sheetId="21" name="HOSTING + GUESTS" state="visible" r:id="rId24"/>
    <sheet sheetId="22" name="TRADITIONS + BUCKET LIST" state="visible" r:id="rId25"/>
    <sheet sheetId="23" name="MOVIES + MUSIC" state="visible" r:id="rId26"/>
    <sheet sheetId="24" name="CARDS + MAIL" state="visible" r:id="rId27"/>
    <sheet sheetId="25" name="EVENTS + WARDROBE" state="visible" r:id="rId28"/>
    <sheet sheetId="26" name="TRAVEL PLAN" state="visible" r:id="rId29"/>
    <sheet sheetId="27" name="CLEANING + HOME PREP" state="visible" r:id="rId30"/>
    <sheet sheetId="28" name="DONATIONS + GIVING" state="visible" r:id="rId31"/>
    <sheet sheetId="29" name="ADVENT + REFLECTION" state="visible" r:id="rId32"/>
    <sheet sheetId="30" name="MEMORIES" state="visible" r:id="rId33"/>
    <sheet sheetId="31" name="NEXT YEAR NOTES" state="visible" r:id="rId34"/>
    <sheet sheetId="32" name="ANNUAL ARCHIVE" state="visible" r:id="rId35"/>
    <sheet sheetId="33" name="SHEET INDEX" state="visible" r:id="rId36"/>
    <sheet sheetId="34" name="LISTS" state="visible" r:id="rId37"/>
    <sheet sheetId="35" name="QUALITY CHECK" state="visible" r:id="rId38"/>
  </sheets>
  <definedNames>
    <definedName name="Set_Year">SETTINGS!$C$7</definedName>
    <definedName name="Set_ChristmasDate">SETTINGS!$C$8</definedName>
    <definedName name="Set_SeasonStart">SETTINGS!$C$9</definedName>
    <definedName name="Set_Currency">SETTINGS!$C$10</definedName>
    <definedName name="Set_Household">SETTINGS!$C$11</definedName>
    <definedName name="Set_WarnThreshold">SETTINGS!$C$12</definedName>
    <definedName name="Set_ShipWindow">SETTINGS!$C$13</definedName>
    <definedName name="Set_LowStock">SETTINGS!$C$14</definedName>
    <definedName name="Set_WeekStart">SETTINGS!$C$15</definedName>
    <definedName name="Set_Edition">SETTINGS!$C$16</definedName>
    <definedName name="List_Currency">LISTS!$B$8:$B$12</definedName>
    <definedName name="List_WeekStart">LISTS!$C$8:$C$9</definedName>
    <definedName name="List_YesNo">LISTS!$D$8:$D$9</definedName>
    <definedName name="List_Group">LISTS!$E$8:$E$16</definedName>
    <definedName name="List_BudgetCategory">LISTS!$F$8:$F$19</definedName>
    <definedName name="List_GiftStatus">LISTS!$G$8:$G$13</definedName>
    <definedName name="List_GiftType">LISTS!$H$8:$H$10</definedName>
    <definedName name="List_DeliveryType">LISTS!$I$8:$I$12</definedName>
    <definedName name="List_Priority">LISTS!$J$8:$J$10</definedName>
    <definedName name="List_OrderStatus">LISTS!$K$8:$K$13</definedName>
    <definedName name="List_IssueType">LISTS!$L$8:$L$13</definedName>
    <definedName name="List_ReturnStatus">LISTS!$M$8:$M$13</definedName>
    <definedName name="List_CalendarType">LISTS!$N$8:$N$13</definedName>
    <definedName name="List_CalendarStatus">LISTS!$O$8:$O$13</definedName>
    <definedName name="List_VendorCategory">LISTS!$P$8:$P$17</definedName>
    <definedName name="List_VendorStatus">LISTS!$Q$8:$Q$14</definedName>
    <definedName name="List_DecorCategory">LISTS!$R$8:$R$19</definedName>
    <definedName name="List_Condition">LISTS!$S$8:$S$12</definedName>
    <definedName name="List_Room">LISTS!$T$8:$T$18</definedName>
    <definedName name="List_ApprovalStatus">LISTS!$U$8:$U$11</definedName>
    <definedName name="List_Course">LISTS!$V$8:$V$16</definedName>
    <definedName name="List_MealStatus">LISTS!$W$8:$W$13</definedName>
    <definedName name="List_DietaryTag">LISTS!$X$8:$X$17</definedName>
    <definedName name="List_GroceryCategory">LISTS!$Y$8:$Y$18</definedName>
    <definedName name="List_RecipeCategory">LISTS!$Z$8:$Z$15</definedName>
    <definedName name="List_GuestStatus">LISTS!$AA$8:$AA$13</definedName>
    <definedName name="List_Sleeping">LISTS!$AB$8:$AB$13</definedName>
    <definedName name="List_TraditionCategory">LISTS!$AC$8:$AC$15</definedName>
    <definedName name="List_MediaType">LISTS!$AD$8:$AD$14</definedName>
    <definedName name="List_Audience">LISTS!$AE$8:$AE$12</definedName>
    <definedName name="List_CardStatus">LISTS!$AF$8:$AF$13</definedName>
    <definedName name="List_AddressStatus">LISTS!$AG$8:$AG$11</definedName>
    <definedName name="List_WardrobeStatus">LISTS!$AH$8:$AH$12</definedName>
    <definedName name="List_TravelType">LISTS!$AI$8:$AI$15</definedName>
    <definedName name="List_BookingStatus">LISTS!$AJ$8:$AJ$13</definedName>
    <definedName name="List_Recurrence">LISTS!$AK$8:$AK$13</definedName>
    <definedName name="List_TaskStatus">LISTS!$AL$8:$AL$12</definedName>
    <definedName name="List_GivingType">LISTS!$AM$8:$AM$12</definedName>
    <definedName name="List_Ownership">LISTS!$AN$8:$AN$11</definedName>
    <definedName name="List_Rating">LISTS!$AO$8:$AO$12</definedName>
    <definedName name="List_NextYearTheme">LISTS!$AP$8:$AP$14</definedName>
    <definedName name="List_Relationship">LISTS!$AQ$8:$AQ$20</definedName>
    <definedName name="Vision_Theme">'SEASON VISION'!$C$7</definedName>
    <definedName name="Vision_Feelings">'SEASON VISION'!$C$8</definedName>
    <definedName name="Vision_Colours">'SEASON VISION'!$C$9</definedName>
    <definedName name="Vision_Scent">'SEASON VISION'!$C$10</definedName>
    <definedName name="Vision_Protect">'SEASON VISION'!$C$11</definedName>
    <definedName name="QA_Exceptions">'QUALITY CHECK'!$C$91</definedName>
    <definedName name="_xlnm.Print_Area" localSheetId="0">'COVER'!$A$1:$K$36</definedName>
    <definedName name="_xlnm.Print_Titles" localSheetId="1">'START HERE'!$1:$1</definedName>
    <definedName name="_xlnm.Print_Area" localSheetId="3">'DASHBOARD'!$A$1:$Q$56</definedName>
    <definedName name="_xlnm.Print_Area" localSheetId="4">'SEASON VISION'!$B$1:$H$38</definedName>
    <definedName name="_xlnm.Print_Titles" localSheetId="4">'SEASON VISION'!$B:$C,'SEASON VISION'!$14:$14</definedName>
    <definedName name="_xlnm.Print_Area" localSheetId="5">'RECIPIENT PROFILES'!$B$1:$K$105</definedName>
    <definedName name="_xlnm.Print_Titles" localSheetId="5">'RECIPIENT PROFILES'!$B:$C,'RECIPIENT PROFILES'!$5:$5</definedName>
    <definedName name="_xlnm.Print_Area" localSheetId="6">'PEOPLE + BUDGETS'!$B$1:$K$105</definedName>
    <definedName name="_xlnm.Print_Titles" localSheetId="6">'PEOPLE + BUDGETS'!$B:$C,'PEOPLE + BUDGETS'!$5:$5</definedName>
    <definedName name="_xlnm.Print_Area" localSheetId="7">'MASTER BUDGET'!$B$1:$K$25</definedName>
    <definedName name="_xlnm.Print_Titles" localSheetId="7">'MASTER BUDGET'!$B:$D,'MASTER BUDGET'!$5:$5</definedName>
    <definedName name="_xlnm.Print_Area" localSheetId="8">'GIFT PLANNER'!$B$1:$K$205</definedName>
    <definedName name="_xlnm.Print_Titles" localSheetId="8">'GIFT PLANNER'!$B:$D,'GIFT PLANNER'!$5:$5</definedName>
    <definedName name="_xlnm.Print_Area" localSheetId="9">'STOCKING STUFFERS'!$B$1:$K$155</definedName>
    <definedName name="_xlnm.Print_Titles" localSheetId="9">'STOCKING STUFFERS'!$B:$D,'STOCKING STUFFERS'!$5:$5</definedName>
    <definedName name="_xlnm.Print_Area" localSheetId="10">'ONLINE ORDERS'!$B$1:$K$155</definedName>
    <definedName name="_xlnm.Print_Titles" localSheetId="10">'ONLINE ORDERS'!$B:$C,'ONLINE ORDERS'!$5:$5</definedName>
    <definedName name="_xlnm.Print_Area" localSheetId="11">'RETURNS + EXCHANGES'!$B$1:$K$65</definedName>
    <definedName name="_xlnm.Print_Titles" localSheetId="11">'RETURNS + EXCHANGES'!$B:$C,'RETURNS + EXCHANGES'!$5:$5</definedName>
    <definedName name="_xlnm.Print_Area" localSheetId="12">'CHRISTMAS CALENDAR'!$B$1:$K$205</definedName>
    <definedName name="_xlnm.Print_Titles" localSheetId="12">'CHRISTMAS CALENDAR'!$B:$D,'CHRISTMAS CALENDAR'!$5:$5</definedName>
    <definedName name="_xlnm.Print_Area" localSheetId="13">'VENDORS + APPOINTMENTS'!$B$1:$K$65</definedName>
    <definedName name="_xlnm.Print_Titles" localSheetId="13">'VENDORS + APPOINTMENTS'!$B:$D,'VENDORS + APPOINTMENTS'!$5:$5</definedName>
    <definedName name="_xlnm.Print_Area" localSheetId="14">'DECOR INVENTORY'!$B$1:$K$105</definedName>
    <definedName name="_xlnm.Print_Titles" localSheetId="14">'DECOR INVENTORY'!$B:$C,'DECOR INVENTORY'!$5:$5</definedName>
    <definedName name="_xlnm.Print_Area" localSheetId="15">'DECORATING PLAN'!$B$1:$K$65</definedName>
    <definedName name="_xlnm.Print_Titles" localSheetId="15">'DECORATING PLAN'!$B:$D,'DECORATING PLAN'!$5:$5</definedName>
    <definedName name="_xlnm.Print_Area" localSheetId="16">'TABLESCAPE + FLORALS'!$B$1:$K$65</definedName>
    <definedName name="_xlnm.Print_Titles" localSheetId="16">'TABLESCAPE + FLORALS'!$B:$D,'TABLESCAPE + FLORALS'!$5:$5</definedName>
    <definedName name="_xlnm.Print_Area" localSheetId="17">'MEAL + BAKING PLAN'!$B$1:$K$155</definedName>
    <definedName name="_xlnm.Print_Titles" localSheetId="17">'MEAL + BAKING PLAN'!$B:$E,'MEAL + BAKING PLAN'!$5:$5</definedName>
    <definedName name="_xlnm.Print_Area" localSheetId="18">'GROCERY LIST'!$B$1:$K$205</definedName>
    <definedName name="_xlnm.Print_Titles" localSheetId="18">'GROCERY LIST'!$B:$D,'GROCERY LIST'!$5:$5</definedName>
    <definedName name="_xlnm.Print_Area" localSheetId="19">'RECIPE INDEX'!$B$1:$K$105</definedName>
    <definedName name="_xlnm.Print_Titles" localSheetId="19">'RECIPE INDEX'!$B:$C,'RECIPE INDEX'!$5:$5</definedName>
    <definedName name="_xlnm.Print_Area" localSheetId="20">'HOSTING + GUESTS'!$B$1:$K$105</definedName>
    <definedName name="_xlnm.Print_Titles" localSheetId="20">'HOSTING + GUESTS'!$B:$E,'HOSTING + GUESTS'!$5:$5</definedName>
    <definedName name="_xlnm.Print_Area" localSheetId="21">'TRADITIONS + BUCKET LIST'!$B$1:$K$85</definedName>
    <definedName name="_xlnm.Print_Titles" localSheetId="21">'TRADITIONS + BUCKET LIST'!$B:$D,'TRADITIONS + BUCKET LIST'!$5:$5</definedName>
    <definedName name="_xlnm.Print_Area" localSheetId="22">'MOVIES + MUSIC'!$B$1:$J$85</definedName>
    <definedName name="_xlnm.Print_Titles" localSheetId="22">'MOVIES + MUSIC'!$B:$C,'MOVIES + MUSIC'!$5:$5</definedName>
    <definedName name="_xlnm.Print_Area" localSheetId="23">'CARDS + MAIL'!$B$1:$K$155</definedName>
    <definedName name="_xlnm.Print_Titles" localSheetId="23">'CARDS + MAIL'!$B:$D,'CARDS + MAIL'!$5:$5</definedName>
    <definedName name="_xlnm.Print_Area" localSheetId="24">'EVENTS + WARDROBE'!$B$1:$K$65</definedName>
    <definedName name="_xlnm.Print_Titles" localSheetId="24">'EVENTS + WARDROBE'!$B:$D,'EVENTS + WARDROBE'!$5:$5</definedName>
    <definedName name="_xlnm.Print_Area" localSheetId="25">'TRAVEL PLAN'!$B$1:$K$45</definedName>
    <definedName name="_xlnm.Print_Titles" localSheetId="25">'TRAVEL PLAN'!$B:$D,'TRAVEL PLAN'!$5:$5</definedName>
    <definedName name="_xlnm.Print_Area" localSheetId="26">'CLEANING + HOME PREP'!$B$1:$K$105</definedName>
    <definedName name="_xlnm.Print_Titles" localSheetId="26">'CLEANING + HOME PREP'!$B:$D,'CLEANING + HOME PREP'!$5:$5</definedName>
    <definedName name="_xlnm.Print_Area" localSheetId="27">'DONATIONS + GIVING'!$B$1:$K$65</definedName>
    <definedName name="_xlnm.Print_Titles" localSheetId="27">'DONATIONS + GIVING'!$B:$C,'DONATIONS + GIVING'!$5:$5</definedName>
    <definedName name="_xlnm.Print_Area" localSheetId="28">'ADVENT + REFLECTION'!$B$1:$I$36</definedName>
    <definedName name="_xlnm.Print_Titles" localSheetId="28">'ADVENT + REFLECTION'!$B:$C,'ADVENT + REFLECTION'!$5:$5</definedName>
    <definedName name="_xlnm.Print_Area" localSheetId="29">'MEMORIES'!$B$1:$K$105</definedName>
    <definedName name="_xlnm.Print_Titles" localSheetId="29">'MEMORIES'!$B:$D,'MEMORIES'!$5:$5</definedName>
    <definedName name="_xlnm.Print_Area" localSheetId="30">'NEXT YEAR NOTES'!$B$1:$I$105</definedName>
    <definedName name="_xlnm.Print_Titles" localSheetId="30">'NEXT YEAR NOTES'!$B:$D,'NEXT YEAR NOTES'!$5:$5</definedName>
    <definedName name="_xlnm.Print_Area" localSheetId="31">'ANNUAL ARCHIVE'!$B$1:$J$25</definedName>
    <definedName name="_xlnm.Print_Titles" localSheetId="31">'ANNUAL ARCHIVE'!$B:$C,'ANNUAL ARCHIVE'!$5:$5</definedName>
  </definedNames>
  <calcPr calcId="171027" fullCalcOnLoad="1"/>
</workbook>
</file>

<file path=xl/comments5.xml><?xml version="1.0" encoding="utf-8"?>
<comments xmlns="http://schemas.openxmlformats.org/spreadsheetml/2006/main">
  <authors>
    <author>Author</author>
  </authors>
  <commentList>
    <comment ref="B14" authorId="0">
      <text>
        <r>
          <rPr>
            <color rgb="FF252525"/>
            <sz val="9"/>
            <rFont val="Aptos"/>
          </rPr>
          <t>A stable identifier. It is safe to sort the table — IDs are text, not row numbers. Keep each one unique; QUALITY CHECK reports duplicates.</t>
        </r>
      </text>
    </comment>
    <comment ref="C14" authorId="0">
      <text>
        <r>
          <rPr>
            <color rgb="FF252525"/>
            <sz val="9"/>
            <rFont val="Aptos"/>
          </rPr>
          <t>The dashboard shows the first priority you write here.</t>
        </r>
      </text>
    </comment>
  </commentList>
</comments>
</file>

<file path=xl/comments6.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E5" authorId="0">
      <text>
        <r>
          <rPr>
            <color rgb="FF252525"/>
            <sz val="9"/>
            <rFont val="Aptos"/>
          </rPr>
          <t>Optional. Useful when a Christmas gift and a birthday gift should not be the same thing.</t>
        </r>
      </text>
    </comment>
    <comment ref="F5" authorId="0">
      <text>
        <r>
          <rPr>
            <color rgb="FF252525"/>
            <sz val="9"/>
            <rFont val="Aptos"/>
          </rPr>
          <t>Clothing, shoe, ring, glove — whatever you actually need to remember.</t>
        </r>
      </text>
    </comment>
    <comment ref="J5" authorId="0">
      <text>
        <r>
          <rPr>
            <color rgb="FF252525"/>
            <sz val="9"/>
            <rFont val="Aptos"/>
          </rPr>
          <t>Scent, food, fabric, metal. Optional — leave blank if it does not apply.</t>
        </r>
      </text>
    </comment>
    <comment ref="L5" authorId="0">
      <text>
        <r>
          <rPr>
            <color rgb="FF252525"/>
            <sz val="9"/>
            <rFont val="Aptos"/>
          </rPr>
          <t>Exact letters and order, as you want them engraved.</t>
        </r>
      </text>
    </comment>
    <comment ref="O5" authorId="0">
      <text>
        <r>
          <rPr>
            <color rgb="FF252525"/>
            <sz val="9"/>
            <rFont val="Aptos"/>
          </rPr>
          <t>What you have given in past years, so you do not repeat yourself.</t>
        </r>
      </text>
    </comment>
    <comment ref="Q5" authorId="0">
      <text>
        <r>
          <rPr>
            <color rgb="FF252525"/>
            <sz val="9"/>
            <rFont val="Aptos"/>
          </rPr>
          <t>A private reminder. Nothing here is encrypted — keep it discreet rather than secret.</t>
        </r>
      </text>
    </comment>
  </commentList>
</comments>
</file>

<file path=xl/comments7.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C5" authorId="0">
      <text>
        <r>
          <rPr>
            <color rgb="FF252525"/>
            <sz val="9"/>
            <rFont val="Aptos"/>
          </rPr>
          <t>Required once the row is active. Matches the name on RECIPIENT PROFILES.</t>
        </r>
      </text>
    </comment>
    <comment ref="E5" authorId="0">
      <text>
        <r>
          <rPr>
            <color rgb="FF252525"/>
            <sz val="9"/>
            <rFont val="Aptos"/>
          </rPr>
          <t>What you intend to spend on gifts for this person. Non-negative.</t>
        </r>
      </text>
    </comment>
    <comment ref="O5" authorId="0">
      <text>
        <r>
          <rPr>
            <color rgb="FF252525"/>
            <sz val="9"/>
            <rFont val="Aptos"/>
          </rPr>
          <t>Set to No to keep the record without counting the person in this season's totals.</t>
        </r>
      </text>
    </comment>
  </commentList>
</comments>
</file>

<file path=xl/comments8.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C5" authorId="0">
      <text>
        <r>
          <rPr>
            <color rgb="FF252525"/>
            <sz val="9"/>
            <rFont val="Aptos"/>
          </rPr>
          <t>Set to No to retire a category you are not using. Nothing is deleted.</t>
        </r>
      </text>
    </comment>
    <comment ref="D5" authorId="0">
      <text>
        <r>
          <rPr>
            <color rgb="FF252525"/>
            <sz val="9"/>
            <rFont val="Aptos"/>
          </rPr>
          <t>Rename freely. Source modules match on this text, so rename here and re-pick on the module.</t>
        </r>
      </text>
    </comment>
    <comment ref="E5" authorId="0">
      <text>
        <r>
          <rPr>
            <color rgb="FF252525"/>
            <sz val="9"/>
            <rFont val="Aptos"/>
          </rPr>
          <t>The workbook ships with example figures, shown in amber. Type your own over them.</t>
        </r>
      </text>
    </comment>
    <comment ref="F5" authorId="0">
      <text>
        <r>
          <rPr>
            <color rgb="FF252525"/>
            <sz val="9"/>
            <rFont val="Aptos"/>
          </rPr>
          <t>The sum of every planned cost across the workbook that is tagged with this category. See the mapping table on LISTS.</t>
        </r>
      </text>
    </comment>
    <comment ref="G5" authorId="0">
      <text>
        <r>
          <rPr>
            <color rgb="FF252525"/>
            <sz val="9"/>
            <rFont val="Aptos"/>
          </rPr>
          <t>Money actually spent, less refunds you have confirmed as received.</t>
        </r>
      </text>
    </comment>
  </commentList>
</comments>
</file>

<file path=xl/comments9.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C5" authorId="0">
      <text>
        <r>
          <rPr>
            <color rgb="FF252525"/>
            <sz val="9"/>
            <rFont val="Aptos"/>
          </rPr>
          <t>Type the ID from PEOPLE + BUDGETS. The name beside it fills in when the ID matches; leave it blank if the row does not need one.</t>
        </r>
      </text>
    </comment>
    <comment ref="E5" authorId="0">
      <text>
        <r>
          <rPr>
            <color rgb="FF252525"/>
            <sz val="9"/>
            <rFont val="Aptos"/>
          </rPr>
          <t>A gift is inactive if it was cancelled or returned, or if the recipient is marked inactive. Inactive gifts stay out of every dashboard count.</t>
        </r>
      </text>
    </comment>
    <comment ref="Q5" authorId="0">
      <text>
        <r>
          <rPr>
            <color rgb="FF252525"/>
            <sz val="9"/>
            <rFont val="Aptos"/>
          </rPr>
          <t>Quantity × unit price, less discount, plus planned shipping and tax.</t>
        </r>
      </text>
    </comment>
    <comment ref="R5" authorId="0">
      <text>
        <r>
          <rPr>
            <color rgb="FF252525"/>
            <sz val="9"/>
            <rFont val="Aptos"/>
          </rPr>
          <t>Type what the receipt says. This is what drives the budget, not the estimate.</t>
        </r>
      </text>
    </comment>
    <comment ref="U5" authorId="0">
      <text>
        <r>
          <rPr>
            <color rgb="FF252525"/>
            <sz val="9"/>
            <rFont val="Aptos"/>
          </rPr>
          <t>Type the ID from ONLINE ORDERS. The name beside it fills in when the ID matches; leave it blank if the row does not need one.</t>
        </r>
      </text>
    </comment>
    <comment ref="Y5" authorId="0">
      <text>
        <r>
          <rPr>
            <color rgb="FF252525"/>
            <sz val="9"/>
            <rFont val="Aptos"/>
          </rPr>
          <t>Digital and experience gifts are left out of the wrapping count.</t>
        </r>
      </text>
    </comment>
    <comment ref="AE5" authorId="0">
      <text>
        <r>
          <rPr>
            <color rgb="FF252525"/>
            <sz val="9"/>
            <rFont val="Aptos"/>
          </rPr>
          <t>The same item for the same person appears more than once. Sometimes that is deliberate — this is a nudge, not an error.</t>
        </r>
      </text>
    </comment>
  </commentList>
</comments>
</file>

<file path=xl/comments10.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C5" authorId="0">
      <text>
        <r>
          <rPr>
            <color rgb="FF252525"/>
            <sz val="9"/>
            <rFont val="Aptos"/>
          </rPr>
          <t>Type the ID from PEOPLE + BUDGETS. The name beside it fills in when the ID matches; leave it blank if the row does not need one.</t>
        </r>
      </text>
    </comment>
  </commentList>
</comments>
</file>

<file path=xl/comments11.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E5" authorId="0">
      <text>
        <r>
          <rPr>
            <color rgb="FF252525"/>
            <sz val="9"/>
            <rFont val="Aptos"/>
          </rPr>
          <t>Leave blank and the row reports MISSING DATE rather than pretending to be on time.</t>
        </r>
      </text>
    </comment>
    <comment ref="F5" authorId="0">
      <text>
        <r>
          <rPr>
            <color rgb="FF252525"/>
            <sz val="9"/>
            <rFont val="Aptos"/>
          </rPr>
          <t>Type the ID from PEOPLE + BUDGETS. The name beside it fills in when the ID matches; leave it blank if the row does not need one.</t>
        </r>
      </text>
    </comment>
    <comment ref="I5" authorId="0">
      <text>
        <r>
          <rPr>
            <color rgb="FF252525"/>
            <sz val="9"/>
            <rFont val="Aptos"/>
          </rPr>
          <t>For chasing the parcel and the refund. Budget figures come from the gift rows.</t>
        </r>
      </text>
    </comment>
  </commentList>
</comments>
</file>

<file path=xl/comments12.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C5" authorId="0">
      <text>
        <r>
          <rPr>
            <color rgb="FF252525"/>
            <sz val="9"/>
            <rFont val="Aptos"/>
          </rPr>
          <t>Type the ID from ONLINE ORDERS. The name beside it fills in when the ID matches; leave it blank if the row does not need one.</t>
        </r>
      </text>
    </comment>
    <comment ref="D5" authorId="0">
      <text>
        <r>
          <rPr>
            <color rgb="FF252525"/>
            <sz val="9"/>
            <rFont val="Aptos"/>
          </rPr>
          <t>Type the ID from GIFT PLANNER. The name beside it fills in when the ID matches; leave it blank if the row does not need one.</t>
        </r>
      </text>
    </comment>
    <comment ref="K5" authorId="0">
      <text>
        <r>
          <rPr>
            <color rgb="FF252525"/>
            <sz val="9"/>
            <rFont val="Aptos"/>
          </rPr>
          <t>The category the refund should come back to. Usually the same one the purchase went out of.</t>
        </r>
      </text>
    </comment>
    <comment ref="P5" authorId="0">
      <text>
        <r>
          <rPr>
            <color rgb="FF252525"/>
            <sz val="9"/>
            <rFont val="Aptos"/>
          </rPr>
          <t>Until this says Yes, the refund does not change what you have spent.</t>
        </r>
      </text>
    </comment>
    <comment ref="Q5" authorId="0">
      <text>
        <r>
          <rPr>
            <color rgb="FF252525"/>
            <sz val="9"/>
            <rFont val="Aptos"/>
          </rPr>
          <t>Leave blank if it matched the expected amount exactly.</t>
        </r>
      </text>
    </comment>
    <comment ref="R5" authorId="0">
      <text>
        <r>
          <rPr>
            <color rgb="FF252525"/>
            <sz val="9"/>
            <rFont val="Aptos"/>
          </rPr>
          <t>The figure subtracted from your actual spend. Zero until the refund arrives.</t>
        </r>
      </text>
    </comment>
  </commentList>
</comments>
</file>

<file path=xl/comments13.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G5" authorId="0">
      <text>
        <r>
          <rPr>
            <color rgb="FF252525"/>
            <sz val="9"/>
            <rFont val="Aptos"/>
          </rPr>
          <t>Which part of the season this belongs to — gifts, hosting, décor. Free text on purpose.</t>
        </r>
      </text>
    </comment>
    <comment ref="Q5" authorId="0">
      <text>
        <r>
          <rPr>
            <color rgb="FF252525"/>
            <sz val="9"/>
            <rFont val="Aptos"/>
          </rPr>
          <t>An event that was attended or deliberately skipped is finished, the same as a completed task.</t>
        </r>
      </text>
    </comment>
  </commentList>
</comments>
</file>

<file path=xl/comments14.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I5" authorId="0">
      <text>
        <r>
          <rPr>
            <color rgb="FF252525"/>
            <sz val="9"/>
            <rFont val="Aptos"/>
          </rPr>
          <t>Type the ID from CHRISTMAS CALENDAR. The name beside it fills in when the ID matches; leave it blank if the row does not need one.</t>
        </r>
      </text>
    </comment>
    <comment ref="Q5" authorId="0">
      <text>
        <r>
          <rPr>
            <color rgb="FF252525"/>
            <sz val="9"/>
            <rFont val="Aptos"/>
          </rPr>
          <t>A deposit until the booking is settled, then the full quote. This is the figure the budget uses.</t>
        </r>
      </text>
    </comment>
  </commentList>
</comments>
</file>

<file path=xl/comments15.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M5" authorId="0">
      <text>
        <r>
          <rPr>
            <color rgb="FF252525"/>
            <sz val="9"/>
            <rFont val="Aptos"/>
          </rPr>
          <t>Approved is the only setting that lets a replacement cost reach the budget.</t>
        </r>
      </text>
    </comment>
  </commentList>
</comments>
</file>

<file path=xl/comments16.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E5" authorId="0">
      <text>
        <r>
          <rPr>
            <color rgb="FF252525"/>
            <sz val="9"/>
            <rFont val="Aptos"/>
          </rPr>
          <t>Décor IDs or plain descriptions — whichever you will actually keep up to date.</t>
        </r>
      </text>
    </comment>
  </commentList>
</comments>
</file>

<file path=xl/comments17.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C5" authorId="0">
      <text>
        <r>
          <rPr>
            <color rgb="FF252525"/>
            <sz val="9"/>
            <rFont val="Aptos"/>
          </rPr>
          <t>Type the ID from CHRISTMAS CALENDAR. The name beside it fills in when the ID matches; leave it blank if the row does not need one.</t>
        </r>
      </text>
    </comment>
  </commentList>
</comments>
</file>

<file path=xl/comments18.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D5" authorId="0">
      <text>
        <r>
          <rPr>
            <color rgb="FF252525"/>
            <sz val="9"/>
            <rFont val="Aptos"/>
          </rPr>
          <t>Christmas Eve supper, Christmas lunch, Boxing Day breakfast — whatever you call it.</t>
        </r>
      </text>
    </comment>
    <comment ref="I5" authorId="0">
      <text>
        <r>
          <rPr>
            <color rgb="FF252525"/>
            <sz val="9"/>
            <rFont val="Aptos"/>
          </rPr>
          <t>Type the ID from RECIPE INDEX. The name beside it fills in when the ID matches; leave it blank if the row does not need one.</t>
        </r>
      </text>
    </comment>
    <comment ref="M5" authorId="0">
      <text>
        <r>
          <rPr>
            <color rgb="FF252525"/>
            <sz val="9"/>
            <rFont val="Aptos"/>
          </rPr>
          <t>Plain text on purpose — "40 min at 190°C" is more useful than a number.</t>
        </r>
      </text>
    </comment>
  </commentList>
</comments>
</file>

<file path=xl/comments19.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H5" authorId="0">
      <text>
        <r>
          <rPr>
            <color rgb="FF252525"/>
            <sz val="9"/>
            <rFont val="Aptos"/>
          </rPr>
          <t>Type the ID from RECIPE INDEX. The name beside it fills in when the ID matches; leave it blank if the row does not need one.</t>
        </r>
      </text>
    </comment>
  </commentList>
</comments>
</file>

<file path=xl/comments20.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D5" authorId="0">
      <text>
        <r>
          <rPr>
            <color rgb="FF252525"/>
            <sz val="9"/>
            <rFont val="Aptos"/>
          </rPr>
          <t>A link, a book and page, or a person. Do not paste in a recipe you do not have the right to copy.</t>
        </r>
      </text>
    </comment>
  </commentList>
</comments>
</file>

<file path=xl/comments21.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C5" authorId="0">
      <text>
        <r>
          <rPr>
            <color rgb="FF252525"/>
            <sz val="9"/>
            <rFont val="Aptos"/>
          </rPr>
          <t>Type the ID from PEOPLE + BUDGETS. The name beside it fills in when the ID matches; leave it blank if the row does not need one.</t>
        </r>
      </text>
    </comment>
    <comment ref="F5" authorId="0">
      <text>
        <r>
          <rPr>
            <color rgb="FF252525"/>
            <sz val="9"/>
            <rFont val="Aptos"/>
          </rPr>
          <t>Type the ID from CHRISTMAS CALENDAR. The name beside it fills in when the ID matches; leave it blank if the row does not need one.</t>
        </r>
      </text>
    </comment>
    <comment ref="I5" authorId="0">
      <text>
        <r>
          <rPr>
            <color rgb="FF252525"/>
            <sz val="9"/>
            <rFont val="Aptos"/>
          </rPr>
          <t>Serious allergies belong here and on the meal plan. Say it twice rather than once.</t>
        </r>
      </text>
    </comment>
  </commentList>
</comments>
</file>

<file path=xl/comments22.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M5" authorId="0">
      <text>
        <r>
          <rPr>
            <color rgb="FF252525"/>
            <sz val="9"/>
            <rFont val="Aptos"/>
          </rPr>
          <t>Filled in afterwards. Next year this is the column you will read first.</t>
        </r>
      </text>
    </comment>
  </commentList>
</comments>
</file>

<file path=xl/comments23.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List>
</comments>
</file>

<file path=xl/comments24.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C5" authorId="0">
      <text>
        <r>
          <rPr>
            <color rgb="FF252525"/>
            <sz val="9"/>
            <rFont val="Aptos"/>
          </rPr>
          <t>Type the ID from PEOPLE + BUDGETS. The name beside it fills in when the ID matches; leave it blank if the row does not need one.</t>
        </r>
      </text>
    </comment>
  </commentList>
</comments>
</file>

<file path=xl/comments25.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C5" authorId="0">
      <text>
        <r>
          <rPr>
            <color rgb="FF252525"/>
            <sz val="9"/>
            <rFont val="Aptos"/>
          </rPr>
          <t>Type the ID from CHRISTMAS CALENDAR. The name beside it fills in when the ID matches; leave it blank if the row does not need one.</t>
        </r>
      </text>
    </comment>
  </commentList>
</comments>
</file>

<file path=xl/comments26.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 ref="Q5" authorId="0">
      <text>
        <r>
          <rPr>
            <color rgb="FF252525"/>
            <sz val="9"/>
            <rFont val="Aptos"/>
          </rPr>
          <t>What to bring, not the document itself. Never keep passport or card numbers in a spreadsheet.</t>
        </r>
      </text>
    </comment>
  </commentList>
</comments>
</file>

<file path=xl/comments27.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List>
</comments>
</file>

<file path=xl/comments28.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List>
</comments>
</file>

<file path=xl/comments29.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List>
</comments>
</file>

<file path=xl/comments30.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List>
</comments>
</file>

<file path=xl/comments31.xml><?xml version="1.0" encoding="utf-8"?>
<comments xmlns="http://schemas.openxmlformats.org/spreadsheetml/2006/main">
  <authors>
    <author>Author</author>
  </authors>
  <commentList>
    <comment ref="B5" authorId="0">
      <text>
        <r>
          <rPr>
            <color rgb="FF252525"/>
            <sz val="9"/>
            <rFont val="Aptos"/>
          </rPr>
          <t>A stable identifier. It is safe to sort the table — IDs are text, not row numbers. Keep each one unique; QUALITY CHECK reports duplicates.</t>
        </r>
      </text>
    </comment>
  </commentList>
</comments>
</file>

<file path=xl/sharedStrings.xml><?xml version="1.0" encoding="utf-8"?>
<sst xmlns="http://schemas.openxmlformats.org/spreadsheetml/2006/main" count="2426" uniqueCount="1281">
  <si>
    <t>A PRIVATE CHRISTMAS ATELIER</t>
  </si>
  <si>
    <t>The Christmas Season</t>
  </si>
  <si>
    <t>Master Command Center</t>
  </si>
  <si>
    <t>Curate every exquisite detail in one private Christmas atelier.</t>
  </si>
  <si>
    <t>Begin here  →  START HERE</t>
  </si>
  <si>
    <t>Straight to the dashboard  →  DASHBOARD</t>
  </si>
  <si>
    <t>[SELLER BRAND] · For your own household. Not for resale, redistribution or sharing.</t>
  </si>
  <si>
    <t>See TERMS OF USE, included with your download, for the full licence.</t>
  </si>
  <si>
    <t>Dashboard</t>
  </si>
  <si>
    <t>Start here</t>
  </si>
  <si>
    <t>Calendar</t>
  </si>
  <si>
    <t>Budget</t>
  </si>
  <si>
    <t>All sheets</t>
  </si>
  <si>
    <t>Six steps, ten minutes, and the rest of the season has somewhere to live.</t>
  </si>
  <si>
    <t xml:space="preserve"> </t>
  </si>
  <si>
    <t>Setting up</t>
  </si>
  <si>
    <t>1</t>
  </si>
  <si>
    <t>Save a clean copy first</t>
  </si>
  <si>
    <t>Before you type anything, save a copy called “master”. Come next year you will want an empty one to start from.</t>
  </si>
  <si>
    <t>2</t>
  </si>
  <si>
    <t>Set up SETTINGS</t>
  </si>
  <si>
    <t>Year, Christmas date, season start, currency and household name. Everything else reads from there.</t>
  </si>
  <si>
    <t>3</t>
  </si>
  <si>
    <t>Add people before gifts</t>
  </si>
  <si>
    <t>Fill in PEOPLE + BUDGETS, then RECIPIENT PROFILES if you like keeping notes. Gift rows attach to a Person ID.</t>
  </si>
  <si>
    <t>4</t>
  </si>
  <si>
    <t>Choose your modules</t>
  </si>
  <si>
    <t>Use what suits you. TRAVEL PLAN, ADVENT + REFLECTION and MOVIES + MUSIC hide cleanly — right-click the tab and choose Hide.</t>
  </si>
  <si>
    <t>5</t>
  </si>
  <si>
    <t>Write the season vision</t>
  </si>
  <si>
    <t>Five lines on SEASON VISION, and the first few dates on CHRISTMAS CALENDAR.</t>
  </si>
  <si>
    <t>6</t>
  </si>
  <si>
    <t>Go to the dashboard</t>
  </si>
  <si>
    <t>It will tell you what is unfinished. Work down the attention board; that is the whole method.</t>
  </si>
  <si>
    <t>What the colours mean</t>
  </si>
  <si>
    <t>Cream</t>
  </si>
  <si>
    <t>Yours to fill in.</t>
  </si>
  <si>
    <t>Pale green</t>
  </si>
  <si>
    <t>Calculates itself. Locked so it cannot be typed over by accident.</t>
  </si>
  <si>
    <t>Amber</t>
  </si>
  <si>
    <t>Either an example row to delete, or something asking for attention.</t>
  </si>
  <si>
    <t>Rose</t>
  </si>
  <si>
    <t>Over budget, overdue or late. Read the word in the cell — the colour is never the whole story.</t>
  </si>
  <si>
    <t>Every colour is backed by a word. If you cannot see the fill, the cell still says OVERDUE, NEAR LIMIT or ON TRACK.</t>
  </si>
  <si>
    <t>Working in the workbook</t>
  </si>
  <si>
    <t>Filters</t>
  </si>
  <si>
    <t>Every tracker has them, on the header row. Filter, do not delete.</t>
  </si>
  <si>
    <t>Sorting</t>
  </si>
  <si>
    <t>Safe. IDs are typed text, not row numbers, so nothing comes unstuck when you re-order a table.</t>
  </si>
  <si>
    <t>Adding rows</t>
  </si>
  <si>
    <t>Insert a row inside the table — click a row in the middle, not the one after the last. Formulas and dropdowns come with it. Then copy a calculated cell down into the new row.</t>
  </si>
  <si>
    <t>Dropdown lists</t>
  </si>
  <si>
    <t>They live on LISTS. To add a value, insert a row inside the block rather than below it, and every dropdown that uses it widens automatically.</t>
  </si>
  <si>
    <t>Hiding a module</t>
  </si>
  <si>
    <t>Right-click the tab and choose Hide. Nothing breaks: every total reads an empty sheet as zero.</t>
  </si>
  <si>
    <t>Unprotecting</t>
  </si>
  <si>
    <t>Review, then Unprotect Sheet. There is no password. The lock is only there to stop a calculation being typed over by accident.</t>
  </si>
  <si>
    <t>Examples</t>
  </si>
  <si>
    <t>Three amber rows on each tracker, every one marked EXAMPLE — DELETE ME. Delete the contents when you are ready; deleting them breaks nothing.</t>
  </si>
  <si>
    <t>Printing</t>
  </si>
  <si>
    <t>The dashboard prints as two pages. A tracker prints its first columns — the ones worth carrying to the shops — at full size. To print the whole table instead, go to Page Layout, Print Area, Clear. Filter the sheet first either way, or you will print every empty row.</t>
  </si>
  <si>
    <t>Putting the year away</t>
  </si>
  <si>
    <t>1.</t>
  </si>
  <si>
    <t>Save this year’s workbook under its own name — “Christmas 2026”, and leave it alone.</t>
  </si>
  <si>
    <t>2.</t>
  </si>
  <si>
    <t>Open your clean master copy, or copy the figures below into ANNUAL ARCHIVE before you clear anything.</t>
  </si>
  <si>
    <t>3.</t>
  </si>
  <si>
    <t>From MASTER BUDGET copy the Budget and Actual totals; from the dashboard, gifts given and guests hosted.</t>
  </si>
  <si>
    <t>4.</t>
  </si>
  <si>
    <t>Delete the contents of the cream cells on each tracker. Do not delete rows, and do not touch the pale green columns.</t>
  </si>
  <si>
    <t>5.</t>
  </si>
  <si>
    <t>Update the year on SETTINGS. The countdown, the calendar and every label follow it.</t>
  </si>
  <si>
    <t>6.</t>
  </si>
  <si>
    <t>Read NEXT YEAR NOTES before you plan anything. That is what it was for.</t>
  </si>
  <si>
    <t>A note on what you keep here</t>
  </si>
  <si>
    <t>This is an ordinary spreadsheet on your own device. It is not encrypted, and anyone who opens the file can read it. Keep hiding places, sizes and preferences here if they help you plan. Keep card numbers, passwords and identity documents somewhere else.</t>
  </si>
  <si>
    <t>Set in Georgia and Aptos so it looks the same on every machine. If you own Cormorant Garamond, select the workbook and change the heading font — the layout is built to take it.</t>
  </si>
  <si>
    <t>Settings</t>
  </si>
  <si>
    <t>Nine decisions the whole workbook reads from. Set them once, at the start of the season.</t>
  </si>
  <si>
    <t>Cream cells are yours · the edition below is fixed · everything else in the workbook follows these values</t>
  </si>
  <si>
    <t>Christmas year</t>
  </si>
  <si>
    <t>The season this copy of the workbook plans. Change it once, at the start of the season.</t>
  </si>
  <si>
    <t>Christmas date</t>
  </si>
  <si>
    <t>Defaults to 25 December of the year above. Edit only if you keep Christmas on another day.</t>
  </si>
  <si>
    <t>Season start</t>
  </si>
  <si>
    <t>The date your planning calendar opens. 1 September by default.</t>
  </si>
  <si>
    <t>Currency symbol</t>
  </si>
  <si>
    <t>CAD</t>
  </si>
  <si>
    <t>Sets the symbol shown beside every amount.</t>
  </si>
  <si>
    <t>Household / planner name</t>
  </si>
  <si>
    <t>Used in the welcome line on the cover and dashboard. Leave blank if you prefer.</t>
  </si>
  <si>
    <t>Budget warning threshold</t>
  </si>
  <si>
    <t>The share of a budget that turns a category amber. 90% by default.</t>
  </si>
  <si>
    <t>Shipping risk window (days)</t>
  </si>
  <si>
    <t>How many days before an expected delivery an order without tracking starts asking for attention.</t>
  </si>
  <si>
    <t>Low-stock threshold</t>
  </si>
  <si>
    <t>Décor quantity at or below this prompts a replacement note.</t>
  </si>
  <si>
    <t>Week starts</t>
  </si>
  <si>
    <t>Sunday</t>
  </si>
  <si>
    <t>Sunday or Monday, for calendar week numbers.</t>
  </si>
  <si>
    <t>Edition</t>
  </si>
  <si>
    <t>1.0</t>
  </si>
  <si>
    <t>The version of this workbook. Quote it if you contact support.</t>
  </si>
  <si>
    <t>What these change</t>
  </si>
  <si>
    <t>The countdown, every label that names the year, and the default Christmas date.</t>
  </si>
  <si>
    <t>When a category turns amber instead of green. Lower it if you want warning sooner.</t>
  </si>
  <si>
    <t>Shipping risk window</t>
  </si>
  <si>
    <t>How many days out an order with no tracking starts asking to be chased.</t>
  </si>
  <si>
    <t>When DÉCOR INVENTORY says LOW rather than IN STOCK.</t>
  </si>
  <si>
    <t>The symbol on every amount. It does not convert anything — one workbook, one currency.</t>
  </si>
  <si>
    <t>Every figure below is calculated. Follow a card to its sheet using the strip above, or the SHEET INDEX.</t>
  </si>
  <si>
    <t>DAYS TO CHRISTMAS</t>
  </si>
  <si>
    <t>BUDGET SET</t>
  </si>
  <si>
    <t>SPENT SO FAR</t>
  </si>
  <si>
    <t>REMAINING</t>
  </si>
  <si>
    <t>The total of every category on MASTER BUDGET.</t>
  </si>
  <si>
    <t>GIFTS CHOSEN</t>
  </si>
  <si>
    <t>WRAPPED</t>
  </si>
  <si>
    <t>DELIVERED</t>
  </si>
  <si>
    <t>ON THE LIST</t>
  </si>
  <si>
    <t>What needs you</t>
  </si>
  <si>
    <t>This season</t>
  </si>
  <si>
    <t>categories over budget</t>
  </si>
  <si>
    <t>MASTER BUDGET</t>
  </si>
  <si>
    <t>This year is for</t>
  </si>
  <si>
    <t>categories near their limit</t>
  </si>
  <si>
    <t>It should feel</t>
  </si>
  <si>
    <t>gifts still to choose or buy</t>
  </si>
  <si>
    <t>GIFT PLANNER</t>
  </si>
  <si>
    <t>First priority</t>
  </si>
  <si>
    <t>bought gifts not yet wrapped</t>
  </si>
  <si>
    <t>Next tradition</t>
  </si>
  <si>
    <t>orders running late</t>
  </si>
  <si>
    <t>ONLINE ORDERS</t>
  </si>
  <si>
    <t>Protecting</t>
  </si>
  <si>
    <t>orders with no tracking yet</t>
  </si>
  <si>
    <t>orders with no expected date</t>
  </si>
  <si>
    <t>The next seven days</t>
  </si>
  <si>
    <t>return windows closing this week</t>
  </si>
  <si>
    <t>refunds owed to you</t>
  </si>
  <si>
    <t>RETURNS + EXCHANGES</t>
  </si>
  <si>
    <t>tasks and events overdue</t>
  </si>
  <si>
    <t>CHRISTMAS CALENDAR</t>
  </si>
  <si>
    <t>things still to buy for the table</t>
  </si>
  <si>
    <t>GROCERY LIST</t>
  </si>
  <si>
    <t>items on QUALITY CHECK</t>
  </si>
  <si>
    <t>QUALITY CHECK</t>
  </si>
  <si>
    <t>Where the money is going</t>
  </si>
  <si>
    <t>How far along you are</t>
  </si>
  <si>
    <t>Chart data — calculated. Safe to ignore; it is what the two charts above read.</t>
  </si>
  <si>
    <t>Category</t>
  </si>
  <si>
    <t>Spent</t>
  </si>
  <si>
    <t>Progress</t>
  </si>
  <si>
    <t>Done</t>
  </si>
  <si>
    <t>Gifts chosen</t>
  </si>
  <si>
    <t>Wrapped</t>
  </si>
  <si>
    <t>Delivered</t>
  </si>
  <si>
    <t>On the list</t>
  </si>
  <si>
    <t>SEASON VISION</t>
  </si>
  <si>
    <t>What you want this Christmas to feel like, written down before the list-making starts.</t>
  </si>
  <si>
    <t>Cream cells are yours to fill in · pale green cells calculate themselves · amber rows are examples you can delete</t>
  </si>
  <si>
    <t>The season in five lines</t>
  </si>
  <si>
    <t>This year's theme</t>
  </si>
  <si>
    <t>Quieter, warmer, fewer things</t>
  </si>
  <si>
    <t>Three words for how it should feel</t>
  </si>
  <si>
    <t>Unhurried · candlelit · generous</t>
  </si>
  <si>
    <t>Colour story</t>
  </si>
  <si>
    <t>Evergreen, ivory, one note of oxblood</t>
  </si>
  <si>
    <t>Scent and sound</t>
  </si>
  <si>
    <t>Bitter orange, woodsmoke, the old carols</t>
  </si>
  <si>
    <t>What you are protecting this year</t>
  </si>
  <si>
    <t>The mornings. Nothing booked before eleven.</t>
  </si>
  <si>
    <t>The amber lines above are examples — write over them. The dashboard shows the theme, the feeling and the first priority below.</t>
  </si>
  <si>
    <t>Priority ID</t>
  </si>
  <si>
    <t>Priority</t>
  </si>
  <si>
    <t>Why it matters</t>
  </si>
  <si>
    <t>Owner</t>
  </si>
  <si>
    <t>Non-negotiable?</t>
  </si>
  <si>
    <t>Inspiration link</t>
  </si>
  <si>
    <t>Notes</t>
  </si>
  <si>
    <t>QA · duplicate ID</t>
  </si>
  <si>
    <t>VN-001</t>
  </si>
  <si>
    <t>Christmas Eve supper with only the six of us</t>
  </si>
  <si>
    <t>It is the part everyone remembers</t>
  </si>
  <si>
    <t>Me</t>
  </si>
  <si>
    <t>Yes</t>
  </si>
  <si>
    <t>EXAMPLE — DELETE ME</t>
  </si>
  <si>
    <t>VN-002</t>
  </si>
  <si>
    <t>Every gift chosen by the end of November</t>
  </si>
  <si>
    <t>December should be for people, not parcels</t>
  </si>
  <si>
    <t>VN-003</t>
  </si>
  <si>
    <t>One afternoon with nothing in it at all</t>
  </si>
  <si>
    <t>Last year there was not one</t>
  </si>
  <si>
    <t>Both</t>
  </si>
  <si>
    <t>No</t>
  </si>
  <si>
    <t>RECIPIENT PROFILES</t>
  </si>
  <si>
    <t>What you know about the people you are giving to, so a gift never has to be guessed at twice.</t>
  </si>
  <si>
    <t>Person ID</t>
  </si>
  <si>
    <t>Name</t>
  </si>
  <si>
    <t>Relationship</t>
  </si>
  <si>
    <t>Birthday</t>
  </si>
  <si>
    <t>Sizes</t>
  </si>
  <si>
    <t>Preferred colours</t>
  </si>
  <si>
    <t>Interests</t>
  </si>
  <si>
    <t>Dislikes</t>
  </si>
  <si>
    <t>Sensitivities / allergies</t>
  </si>
  <si>
    <t>Favourite makers</t>
  </si>
  <si>
    <t>Monogram / engraving</t>
  </si>
  <si>
    <t>Preferred charities</t>
  </si>
  <si>
    <t>Address status</t>
  </si>
  <si>
    <t>Given before</t>
  </si>
  <si>
    <t>Do not repeat</t>
  </si>
  <si>
    <t>Where it is hidden</t>
  </si>
  <si>
    <t>P-001</t>
  </si>
  <si>
    <t>Eleanor Whitmore</t>
  </si>
  <si>
    <t>Parent</t>
  </si>
  <si>
    <t>Cashmere M · glove 7</t>
  </si>
  <si>
    <t>Camel, ivory, deep green</t>
  </si>
  <si>
    <t>Gardening, Elgar, letter writing</t>
  </si>
  <si>
    <t>Anything battery powered</t>
  </si>
  <si>
    <t>Wool next to skin</t>
  </si>
  <si>
    <t>Smythson, Crabtree</t>
  </si>
  <si>
    <t>E.M.W.</t>
  </si>
  <si>
    <t>Confirmed</t>
  </si>
  <si>
    <t>2024 silk scarf · 2023 secateurs</t>
  </si>
  <si>
    <t>Scented candles</t>
  </si>
  <si>
    <t>Cedar chest, guest room</t>
  </si>
  <si>
    <t>P-002</t>
  </si>
  <si>
    <t>James Whitmore</t>
  </si>
  <si>
    <t>Spouse or partner</t>
  </si>
  <si>
    <t>Shirt 16 · shoe 10</t>
  </si>
  <si>
    <t>Navy, oxblood</t>
  </si>
  <si>
    <t>Sailing, single malt, Ordnance Survey maps</t>
  </si>
  <si>
    <t>Novelty anything</t>
  </si>
  <si>
    <t>Barbour, Dents</t>
  </si>
  <si>
    <t>J.A.W.</t>
  </si>
  <si>
    <t>2024 chart of the Solent</t>
  </si>
  <si>
    <t>Ties</t>
  </si>
  <si>
    <t>Top of the linen cupboard</t>
  </si>
  <si>
    <t>P-003</t>
  </si>
  <si>
    <t>Sofia Lindqvist</t>
  </si>
  <si>
    <t>Friend</t>
  </si>
  <si>
    <t>Ink blue</t>
  </si>
  <si>
    <t>Ceramics, cold-water swimming</t>
  </si>
  <si>
    <t>Nut allergy — serious</t>
  </si>
  <si>
    <t>Local river trust</t>
  </si>
  <si>
    <t>Needs checking</t>
  </si>
  <si>
    <t>Keep only what helps you give well. Do not store payment card numbers, government ID numbers, passwords, or anything you would not want in a spreadsheet.</t>
  </si>
  <si>
    <t>PEOPLE + BUDGETS</t>
  </si>
  <si>
    <t>Who you are giving to this year, and what you intend to spend on each of them.</t>
  </si>
  <si>
    <t>Group</t>
  </si>
  <si>
    <t>Gift budget</t>
  </si>
  <si>
    <t>Stocking budget</t>
  </si>
  <si>
    <t>Total budget</t>
  </si>
  <si>
    <t>Gifts planned</t>
  </si>
  <si>
    <t>Gifts actual</t>
  </si>
  <si>
    <t>Stockings planned</t>
  </si>
  <si>
    <t>Stockings actual</t>
  </si>
  <si>
    <t>Spent so far</t>
  </si>
  <si>
    <t>Remaining</t>
  </si>
  <si>
    <t>Status</t>
  </si>
  <si>
    <t>Active?</t>
  </si>
  <si>
    <t>Immediate family</t>
  </si>
  <si>
    <t>Friends</t>
  </si>
  <si>
    <t>What you set aside, what is planned against it, and what has actually left your account.</t>
  </si>
  <si>
    <t>Category ID</t>
  </si>
  <si>
    <t>In use?</t>
  </si>
  <si>
    <t>Planned</t>
  </si>
  <si>
    <t>Actual</t>
  </si>
  <si>
    <t>Used</t>
  </si>
  <si>
    <t>Chart rank key</t>
  </si>
  <si>
    <t>B-001</t>
  </si>
  <si>
    <t>Gifts</t>
  </si>
  <si>
    <t>EXAMPLE FIGURE — type your own over it</t>
  </si>
  <si>
    <t>B-002</t>
  </si>
  <si>
    <t>Stockings</t>
  </si>
  <si>
    <t>B-003</t>
  </si>
  <si>
    <t>Decorations</t>
  </si>
  <si>
    <t>B-004</t>
  </si>
  <si>
    <t>Food &amp; Baking</t>
  </si>
  <si>
    <t>B-005</t>
  </si>
  <si>
    <t>Cards &amp; Postage</t>
  </si>
  <si>
    <t>B-006</t>
  </si>
  <si>
    <t>Events</t>
  </si>
  <si>
    <t>B-007</t>
  </si>
  <si>
    <t>Outfits</t>
  </si>
  <si>
    <t>B-008</t>
  </si>
  <si>
    <t>Travel</t>
  </si>
  <si>
    <t>B-009</t>
  </si>
  <si>
    <t>Donations</t>
  </si>
  <si>
    <t>B-010</t>
  </si>
  <si>
    <t>Hosting</t>
  </si>
  <si>
    <t>B-011</t>
  </si>
  <si>
    <t>Photography</t>
  </si>
  <si>
    <t>B-012</t>
  </si>
  <si>
    <t>Other</t>
  </si>
  <si>
    <t>Every gift from first idea to wrapped and under the tree.</t>
  </si>
  <si>
    <t>Gift ID</t>
  </si>
  <si>
    <t>Recipient</t>
  </si>
  <si>
    <t>Gift / item</t>
  </si>
  <si>
    <t>Budget category</t>
  </si>
  <si>
    <t>Idea from</t>
  </si>
  <si>
    <t>Link or SKU</t>
  </si>
  <si>
    <t>Store</t>
  </si>
  <si>
    <t>Qty</t>
  </si>
  <si>
    <t>Unit price</t>
  </si>
  <si>
    <t>Discount</t>
  </si>
  <si>
    <t>Ship (planned)</t>
  </si>
  <si>
    <t>Tax (planned)</t>
  </si>
  <si>
    <t>Planned cost</t>
  </si>
  <si>
    <t>Actual cost</t>
  </si>
  <si>
    <t>Purchased?</t>
  </si>
  <si>
    <t>Order ID</t>
  </si>
  <si>
    <t>Delivery</t>
  </si>
  <si>
    <t>Arrived?</t>
  </si>
  <si>
    <t>Hidden where</t>
  </si>
  <si>
    <t>Gift type</t>
  </si>
  <si>
    <t>Wrapped?</t>
  </si>
  <si>
    <t>Tag / card?</t>
  </si>
  <si>
    <t>Bought on</t>
  </si>
  <si>
    <t>Return by</t>
  </si>
  <si>
    <t>Duplicate key</t>
  </si>
  <si>
    <t>Duplicate?</t>
  </si>
  <si>
    <t>QA · budget mapping</t>
  </si>
  <si>
    <t>QA · Person ID exists</t>
  </si>
  <si>
    <t>QA · Order ID exists</t>
  </si>
  <si>
    <t>G-001</t>
  </si>
  <si>
    <t>Hand-thrown stoneware jug</t>
  </si>
  <si>
    <t>Must</t>
  </si>
  <si>
    <t>Her own wish list</t>
  </si>
  <si>
    <t>Levens Pottery</t>
  </si>
  <si>
    <t>Purchased</t>
  </si>
  <si>
    <t>O-001</t>
  </si>
  <si>
    <t>Ship to home</t>
  </si>
  <si>
    <t>Physical</t>
  </si>
  <si>
    <t>G-002</t>
  </si>
  <si>
    <t>Chart of the Western Isles, framed</t>
  </si>
  <si>
    <t>Should</t>
  </si>
  <si>
    <t>Overheard in October</t>
  </si>
  <si>
    <t>Marine Charts Co.</t>
  </si>
  <si>
    <t>In Cart</t>
  </si>
  <si>
    <t>Store pickup</t>
  </si>
  <si>
    <t>G-003</t>
  </si>
  <si>
    <t>Winter swimming membership</t>
  </si>
  <si>
    <t>Could</t>
  </si>
  <si>
    <t>Her cold-water habit</t>
  </si>
  <si>
    <t>Lido Society</t>
  </si>
  <si>
    <t>Digital delivery</t>
  </si>
  <si>
    <t>Experience</t>
  </si>
  <si>
    <t>STOCKING STUFFERS</t>
  </si>
  <si>
    <t>The small things, kept to a number you decided in advance.</t>
  </si>
  <si>
    <t>Item ID</t>
  </si>
  <si>
    <t>Item</t>
  </si>
  <si>
    <t>In the stocking?</t>
  </si>
  <si>
    <t>S-001</t>
  </si>
  <si>
    <t>Seville marmalade, small jar</t>
  </si>
  <si>
    <t>The Deli</t>
  </si>
  <si>
    <t>S-002</t>
  </si>
  <si>
    <t>Pocket notebook, oxblood</t>
  </si>
  <si>
    <t>Papeterie</t>
  </si>
  <si>
    <t>Idea</t>
  </si>
  <si>
    <t>S-003</t>
  </si>
  <si>
    <t>Beeswax hand balm</t>
  </si>
  <si>
    <t>Apothecary Row</t>
  </si>
  <si>
    <t>What is on its way, when it should arrive, and what still needs chasing.</t>
  </si>
  <si>
    <t>Ordered</t>
  </si>
  <si>
    <t>Expected</t>
  </si>
  <si>
    <t>Items</t>
  </si>
  <si>
    <t>Order total</t>
  </si>
  <si>
    <t>Tracking number or link</t>
  </si>
  <si>
    <t>Arrived on</t>
  </si>
  <si>
    <t>Issue</t>
  </si>
  <si>
    <t>Refund expected</t>
  </si>
  <si>
    <t>Refund received?</t>
  </si>
  <si>
    <t>Attention</t>
  </si>
  <si>
    <t>Return window</t>
  </si>
  <si>
    <t>Stoneware jug</t>
  </si>
  <si>
    <t>RM-4471-2290-GB</t>
  </si>
  <si>
    <t>Arrived</t>
  </si>
  <si>
    <t>None</t>
  </si>
  <si>
    <t>O-002</t>
  </si>
  <si>
    <t>Framed chart</t>
  </si>
  <si>
    <t>O-003</t>
  </si>
  <si>
    <t>Linen House</t>
  </si>
  <si>
    <t>Damask tablecloth, 3m</t>
  </si>
  <si>
    <t>DPD-88120344</t>
  </si>
  <si>
    <t>Delayed</t>
  </si>
  <si>
    <t>Late</t>
  </si>
  <si>
    <t>Orders do not add to the budget. A gift's actual cost is the single record of what you spent, so counting the order as well would double it.</t>
  </si>
  <si>
    <t>What went back, what you are owed, and what has actually landed.</t>
  </si>
  <si>
    <t>Return ID</t>
  </si>
  <si>
    <t>Store (if bought in a shop)</t>
  </si>
  <si>
    <t>Item (if bought in a shop)</t>
  </si>
  <si>
    <t>Reason</t>
  </si>
  <si>
    <t>Sent back</t>
  </si>
  <si>
    <t>Amount received</t>
  </si>
  <si>
    <t>Counted refund</t>
  </si>
  <si>
    <t>QA · Gift ID exists</t>
  </si>
  <si>
    <t>R-001</t>
  </si>
  <si>
    <t>Damaged</t>
  </si>
  <si>
    <t>In transit</t>
  </si>
  <si>
    <t>EXAMPLE — DELETE ME · a refund you are still owed does not change what you have spent</t>
  </si>
  <si>
    <t>R-002</t>
  </si>
  <si>
    <t>Brass candlesticks, pair</t>
  </si>
  <si>
    <t>Wrong item</t>
  </si>
  <si>
    <t>Refunded</t>
  </si>
  <si>
    <t>EXAMPLE — DELETE ME · bought in a shop, so there is no order to look up</t>
  </si>
  <si>
    <t>R-003</t>
  </si>
  <si>
    <t>To return</t>
  </si>
  <si>
    <t>EXAMPLE — DELETE ME · the napkins from the same order</t>
  </si>
  <si>
    <t>Every dated thing in one table: tasks, events, deadlines and the sales worth waiting for.</t>
  </si>
  <si>
    <t>Calendar ID</t>
  </si>
  <si>
    <t>Date</t>
  </si>
  <si>
    <t>Start</t>
  </si>
  <si>
    <t>Type</t>
  </si>
  <si>
    <t>Event or task</t>
  </si>
  <si>
    <t>Belongs to</t>
  </si>
  <si>
    <t>Where</t>
  </si>
  <si>
    <t>Budget cap</t>
  </si>
  <si>
    <t>Remind me</t>
  </si>
  <si>
    <t>Week</t>
  </si>
  <si>
    <t>Open?</t>
  </si>
  <si>
    <t>When</t>
  </si>
  <si>
    <t>Next-seven-days key</t>
  </si>
  <si>
    <t>K-001</t>
  </si>
  <si>
    <t>08:00</t>
  </si>
  <si>
    <t>Sale</t>
  </si>
  <si>
    <t>Linen sale — tablecloth and napkins</t>
  </si>
  <si>
    <t>Complete</t>
  </si>
  <si>
    <t>K-002</t>
  </si>
  <si>
    <t>19:00</t>
  </si>
  <si>
    <t>Event</t>
  </si>
  <si>
    <t>Neighbours' drinks</t>
  </si>
  <si>
    <t>Number 14</t>
  </si>
  <si>
    <t>Not started</t>
  </si>
  <si>
    <t>K-003</t>
  </si>
  <si>
    <t>Deadline</t>
  </si>
  <si>
    <t>Last posting date for overseas cards</t>
  </si>
  <si>
    <t>Cards</t>
  </si>
  <si>
    <t>The dashboard reads the next seven days from this sheet. Sort by date whenever you like — the IDs are stable.</t>
  </si>
  <si>
    <t>VENDORS + APPOINTMENTS</t>
  </si>
  <si>
    <t>The people you are booking, what they quoted, and what is still owed.</t>
  </si>
  <si>
    <t>Vendor ID</t>
  </si>
  <si>
    <t>Business</t>
  </si>
  <si>
    <t>Contact</t>
  </si>
  <si>
    <t>Phone</t>
  </si>
  <si>
    <t>Email</t>
  </si>
  <si>
    <t>Service</t>
  </si>
  <si>
    <t>Event ID</t>
  </si>
  <si>
    <t>Appointment</t>
  </si>
  <si>
    <t>Time</t>
  </si>
  <si>
    <t>Quote</t>
  </si>
  <si>
    <t>Deposit paid</t>
  </si>
  <si>
    <t>Balance</t>
  </si>
  <si>
    <t>Balance due</t>
  </si>
  <si>
    <t>Paid to date</t>
  </si>
  <si>
    <t>Contract or link</t>
  </si>
  <si>
    <t>Thank you sent?</t>
  </si>
  <si>
    <t>QA · Event ID exists</t>
  </si>
  <si>
    <t>V-001</t>
  </si>
  <si>
    <t>Florist</t>
  </si>
  <si>
    <t>Hedgerow &amp; Bough</t>
  </si>
  <si>
    <t>Marta</t>
  </si>
  <si>
    <t>020 7946 0102</t>
  </si>
  <si>
    <t>studio@hedgerowbough.example</t>
  </si>
  <si>
    <t>Mantel garland and two table arrangements</t>
  </si>
  <si>
    <t>10:00</t>
  </si>
  <si>
    <t>Booked</t>
  </si>
  <si>
    <t>V-002</t>
  </si>
  <si>
    <t>Cleaner</t>
  </si>
  <si>
    <t>Fen &amp; Field</t>
  </si>
  <si>
    <t>Ana</t>
  </si>
  <si>
    <t>020 7946 0155</t>
  </si>
  <si>
    <t>Deep clean before guests arrive</t>
  </si>
  <si>
    <t>09:00</t>
  </si>
  <si>
    <t>Quoted</t>
  </si>
  <si>
    <t>V-003</t>
  </si>
  <si>
    <t>Photographer</t>
  </si>
  <si>
    <t>Rowan Frost</t>
  </si>
  <si>
    <t>Rowan</t>
  </si>
  <si>
    <t>hello@rowanfrost.example</t>
  </si>
  <si>
    <t>Family portraits, Boxing Day morning</t>
  </si>
  <si>
    <t>Paid in full</t>
  </si>
  <si>
    <t>DECOR INVENTORY</t>
  </si>
  <si>
    <t>What you already own, where it lives, and what genuinely needs replacing.</t>
  </si>
  <si>
    <t>Décor ID</t>
  </si>
  <si>
    <t>Style / colour</t>
  </si>
  <si>
    <t>Condition</t>
  </si>
  <si>
    <t>Room</t>
  </si>
  <si>
    <t>Storage bin</t>
  </si>
  <si>
    <t>Bought</t>
  </si>
  <si>
    <t>Heirloom?</t>
  </si>
  <si>
    <t>Replace?</t>
  </si>
  <si>
    <t>Replacement status</t>
  </si>
  <si>
    <t>Replacement cost</t>
  </si>
  <si>
    <t>Counted planned</t>
  </si>
  <si>
    <t>Stock</t>
  </si>
  <si>
    <t>Photo or link</t>
  </si>
  <si>
    <t>X-001</t>
  </si>
  <si>
    <t>Mercury glass candlesticks, pair</t>
  </si>
  <si>
    <t>Candles</t>
  </si>
  <si>
    <t>Antiqued silver</t>
  </si>
  <si>
    <t>Good</t>
  </si>
  <si>
    <t>Dining room</t>
  </si>
  <si>
    <t>Bin 3, attic</t>
  </si>
  <si>
    <t>Not needed</t>
  </si>
  <si>
    <t>X-002</t>
  </si>
  <si>
    <t>Grandmother's glass baubles</t>
  </si>
  <si>
    <t>Ornaments</t>
  </si>
  <si>
    <t>Hand-painted, faded gilt</t>
  </si>
  <si>
    <t>Worn</t>
  </si>
  <si>
    <t>Living room</t>
  </si>
  <si>
    <t>Padded case, cellar</t>
  </si>
  <si>
    <t>X-003</t>
  </si>
  <si>
    <t>Outdoor door garland</t>
  </si>
  <si>
    <t>Wreaths &amp; garland</t>
  </si>
  <si>
    <t>Noble fir, dried orange</t>
  </si>
  <si>
    <t>Retire</t>
  </si>
  <si>
    <t>Entry</t>
  </si>
  <si>
    <t>Composted each year</t>
  </si>
  <si>
    <t>Approved</t>
  </si>
  <si>
    <t>EXAMPLE — DELETE ME · bought, and the cost lands once</t>
  </si>
  <si>
    <t>Only replacements marked Approved reach the budget. A wish list should not look like a commitment.</t>
  </si>
  <si>
    <t>DECORATING PLAN</t>
  </si>
  <si>
    <t>Room by room: what it should feel like, what you have, and what is still missing.</t>
  </si>
  <si>
    <t>Plan ID</t>
  </si>
  <si>
    <t>Area</t>
  </si>
  <si>
    <t>Design intention</t>
  </si>
  <si>
    <t>Using from store</t>
  </si>
  <si>
    <t>Still needed</t>
  </si>
  <si>
    <t>Install</t>
  </si>
  <si>
    <t>Done?</t>
  </si>
  <si>
    <t>Takedown</t>
  </si>
  <si>
    <t>Back into</t>
  </si>
  <si>
    <t>DP-001</t>
  </si>
  <si>
    <t>One tall garland, candlelight, nothing else</t>
  </si>
  <si>
    <t>New garland</t>
  </si>
  <si>
    <t>Composted</t>
  </si>
  <si>
    <t>EXAMPLE — DELETE ME · the garland is costed on DÉCOR INVENTORY, so it is not costed again here</t>
  </si>
  <si>
    <t>DP-002</t>
  </si>
  <si>
    <t>Evergreen and glass, low enough to talk across</t>
  </si>
  <si>
    <t>DP-003</t>
  </si>
  <si>
    <t>The old baubles, and only the old baubles</t>
  </si>
  <si>
    <t>James</t>
  </si>
  <si>
    <t>TABLESCAPE + FLORALS</t>
  </si>
  <si>
    <t>The table, laid out on paper first: linen, glass, flowers, candles and who sets it.</t>
  </si>
  <si>
    <t>Table ID</t>
  </si>
  <si>
    <t>Table or room</t>
  </si>
  <si>
    <t>Guests</t>
  </si>
  <si>
    <t>Direction</t>
  </si>
  <si>
    <t>Linen</t>
  </si>
  <si>
    <t>China</t>
  </si>
  <si>
    <t>Flatware</t>
  </si>
  <si>
    <t>Glassware</t>
  </si>
  <si>
    <t>Place cards</t>
  </si>
  <si>
    <t>Centrepiece / floral recipe</t>
  </si>
  <si>
    <t>Rental source</t>
  </si>
  <si>
    <t>Owned or hired</t>
  </si>
  <si>
    <t>Set by</t>
  </si>
  <si>
    <t>Set at</t>
  </si>
  <si>
    <t>Ready?</t>
  </si>
  <si>
    <t>T-001</t>
  </si>
  <si>
    <t>Dining room, long table</t>
  </si>
  <si>
    <t>Damask, ivory</t>
  </si>
  <si>
    <t>The Wedgwood</t>
  </si>
  <si>
    <t>Grandmother's silver</t>
  </si>
  <si>
    <t>Cut crystal, six each</t>
  </si>
  <si>
    <t>Hand-written, ivory card</t>
  </si>
  <si>
    <t>Low bowls: noble fir, hellebore, dried orange</t>
  </si>
  <si>
    <t>Ivory tapers, twelve</t>
  </si>
  <si>
    <t>Owned</t>
  </si>
  <si>
    <t>16:00</t>
  </si>
  <si>
    <t>T-002</t>
  </si>
  <si>
    <t>Kitchen, Christmas Eve supper</t>
  </si>
  <si>
    <t>Quieter — linen, pewter, one candle</t>
  </si>
  <si>
    <t>Washed linen, flax</t>
  </si>
  <si>
    <t>Everyday creamware</t>
  </si>
  <si>
    <t>T-003</t>
  </si>
  <si>
    <t>Drinks, drawing room</t>
  </si>
  <si>
    <t>Standing, so nothing that needs a fork</t>
  </si>
  <si>
    <t>Coupes, hired</t>
  </si>
  <si>
    <t>Fen &amp; Field hire</t>
  </si>
  <si>
    <t>Rented</t>
  </si>
  <si>
    <t>17:30</t>
  </si>
  <si>
    <t>MEAL + BAKING PLAN</t>
  </si>
  <si>
    <t>Every dish, who is making it, and when it can be made ahead.</t>
  </si>
  <si>
    <t>Dish ID</t>
  </si>
  <si>
    <t>Meal</t>
  </si>
  <si>
    <t>Dish</t>
  </si>
  <si>
    <t>Course</t>
  </si>
  <si>
    <t>Serves</t>
  </si>
  <si>
    <t>Cook</t>
  </si>
  <si>
    <t>Recipe ID</t>
  </si>
  <si>
    <t>Recipe</t>
  </si>
  <si>
    <t>Make ahead?</t>
  </si>
  <si>
    <t>Prep on</t>
  </si>
  <si>
    <t>Oven / time</t>
  </si>
  <si>
    <t>Dietary</t>
  </si>
  <si>
    <t>QA · Recipe ID exists</t>
  </si>
  <si>
    <t>M-001</t>
  </si>
  <si>
    <t>Christmas lunch</t>
  </si>
  <si>
    <t>Goose with quince</t>
  </si>
  <si>
    <t>Main</t>
  </si>
  <si>
    <t>RC-001</t>
  </si>
  <si>
    <t>3 hr at 180°C, rest 30 min</t>
  </si>
  <si>
    <t>M-002</t>
  </si>
  <si>
    <t>Bread sauce</t>
  </si>
  <si>
    <t>Sauce</t>
  </si>
  <si>
    <t>RC-002</t>
  </si>
  <si>
    <t>20 min, gentle</t>
  </si>
  <si>
    <t>Vegetarian</t>
  </si>
  <si>
    <t>M-003</t>
  </si>
  <si>
    <t>Christmas Eve supper</t>
  </si>
  <si>
    <t>Grandmother's saffron buns</t>
  </si>
  <si>
    <t>Baking</t>
  </si>
  <si>
    <t>RC-003</t>
  </si>
  <si>
    <t>12 min at 220°C</t>
  </si>
  <si>
    <t>Nut free</t>
  </si>
  <si>
    <t>Prepped</t>
  </si>
  <si>
    <t>One shopping list, gathered from the meals you have planned.</t>
  </si>
  <si>
    <t>Aisle</t>
  </si>
  <si>
    <t>Quantity</t>
  </si>
  <si>
    <t>Unit</t>
  </si>
  <si>
    <t>For</t>
  </si>
  <si>
    <t>Offer</t>
  </si>
  <si>
    <t>Estimate</t>
  </si>
  <si>
    <t>Bought?</t>
  </si>
  <si>
    <t>Already have?</t>
  </si>
  <si>
    <t>GR-001</t>
  </si>
  <si>
    <t>Goose, free range</t>
  </si>
  <si>
    <t>Meat &amp; fish</t>
  </si>
  <si>
    <t>5.5</t>
  </si>
  <si>
    <t>kg</t>
  </si>
  <si>
    <t>The butcher</t>
  </si>
  <si>
    <t>GR-002</t>
  </si>
  <si>
    <t>Saffron</t>
  </si>
  <si>
    <t>g</t>
  </si>
  <si>
    <t>The deli</t>
  </si>
  <si>
    <t>GR-003</t>
  </si>
  <si>
    <t>Bay leaves</t>
  </si>
  <si>
    <t>Produce</t>
  </si>
  <si>
    <t>bunch</t>
  </si>
  <si>
    <t>Quantities stay yours to set. Automatic ingredient adding is the fastest way to arrive home with three kilos of butter.</t>
  </si>
  <si>
    <t>RECIPE INDEX</t>
  </si>
  <si>
    <t>Where each recipe lives, how long it really takes, and whose it was.</t>
  </si>
  <si>
    <t>Source or link</t>
  </si>
  <si>
    <t>Whose it is</t>
  </si>
  <si>
    <t>Makes</t>
  </si>
  <si>
    <t>Hands-on</t>
  </si>
  <si>
    <t>Total time</t>
  </si>
  <si>
    <t>Freezes?</t>
  </si>
  <si>
    <t>Family rating</t>
  </si>
  <si>
    <t>Blue notebook, p.40</t>
  </si>
  <si>
    <t>Worked out over four years</t>
  </si>
  <si>
    <t>Serves 12</t>
  </si>
  <si>
    <t>45 min</t>
  </si>
  <si>
    <t>4 hr</t>
  </si>
  <si>
    <t>Constance Spry</t>
  </si>
  <si>
    <t>James's mother</t>
  </si>
  <si>
    <t>Side</t>
  </si>
  <si>
    <t>15 min</t>
  </si>
  <si>
    <t>40 min</t>
  </si>
  <si>
    <t>Saffron buns</t>
  </si>
  <si>
    <t>Handwritten card, tin</t>
  </si>
  <si>
    <t>Grandmother Lindqvist</t>
  </si>
  <si>
    <t>24 buns</t>
  </si>
  <si>
    <t>3 hr with proving</t>
  </si>
  <si>
    <t>HOSTING + GUESTS</t>
  </si>
  <si>
    <t>Who is coming, what they need, and where everyone sleeps.</t>
  </si>
  <si>
    <t>Guest ID</t>
  </si>
  <si>
    <t>Name (if not on the list)</t>
  </si>
  <si>
    <t>Allergies and care</t>
  </si>
  <si>
    <t>What makes them comfortable</t>
  </si>
  <si>
    <t>Sleeping</t>
  </si>
  <si>
    <t>Arrives</t>
  </si>
  <si>
    <t>At</t>
  </si>
  <si>
    <t>Leaves</t>
  </si>
  <si>
    <t>Getting here</t>
  </si>
  <si>
    <t>Bringing or helping with</t>
  </si>
  <si>
    <t>GU-001</t>
  </si>
  <si>
    <t>Wool next to skin — no blankets on the guest bed</t>
  </si>
  <si>
    <t>Reading lamp, kettle in the room</t>
  </si>
  <si>
    <t>Guest room</t>
  </si>
  <si>
    <t>Driving</t>
  </si>
  <si>
    <t>Bringing the pudding</t>
  </si>
  <si>
    <t>GU-002</t>
  </si>
  <si>
    <t>Nut allergy — serious. No nuts in the baking.</t>
  </si>
  <si>
    <t>Early riser, likes the cold</t>
  </si>
  <si>
    <t>Hotel</t>
  </si>
  <si>
    <t>18:40</t>
  </si>
  <si>
    <t>Flight, then car</t>
  </si>
  <si>
    <t>GU-003</t>
  </si>
  <si>
    <t>The Ashworths</t>
  </si>
  <si>
    <t>Invited</t>
  </si>
  <si>
    <t>Coming for drinks only</t>
  </si>
  <si>
    <t>Not staying</t>
  </si>
  <si>
    <t>Walking</t>
  </si>
  <si>
    <t>TRADITIONS + BUCKET LIST</t>
  </si>
  <si>
    <t>The things that make it Christmas rather than merely December.</t>
  </si>
  <si>
    <t>Tradition ID</t>
  </si>
  <si>
    <t>Tradition or outing</t>
  </si>
  <si>
    <t>Kind</t>
  </si>
  <si>
    <t>Hoped for</t>
  </si>
  <si>
    <t>Who</t>
  </si>
  <si>
    <t>Worth it?</t>
  </si>
  <si>
    <t>Note for next year</t>
  </si>
  <si>
    <t>Date in play</t>
  </si>
  <si>
    <t>Next-up key</t>
  </si>
  <si>
    <t>TD-001</t>
  </si>
  <si>
    <t>Carols at the old church</t>
  </si>
  <si>
    <t>Faith</t>
  </si>
  <si>
    <t>Everyone</t>
  </si>
  <si>
    <t>TD-002</t>
  </si>
  <si>
    <t>Cutting greenery from the hedge</t>
  </si>
  <si>
    <t>Making</t>
  </si>
  <si>
    <t>Me and the children</t>
  </si>
  <si>
    <t>TD-003</t>
  </si>
  <si>
    <t>The pantomime</t>
  </si>
  <si>
    <t>Outing</t>
  </si>
  <si>
    <t>All eight</t>
  </si>
  <si>
    <t>MOVIES + MUSIC</t>
  </si>
  <si>
    <t>What you want to watch and listen to, in the order you actually will.</t>
  </si>
  <si>
    <t>Entry ID</t>
  </si>
  <si>
    <t>Title</t>
  </si>
  <si>
    <t>Watched or heard?</t>
  </si>
  <si>
    <t>Rating</t>
  </si>
  <si>
    <t>MU-001</t>
  </si>
  <si>
    <t>Film</t>
  </si>
  <si>
    <t>The old DVD shelf</t>
  </si>
  <si>
    <t>EXAMPLE — DELETE ME · add your own title</t>
  </si>
  <si>
    <t>MU-002</t>
  </si>
  <si>
    <t>Album</t>
  </si>
  <si>
    <t>Record player</t>
  </si>
  <si>
    <t>Adults</t>
  </si>
  <si>
    <t>MU-003</t>
  </si>
  <si>
    <t>Concert</t>
  </si>
  <si>
    <t>The parish hall</t>
  </si>
  <si>
    <t>This sheet ships empty of titles on purpose. Films, songs and artwork belong to the people who made them — add your own.</t>
  </si>
  <si>
    <t>CARDS + MAIL</t>
  </si>
  <si>
    <t>Who is on the list, whether the address is right, and what has gone in the post.</t>
  </si>
  <si>
    <t>Card ID</t>
  </si>
  <si>
    <t>Stationery</t>
  </si>
  <si>
    <t>Posted</t>
  </si>
  <si>
    <t>Card received?</t>
  </si>
  <si>
    <t>C-001</t>
  </si>
  <si>
    <t>Letterpress, ivory</t>
  </si>
  <si>
    <t>C-002</t>
  </si>
  <si>
    <t>To write</t>
  </si>
  <si>
    <t>C-003</t>
  </si>
  <si>
    <t>The Ashworths, next door</t>
  </si>
  <si>
    <t>Hand-marbled</t>
  </si>
  <si>
    <t>Written</t>
  </si>
  <si>
    <t>EVENTS + WARDROBE</t>
  </si>
  <si>
    <t>What is being worn where, and what still needs collecting, altering or pressing.</t>
  </si>
  <si>
    <t>Look ID</t>
  </si>
  <si>
    <t>The look</t>
  </si>
  <si>
    <t>From</t>
  </si>
  <si>
    <t>Alterations</t>
  </si>
  <si>
    <t>Shoes and accessories</t>
  </si>
  <si>
    <t>Hair or beauty appointment</t>
  </si>
  <si>
    <t>Collect by</t>
  </si>
  <si>
    <t>Hanging where</t>
  </si>
  <si>
    <t>W-001</t>
  </si>
  <si>
    <t>Bottle-green velvet, long</t>
  </si>
  <si>
    <t>The green dress, altered</t>
  </si>
  <si>
    <t>Hem taken up 4cm</t>
  </si>
  <si>
    <t>Grandmother's pearls, black satin flats</t>
  </si>
  <si>
    <t>Cut and colour, 10 Dec</t>
  </si>
  <si>
    <t>In tailoring</t>
  </si>
  <si>
    <t>Guest room wardrobe</t>
  </si>
  <si>
    <t>W-002</t>
  </si>
  <si>
    <t>Navy dinner jacket</t>
  </si>
  <si>
    <t>Own</t>
  </si>
  <si>
    <t>Black tie, patent shoes</t>
  </si>
  <si>
    <t>To source</t>
  </si>
  <si>
    <t>Dressing room</t>
  </si>
  <si>
    <t>W-003</t>
  </si>
  <si>
    <t>Christmas Day — grey flannel, cashmere</t>
  </si>
  <si>
    <t>Signet ring only</t>
  </si>
  <si>
    <t>Ready</t>
  </si>
  <si>
    <t>Own wardrobe</t>
  </si>
  <si>
    <t>TRAVEL PLAN</t>
  </si>
  <si>
    <t>Journeys, bookings, transfers and the documents you will want to hand.</t>
  </si>
  <si>
    <t>Travel ID</t>
  </si>
  <si>
    <t>Trip</t>
  </si>
  <si>
    <t>Provider</t>
  </si>
  <si>
    <t>Confirmation</t>
  </si>
  <si>
    <t>Out</t>
  </si>
  <si>
    <t>Depart</t>
  </si>
  <si>
    <t>Back</t>
  </si>
  <si>
    <t>From → to</t>
  </si>
  <si>
    <t>Travelling</t>
  </si>
  <si>
    <t>Packing notes</t>
  </si>
  <si>
    <t>Documents needed</t>
  </si>
  <si>
    <t>TR-001</t>
  </si>
  <si>
    <t>Grandparents, Boxing Day</t>
  </si>
  <si>
    <t>Train</t>
  </si>
  <si>
    <t>LNER</t>
  </si>
  <si>
    <t>XQ44TL</t>
  </si>
  <si>
    <t>09:12</t>
  </si>
  <si>
    <t>King's Cross → York</t>
  </si>
  <si>
    <t>Four of us</t>
  </si>
  <si>
    <t>Paid</t>
  </si>
  <si>
    <t>Gifts go ahead by courier</t>
  </si>
  <si>
    <t>Railcards</t>
  </si>
  <si>
    <t>TR-002</t>
  </si>
  <si>
    <t>Sofia's arrival</t>
  </si>
  <si>
    <t>Transfer</t>
  </si>
  <si>
    <t>Local car</t>
  </si>
  <si>
    <t>Airport → house</t>
  </si>
  <si>
    <t>Sofia</t>
  </si>
  <si>
    <t>To book</t>
  </si>
  <si>
    <t>TR-003</t>
  </si>
  <si>
    <t>New Year, the coast</t>
  </si>
  <si>
    <t>The Harbour Inn</t>
  </si>
  <si>
    <t>Home → Aldeburgh</t>
  </si>
  <si>
    <t>Two of us</t>
  </si>
  <si>
    <t>Held</t>
  </si>
  <si>
    <t>Boots, the good coat</t>
  </si>
  <si>
    <t>CLEANING + HOME PREP</t>
  </si>
  <si>
    <t>The house, zone by zone, so nothing is left to the last free afternoon.</t>
  </si>
  <si>
    <t>Task ID</t>
  </si>
  <si>
    <t>Zone</t>
  </si>
  <si>
    <t>Task</t>
  </si>
  <si>
    <t>Due</t>
  </si>
  <si>
    <t>Repeats</t>
  </si>
  <si>
    <t>Supplies needed</t>
  </si>
  <si>
    <t>H-001</t>
  </si>
  <si>
    <t>Air the room, launder the bedding, check the lamp</t>
  </si>
  <si>
    <t>Before guests</t>
  </si>
  <si>
    <t>Spare pillowcases</t>
  </si>
  <si>
    <t>H-002</t>
  </si>
  <si>
    <t>Polish the silver</t>
  </si>
  <si>
    <t>Once</t>
  </si>
  <si>
    <t>Silver cloth, gloves</t>
  </si>
  <si>
    <t>H-003</t>
  </si>
  <si>
    <t>Sweep the step, replace the door mat</t>
  </si>
  <si>
    <t>Weekly</t>
  </si>
  <si>
    <t>In progress</t>
  </si>
  <si>
    <t>DONATIONS + GIVING</t>
  </si>
  <si>
    <t>The giving you intend to do, kept in the same view as everything else you are spending.</t>
  </si>
  <si>
    <t>Giving ID</t>
  </si>
  <si>
    <t>Organisation or person</t>
  </si>
  <si>
    <t>What you are giving</t>
  </si>
  <si>
    <t>By when</t>
  </si>
  <si>
    <t>Delivered?</t>
  </si>
  <si>
    <t>Receipt kept?</t>
  </si>
  <si>
    <t>D-001</t>
  </si>
  <si>
    <t>River trust winter appeal</t>
  </si>
  <si>
    <t>Money</t>
  </si>
  <si>
    <t>Annual gift in Sofia's name</t>
  </si>
  <si>
    <t>D-002</t>
  </si>
  <si>
    <t>Parish toy collection</t>
  </si>
  <si>
    <t>Goods</t>
  </si>
  <si>
    <t>Six wrapped toys, ages 4–8</t>
  </si>
  <si>
    <t>D-003</t>
  </si>
  <si>
    <t>Neighbourhood kitchen</t>
  </si>
  <si>
    <t>Two mornings, week of the 20th</t>
  </si>
  <si>
    <t>ADVENT + REFLECTION</t>
  </si>
  <si>
    <t>A quiet page for the days of December, if you keep one.</t>
  </si>
  <si>
    <t>Day ID</t>
  </si>
  <si>
    <t>Theme</t>
  </si>
  <si>
    <t>Reading or reference</t>
  </si>
  <si>
    <t>Reflection</t>
  </si>
  <si>
    <t>Family activity</t>
  </si>
  <si>
    <t>Kept?</t>
  </si>
  <si>
    <t>AD-001</t>
  </si>
  <si>
    <t>EXAMPLE — DELETE ME · this sheet is deliberately blank</t>
  </si>
  <si>
    <t>AD-002</t>
  </si>
  <si>
    <t>AD-003</t>
  </si>
  <si>
    <t>Nothing is prefilled. The themes, readings and reflections are yours to write.</t>
  </si>
  <si>
    <t>MEMORIES</t>
  </si>
  <si>
    <t>The part of the season worth keeping. Fill this in as you go — you will not remember in January.</t>
  </si>
  <si>
    <t>Memory ID</t>
  </si>
  <si>
    <t>Occasion</t>
  </si>
  <si>
    <t>What happened</t>
  </si>
  <si>
    <t>Something someone said</t>
  </si>
  <si>
    <t>Photo album link</t>
  </si>
  <si>
    <t>Keepsake kept where</t>
  </si>
  <si>
    <t>Do it again?</t>
  </si>
  <si>
    <t>ME-001</t>
  </si>
  <si>
    <t>The saffron buns came out right for the first time</t>
  </si>
  <si>
    <t>"These are grandmother's, aren't they."</t>
  </si>
  <si>
    <t>The recipe card, back in the tin</t>
  </si>
  <si>
    <t>ME-002</t>
  </si>
  <si>
    <t>Cutting greenery</t>
  </si>
  <si>
    <t>Rain the whole time and nobody minded</t>
  </si>
  <si>
    <t>ME-003</t>
  </si>
  <si>
    <t>Christmas Day</t>
  </si>
  <si>
    <t>Sat down at two, got up at six</t>
  </si>
  <si>
    <t>NEXT YEAR NOTES</t>
  </si>
  <si>
    <t>Written now, read next September. This is the most valuable sheet in the workbook and the easiest to skip.</t>
  </si>
  <si>
    <t>Note ID</t>
  </si>
  <si>
    <t>Note</t>
  </si>
  <si>
    <t>About</t>
  </si>
  <si>
    <t>What to do about it</t>
  </si>
  <si>
    <t>Act by</t>
  </si>
  <si>
    <t>Carried forward?</t>
  </si>
  <si>
    <t>NY-001</t>
  </si>
  <si>
    <t>Worked well</t>
  </si>
  <si>
    <t>Buying every gift before December</t>
  </si>
  <si>
    <t>Gift Planner</t>
  </si>
  <si>
    <t>Same again — set the deadline at 25 November</t>
  </si>
  <si>
    <t>NY-002</t>
  </si>
  <si>
    <t>Buy early</t>
  </si>
  <si>
    <t>The good tapers sell out by the first week</t>
  </si>
  <si>
    <t>Décor</t>
  </si>
  <si>
    <t>Order twelve in October</t>
  </si>
  <si>
    <t>NY-003</t>
  </si>
  <si>
    <t>Avoid</t>
  </si>
  <si>
    <t>Two events on the same evening</t>
  </si>
  <si>
    <t>One thing a day in the last week</t>
  </si>
  <si>
    <t>ANNUAL ARCHIVE</t>
  </si>
  <si>
    <t>One line a year. Copy this season's figures in before you clear the workbook for the next one.</t>
  </si>
  <si>
    <t>Year</t>
  </si>
  <si>
    <t>Gifts given</t>
  </si>
  <si>
    <t>Guests hosted</t>
  </si>
  <si>
    <t>Best thing you did</t>
  </si>
  <si>
    <t>Heirlooms and décor</t>
  </si>
  <si>
    <t>People worth booking again</t>
  </si>
  <si>
    <t>Retired the outdoor lights</t>
  </si>
  <si>
    <t>Hedgerow &amp; Bough — book by October</t>
  </si>
  <si>
    <t>Repaired two glass baubles</t>
  </si>
  <si>
    <t>Boxing Day walk</t>
  </si>
  <si>
    <t>These are typed values, not formulas, so they survive the annual reset. START HERE shows exactly which figures to copy.</t>
  </si>
  <si>
    <t>Sheet index</t>
  </si>
  <si>
    <t>Every sheet in the workbook, what it is for, and whether you need it.</t>
  </si>
  <si>
    <t>Optional sheets hide cleanly — right-click the tab and choose Hide. No calculation depends on a sheet being visible.</t>
  </si>
  <si>
    <t>#</t>
  </si>
  <si>
    <t>Sheet</t>
  </si>
  <si>
    <t>What it is for</t>
  </si>
  <si>
    <t>Default</t>
  </si>
  <si>
    <t>01</t>
  </si>
  <si>
    <t>COVER</t>
  </si>
  <si>
    <t>Where the workbook introduces itself, and the licence reminder.</t>
  </si>
  <si>
    <t>Visible</t>
  </si>
  <si>
    <t>02</t>
  </si>
  <si>
    <t>START HERE</t>
  </si>
  <si>
    <t>Six steps to set up, the colour key, and how to put the year away.</t>
  </si>
  <si>
    <t>03</t>
  </si>
  <si>
    <t>SETTINGS</t>
  </si>
  <si>
    <t>Year, dates, currency, thresholds. Everything else reads from here.</t>
  </si>
  <si>
    <t>04</t>
  </si>
  <si>
    <t>DASHBOARD</t>
  </si>
  <si>
    <t>Where the season stands today, and what needs you next.</t>
  </si>
  <si>
    <t>05</t>
  </si>
  <si>
    <t>What you want this Christmas to feel like, and what you will protect.</t>
  </si>
  <si>
    <t>06</t>
  </si>
  <si>
    <t>Sizes, preferences, monograms and what you have given before.</t>
  </si>
  <si>
    <t>07</t>
  </si>
  <si>
    <t>Who you are giving to and what you intend to spend on each of them.</t>
  </si>
  <si>
    <t>08</t>
  </si>
  <si>
    <t>Budget by category, with planned and actual traced to their sources.</t>
  </si>
  <si>
    <t>09</t>
  </si>
  <si>
    <t>Every gift from first idea to wrapped and hidden.</t>
  </si>
  <si>
    <t>10</t>
  </si>
  <si>
    <t>The small things, and what they add up to.</t>
  </si>
  <si>
    <t>11</t>
  </si>
  <si>
    <t>What is on its way and what needs chasing.</t>
  </si>
  <si>
    <t>12</t>
  </si>
  <si>
    <t>What went back, and the refunds you are still owed.</t>
  </si>
  <si>
    <t>13</t>
  </si>
  <si>
    <t>Every dated thing in one table. The dashboard reads this sheet.</t>
  </si>
  <si>
    <t>14</t>
  </si>
  <si>
    <t>Florists, caterers, cleaners: quotes, deposits and balances.</t>
  </si>
  <si>
    <t>15</t>
  </si>
  <si>
    <t>What you own, where it is stored, and what needs replacing.</t>
  </si>
  <si>
    <t>16</t>
  </si>
  <si>
    <t>Room by room: the intention, the pieces, the install date.</t>
  </si>
  <si>
    <t>17</t>
  </si>
  <si>
    <t>Linen, china, glass, flowers and candles, per table.</t>
  </si>
  <si>
    <t>18</t>
  </si>
  <si>
    <t>Every dish, its cook, and when it can be made ahead.</t>
  </si>
  <si>
    <t>19</t>
  </si>
  <si>
    <t>One shopping list, gathered from the meal plan.</t>
  </si>
  <si>
    <t>20</t>
  </si>
  <si>
    <t>Where each recipe lives and whose it was.</t>
  </si>
  <si>
    <t>21</t>
  </si>
  <si>
    <t>Guests, dietary needs, sleeping and arrivals.</t>
  </si>
  <si>
    <t>22</t>
  </si>
  <si>
    <t>The rituals and outings, and whether they were worth it.</t>
  </si>
  <si>
    <t>23</t>
  </si>
  <si>
    <t>Your own watch and listen list. Nothing is preloaded.</t>
  </si>
  <si>
    <t>Optional</t>
  </si>
  <si>
    <t>24</t>
  </si>
  <si>
    <t>The card list, addresses, postage and what has gone out.</t>
  </si>
  <si>
    <t>25</t>
  </si>
  <si>
    <t>What is being worn where, and what still needs collecting.</t>
  </si>
  <si>
    <t>26</t>
  </si>
  <si>
    <t>Journeys, bookings, transfers and what to pack.</t>
  </si>
  <si>
    <t>27</t>
  </si>
  <si>
    <t>The house, zone by zone, before anybody arrives.</t>
  </si>
  <si>
    <t>28</t>
  </si>
  <si>
    <t>The giving you intend to do, and whether it happened.</t>
  </si>
  <si>
    <t>29</t>
  </si>
  <si>
    <t>A quiet page for December, entirely yours to write.</t>
  </si>
  <si>
    <t>30</t>
  </si>
  <si>
    <t>The part worth keeping. Fill it in as you go.</t>
  </si>
  <si>
    <t>31</t>
  </si>
  <si>
    <t>Written in January, read next September.</t>
  </si>
  <si>
    <t>32</t>
  </si>
  <si>
    <t>One line a year, so the seasons can be compared.</t>
  </si>
  <si>
    <t>33</t>
  </si>
  <si>
    <t>SHEET INDEX</t>
  </si>
  <si>
    <t>This list.</t>
  </si>
  <si>
    <t>Support</t>
  </si>
  <si>
    <t>34</t>
  </si>
  <si>
    <t>LISTS</t>
  </si>
  <si>
    <t>The values behind every dropdown, and how costs reach the budget.</t>
  </si>
  <si>
    <t>35</t>
  </si>
  <si>
    <t>Everything the workbook cannot reconcile on its own.</t>
  </si>
  <si>
    <t>Lists</t>
  </si>
  <si>
    <t>The values behind every dropdown in the workbook. Edit them freely — nothing here is referenced by name in a formula.</t>
  </si>
  <si>
    <t>To add a value: click a row inside a block and insert above it. The dropdown widens automatically. Adding below the last value does nothing.</t>
  </si>
  <si>
    <t>Currency</t>
  </si>
  <si>
    <t>WeekStart</t>
  </si>
  <si>
    <t>YesNo</t>
  </si>
  <si>
    <t>BudgetCategory</t>
  </si>
  <si>
    <t>GiftStatus</t>
  </si>
  <si>
    <t>GiftType</t>
  </si>
  <si>
    <t>DeliveryType</t>
  </si>
  <si>
    <t>OrderStatus</t>
  </si>
  <si>
    <t>IssueType</t>
  </si>
  <si>
    <t>ReturnStatus</t>
  </si>
  <si>
    <t>CalendarType</t>
  </si>
  <si>
    <t>CalendarStatus</t>
  </si>
  <si>
    <t>VendorCategory</t>
  </si>
  <si>
    <t>VendorStatus</t>
  </si>
  <si>
    <t>DecorCategory</t>
  </si>
  <si>
    <t>ApprovalStatus</t>
  </si>
  <si>
    <t>MealStatus</t>
  </si>
  <si>
    <t>DietaryTag</t>
  </si>
  <si>
    <t>GroceryCategory</t>
  </si>
  <si>
    <t>RecipeCategory</t>
  </si>
  <si>
    <t>GuestStatus</t>
  </si>
  <si>
    <t>TraditionCategory</t>
  </si>
  <si>
    <t>MediaType</t>
  </si>
  <si>
    <t>Audience</t>
  </si>
  <si>
    <t>CardStatus</t>
  </si>
  <si>
    <t>AddressStatus</t>
  </si>
  <si>
    <t>WardrobeStatus</t>
  </si>
  <si>
    <t>TravelType</t>
  </si>
  <si>
    <t>BookingStatus</t>
  </si>
  <si>
    <t>Recurrence</t>
  </si>
  <si>
    <t>TaskStatus</t>
  </si>
  <si>
    <t>GivingType</t>
  </si>
  <si>
    <t>Ownership</t>
  </si>
  <si>
    <t>NextYearTheme</t>
  </si>
  <si>
    <t>Enquiry</t>
  </si>
  <si>
    <t>Tree</t>
  </si>
  <si>
    <t>Excellent</t>
  </si>
  <si>
    <t>Canapé</t>
  </si>
  <si>
    <t>Ritual</t>
  </si>
  <si>
    <t>Flight</t>
  </si>
  <si>
    <t>USD</t>
  </si>
  <si>
    <t>Monday</t>
  </si>
  <si>
    <t>Extended family</t>
  </si>
  <si>
    <t>Researching</t>
  </si>
  <si>
    <t>Digital</t>
  </si>
  <si>
    <t>Ship to recipient</t>
  </si>
  <si>
    <t>Shipped</t>
  </si>
  <si>
    <t>Caterer</t>
  </si>
  <si>
    <t>Wish list</t>
  </si>
  <si>
    <t>Starter</t>
  </si>
  <si>
    <t>Shopped</t>
  </si>
  <si>
    <t>Series</t>
  </si>
  <si>
    <t>Borrowed</t>
  </si>
  <si>
    <t>Child</t>
  </si>
  <si>
    <t>GBP</t>
  </si>
  <si>
    <t>Received by store</t>
  </si>
  <si>
    <t>Baker</t>
  </si>
  <si>
    <t>Lighting</t>
  </si>
  <si>
    <t>Vegan</t>
  </si>
  <si>
    <t>Dairy</t>
  </si>
  <si>
    <t>Declined</t>
  </si>
  <si>
    <t>Sofa bed</t>
  </si>
  <si>
    <t>Children</t>
  </si>
  <si>
    <t>Addressed</t>
  </si>
  <si>
    <t>Missing</t>
  </si>
  <si>
    <t>Car</t>
  </si>
  <si>
    <t>Fortnightly</t>
  </si>
  <si>
    <t>Replace</t>
  </si>
  <si>
    <t>EUR</t>
  </si>
  <si>
    <t>Teachers</t>
  </si>
  <si>
    <t>In store</t>
  </si>
  <si>
    <t>Attended</t>
  </si>
  <si>
    <t>Stylist</t>
  </si>
  <si>
    <t>Kitchen</t>
  </si>
  <si>
    <t>Cooked</t>
  </si>
  <si>
    <t>Gluten free</t>
  </si>
  <si>
    <t>Bakery</t>
  </si>
  <si>
    <t>Tentative</t>
  </si>
  <si>
    <t>Giving</t>
  </si>
  <si>
    <t>Playlist</t>
  </si>
  <si>
    <t>Just me</t>
  </si>
  <si>
    <t>Do not send</t>
  </si>
  <si>
    <t>Ferry</t>
  </si>
  <si>
    <t>Monthly</t>
  </si>
  <si>
    <t>Delegated</t>
  </si>
  <si>
    <t>Gift in kind</t>
  </si>
  <si>
    <t>To buy</t>
  </si>
  <si>
    <t>Sibling</t>
  </si>
  <si>
    <t>AUD</t>
  </si>
  <si>
    <t>Coworkers</t>
  </si>
  <si>
    <t>Cancelled</t>
  </si>
  <si>
    <t>Exchanged</t>
  </si>
  <si>
    <t>Skipped</t>
  </si>
  <si>
    <t>Table</t>
  </si>
  <si>
    <t>Hall &amp; stairs</t>
  </si>
  <si>
    <t>Served</t>
  </si>
  <si>
    <t>Dairy free</t>
  </si>
  <si>
    <t>Pantry</t>
  </si>
  <si>
    <t>Dessert</t>
  </si>
  <si>
    <t>Nearby family</t>
  </si>
  <si>
    <t>Changed</t>
  </si>
  <si>
    <t>Dropped</t>
  </si>
  <si>
    <t>Sponsorship</t>
  </si>
  <si>
    <t>Grandparent</t>
  </si>
  <si>
    <t>Neighbours</t>
  </si>
  <si>
    <t>Returned</t>
  </si>
  <si>
    <t>Not as described</t>
  </si>
  <si>
    <t>Denied</t>
  </si>
  <si>
    <t>Tradition</t>
  </si>
  <si>
    <t>Mantel</t>
  </si>
  <si>
    <t>Departed</t>
  </si>
  <si>
    <t>Rest</t>
  </si>
  <si>
    <t>Radio</t>
  </si>
  <si>
    <t>Received</t>
  </si>
  <si>
    <t>Rental</t>
  </si>
  <si>
    <t>After guests</t>
  </si>
  <si>
    <t>Delegate</t>
  </si>
  <si>
    <t>Grandchild</t>
  </si>
  <si>
    <t>Host</t>
  </si>
  <si>
    <t>Installer</t>
  </si>
  <si>
    <t>Outdoor</t>
  </si>
  <si>
    <t>Primary bedroom</t>
  </si>
  <si>
    <t>Shellfish free</t>
  </si>
  <si>
    <t>Frozen</t>
  </si>
  <si>
    <t>Preserve</t>
  </si>
  <si>
    <t>Food</t>
  </si>
  <si>
    <t>Book sooner</t>
  </si>
  <si>
    <t>Charity</t>
  </si>
  <si>
    <t>Tailor</t>
  </si>
  <si>
    <t>Study</t>
  </si>
  <si>
    <t>Drink</t>
  </si>
  <si>
    <t>Halal</t>
  </si>
  <si>
    <t>Drinks</t>
  </si>
  <si>
    <t>Musician</t>
  </si>
  <si>
    <t>Porch</t>
  </si>
  <si>
    <t>Breakfast</t>
  </si>
  <si>
    <t>Kosher</t>
  </si>
  <si>
    <t>Household</t>
  </si>
  <si>
    <t>Colleague</t>
  </si>
  <si>
    <t>Linens</t>
  </si>
  <si>
    <t>Garden</t>
  </si>
  <si>
    <t>Low sugar</t>
  </si>
  <si>
    <t>Flowers</t>
  </si>
  <si>
    <t>Neighbour</t>
  </si>
  <si>
    <t>Storage</t>
  </si>
  <si>
    <t>Teacher</t>
  </si>
  <si>
    <t>How costs reach the budget</t>
  </si>
  <si>
    <t>Each of these sheets has a Budget category column. Whatever you pick there is where the money lands on MASTER BUDGET. A cost with no recognised category is reported on QUALITY CHECK rather than quietly dropped.</t>
  </si>
  <si>
    <t>Contributes</t>
  </si>
  <si>
    <t>Suggested category</t>
  </si>
  <si>
    <t>Stocking Stuffers</t>
  </si>
  <si>
    <t>Decorating Plan</t>
  </si>
  <si>
    <t>Décor Inventory (approved replacements)</t>
  </si>
  <si>
    <t>Tablescape + Florals</t>
  </si>
  <si>
    <t>Meal + Baking Plan</t>
  </si>
  <si>
    <t>Grocery List</t>
  </si>
  <si>
    <t>Vendors + Appointments</t>
  </si>
  <si>
    <t>Cards + Mail</t>
  </si>
  <si>
    <t>Events + Wardrobe</t>
  </si>
  <si>
    <t>Travel Plan</t>
  </si>
  <si>
    <t>Donations + Giving</t>
  </si>
  <si>
    <t>Traditions + Bucket List</t>
  </si>
  <si>
    <t>Christmas Calendar</t>
  </si>
  <si>
    <t>ONLINE ORDERS is deliberately absent. An order records the parcel; the gift row records the money. Counting both would double your spending.</t>
  </si>
  <si>
    <t>Quality check</t>
  </si>
  <si>
    <t>Everything the workbook cannot reconcile on its own, counted rather than hidden.</t>
  </si>
  <si>
    <t>A zero in every row is what you want. Anything else names the sheet to open and what to look for.</t>
  </si>
  <si>
    <t>Does the budget agree with its sources?</t>
  </si>
  <si>
    <t>Check</t>
  </si>
  <si>
    <t>Sources say</t>
  </si>
  <si>
    <t>Budget says</t>
  </si>
  <si>
    <t>Difference</t>
  </si>
  <si>
    <t>Verdict</t>
  </si>
  <si>
    <t>What a difference means</t>
  </si>
  <si>
    <t>Planned cost across every module, against MASTER BUDGET Planned</t>
  </si>
  <si>
    <t>A cost is tagged with a category the budget does not have, or with none at all. The rows are counted below.</t>
  </si>
  <si>
    <t>Actual spend less confirmed refunds, against MASTER BUDGET Actual</t>
  </si>
  <si>
    <t>The same cause as above, on the money you have actually spent.</t>
  </si>
  <si>
    <t>Exceptions the trackers raised</t>
  </si>
  <si>
    <t>What was found</t>
  </si>
  <si>
    <t>Count</t>
  </si>
  <si>
    <t>What to do</t>
  </si>
  <si>
    <t>Duplicate IDs on MASTER BUDGET</t>
  </si>
  <si>
    <t>Two rows share an ID. Lookups will find only the first of them.</t>
  </si>
  <si>
    <t>Duplicate IDs on CARDS + MAIL</t>
  </si>
  <si>
    <t>Costs with no budget category on CARDS + MAIL</t>
  </si>
  <si>
    <t>A row carries a cost but no category the MASTER BUDGET recognises, so the money is reported here rather than counted silently.</t>
  </si>
  <si>
    <t>Person ID not found, on CARDS + MAIL</t>
  </si>
  <si>
    <t>An ID in this column does not exist on PEOPLE + BUDGETS.</t>
  </si>
  <si>
    <t>Duplicate IDs on DONATIONS + GIVING</t>
  </si>
  <si>
    <t>Costs with no budget category on DONATIONS + GIVING</t>
  </si>
  <si>
    <t>Duplicate IDs on GIFT PLANNER</t>
  </si>
  <si>
    <t>Costs with no budget category on GIFT PLANNER</t>
  </si>
  <si>
    <t>Person ID not found, on GIFT PLANNER</t>
  </si>
  <si>
    <t>Order ID not found, on GIFT PLANNER</t>
  </si>
  <si>
    <t>An ID in this column does not exist on ONLINE ORDERS.</t>
  </si>
  <si>
    <t>Duplicate IDs on ONLINE ORDERS</t>
  </si>
  <si>
    <t>Person ID not found, on ONLINE ORDERS</t>
  </si>
  <si>
    <t>Duplicate IDs on PEOPLE + BUDGETS</t>
  </si>
  <si>
    <t>Duplicate IDs on RECIPIENT PROFILES</t>
  </si>
  <si>
    <t>Duplicate IDs on RETURNS + EXCHANGES</t>
  </si>
  <si>
    <t>Order ID not found, on RETURNS + EXCHANGES</t>
  </si>
  <si>
    <t>Gift ID not found, on RETURNS + EXCHANGES</t>
  </si>
  <si>
    <t>An ID in this column does not exist on GIFT PLANNER.</t>
  </si>
  <si>
    <t>Duplicate IDs on STOCKING STUFFERS</t>
  </si>
  <si>
    <t>Costs with no budget category on STOCKING STUFFERS</t>
  </si>
  <si>
    <t>Person ID not found, on STOCKING STUFFERS</t>
  </si>
  <si>
    <t>Duplicate IDs on CHRISTMAS CALENDAR</t>
  </si>
  <si>
    <t>Costs with no budget category on CHRISTMAS CALENDAR</t>
  </si>
  <si>
    <t>Duplicate IDs on CLEANING + HOME PREP</t>
  </si>
  <si>
    <t>Duplicate IDs on DECOR INVENTORY</t>
  </si>
  <si>
    <t>Costs with no budget category on DECOR INVENTORY</t>
  </si>
  <si>
    <t>Duplicate IDs on DECORATING PLAN</t>
  </si>
  <si>
    <t>Costs with no budget category on DECORATING PLAN</t>
  </si>
  <si>
    <t>Duplicate IDs on TABLESCAPE + FLORALS</t>
  </si>
  <si>
    <t>Costs with no budget category on TABLESCAPE + FLORALS</t>
  </si>
  <si>
    <t>Event ID not found, on TABLESCAPE + FLORALS</t>
  </si>
  <si>
    <t>An ID in this column does not exist on CHRISTMAS CALENDAR.</t>
  </si>
  <si>
    <t>Duplicate IDs on TRAVEL PLAN</t>
  </si>
  <si>
    <t>Costs with no budget category on TRAVEL PLAN</t>
  </si>
  <si>
    <t>Duplicate IDs on VENDORS + APPOINTMENTS</t>
  </si>
  <si>
    <t>Costs with no budget category on VENDORS + APPOINTMENTS</t>
  </si>
  <si>
    <t>Event ID not found, on VENDORS + APPOINTMENTS</t>
  </si>
  <si>
    <t>Duplicate IDs on EVENTS + WARDROBE</t>
  </si>
  <si>
    <t>Costs with no budget category on EVENTS + WARDROBE</t>
  </si>
  <si>
    <t>Event ID not found, on EVENTS + WARDROBE</t>
  </si>
  <si>
    <t>Duplicate IDs on GROCERY LIST</t>
  </si>
  <si>
    <t>Costs with no budget category on GROCERY LIST</t>
  </si>
  <si>
    <t>Recipe ID not found, on GROCERY LIST</t>
  </si>
  <si>
    <t>An ID in this column does not exist on RECIPE INDEX.</t>
  </si>
  <si>
    <t>Duplicate IDs on HOSTING + GUESTS</t>
  </si>
  <si>
    <t>Person ID not found, on HOSTING + GUESTS</t>
  </si>
  <si>
    <t>Event ID not found, on HOSTING + GUESTS</t>
  </si>
  <si>
    <t>Duplicate IDs on MEAL + BAKING PLAN</t>
  </si>
  <si>
    <t>Costs with no budget category on MEAL + BAKING PLAN</t>
  </si>
  <si>
    <t>Recipe ID not found, on MEAL + BAKING PLAN</t>
  </si>
  <si>
    <t>Duplicate IDs on RECIPE INDEX</t>
  </si>
  <si>
    <t>Duplicate IDs on ADVENT + REFLECTION</t>
  </si>
  <si>
    <t>Duplicate IDs on ANNUAL ARCHIVE</t>
  </si>
  <si>
    <t>Duplicate IDs on MOVIES + MUSIC</t>
  </si>
  <si>
    <t>Duplicate IDs on MEMORIES</t>
  </si>
  <si>
    <t>Duplicate IDs on NEXT YEAR NOTES</t>
  </si>
  <si>
    <t>Duplicate IDs on TRADITIONS + BUCKET LIST</t>
  </si>
  <si>
    <t>Costs with no budget category on TRADITIONS + BUCKET LIST</t>
  </si>
  <si>
    <t>Duplicate IDs on SEASON VISION</t>
  </si>
  <si>
    <t>Blanks and contradictions</t>
  </si>
  <si>
    <t>Budget categories sharing a name</t>
  </si>
  <si>
    <t>Two rows with the same category name would each claim the same costs. Rename one.</t>
  </si>
  <si>
    <t>Gifts with a cost but no recipient</t>
  </si>
  <si>
    <t>The money counts, but the gift will not appear against anybody on PEOPLE + BUDGETS.</t>
  </si>
  <si>
    <t>Gifts marked Purchased with no actual cost</t>
  </si>
  <si>
    <t>Your spending is understated until the receipt figure is typed in.</t>
  </si>
  <si>
    <t>Active people with a budget but no name</t>
  </si>
  <si>
    <t>A budget is set aside for a row nobody can identify.</t>
  </si>
  <si>
    <t>Calendar entries with no date</t>
  </si>
  <si>
    <t>An undated entry can never reach the next-seven-days list.</t>
  </si>
  <si>
    <t>Orders expected but with no expected date</t>
  </si>
  <si>
    <t>The order cannot be judged late or on time.</t>
  </si>
  <si>
    <t>Refunds recorded as received with no amount and no expectation</t>
  </si>
  <si>
    <t>A refund marked received but worth nothing subtracts nothing.</t>
  </si>
  <si>
    <t>Gift rows flagged as possible duplicates</t>
  </si>
  <si>
    <t>Sometimes deliberate. Worth one look before December.</t>
  </si>
  <si>
    <t>Formula errors</t>
  </si>
  <si>
    <t>Calculated cells reporting an error</t>
  </si>
  <si>
    <t>Checked across the budget, people, gift, order, refund and calendar calculations. Anything other than zero should be reported before you go further.</t>
  </si>
  <si>
    <t>Everything above, added up</t>
  </si>
  <si>
    <t>This is the number the dashboard shows. Zero means every figure in the workbook traces back to a row you can 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</si>
</sst>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d mmm yyyy"/>
    <numFmt numFmtId="165" formatCode="#,##0;-#,##0;—"/>
    <numFmt numFmtId="166" formatCode="&quot;$&quot;#,##0.00;[Red]-&quot;$&quot;#,##0.00;&quot;$&quot;—"/>
    <numFmt numFmtId="167" formatCode="ddd d mmm"/>
    <numFmt numFmtId="168" formatCode="#,##0;-#,##0;0"/>
  </numFmts>
  <fonts count="35" x14ac:knownFonts="1">
    <font>
      <color theme="1"/>
      <family val="2"/>
      <scheme val="minor"/>
      <sz val="11"/>
      <name val="Calibri"/>
    </font>
    <font>
      <color rgb="FFB89452"/>
      <sz val="10"/>
      <name val="Aptos"/>
    </font>
    <font>
      <b/>
      <color rgb="FFFFF9EC"/>
      <sz val="34"/>
      <name val="Georgia"/>
    </font>
    <font>
      <i/>
      <color rgb="FFFFF9EC"/>
      <sz val="15"/>
      <name val="Georgia"/>
    </font>
    <font>
      <color rgb="FFB89452"/>
      <sz val="11"/>
      <name val="Aptos"/>
    </font>
    <font>
      <color rgb="FFFFF9EC"/>
      <sz val="11"/>
      <name val="Aptos"/>
    </font>
    <font>
      <b/>
      <color rgb="FFB89452"/>
      <sz val="12"/>
      <name val="Aptos"/>
    </font>
    <font>
      <color rgb="FF6B6257"/>
      <sz val="9"/>
      <name val="Aptos"/>
    </font>
    <font>
      <color rgb="FFB89452"/>
      <sz val="9"/>
      <name val="Aptos"/>
    </font>
    <font>
      <b/>
      <color rgb="FFFFFFFF"/>
      <sz val="9"/>
      <name val="Aptos"/>
    </font>
    <font>
      <b/>
      <color rgb="FF173F35"/>
      <sz val="22"/>
      <name val="Georgia"/>
    </font>
    <font>
      <i/>
      <color rgb="FF6B6257"/>
      <sz val="10"/>
      <name val="Aptos"/>
    </font>
    <font>
      <b/>
      <color rgb="FF173F35"/>
      <sz val="14"/>
      <name val="Georgia"/>
    </font>
    <font>
      <b/>
      <color rgb="FFB89452"/>
      <sz val="18"/>
      <name val="Georgia"/>
    </font>
    <font>
      <b/>
      <color rgb="FF173F35"/>
      <sz val="11"/>
      <name val="Aptos"/>
    </font>
    <font>
      <color rgb="FF252525"/>
      <sz val="10"/>
      <name val="Aptos"/>
    </font>
    <font>
      <b/>
      <color rgb="FF173F35"/>
      <sz val="10"/>
      <name val="Aptos"/>
    </font>
    <font>
      <b/>
      <color rgb="FFB89452"/>
      <sz val="10"/>
      <name val="Aptos"/>
    </font>
    <font>
      <color rgb="FF252525"/>
      <sz val="11"/>
      <name val="Aptos"/>
    </font>
    <font>
      <b/>
      <color rgb="FF6B6257"/>
      <sz val="9"/>
      <name val="Aptos"/>
    </font>
    <font>
      <b/>
      <color rgb="FF7D1F2D"/>
      <sz val="22"/>
      <name val="Georgia"/>
    </font>
    <font>
      <color rgb="FF6B6257"/>
      <sz val="8"/>
      <name val="Aptos"/>
    </font>
    <font>
      <b/>
      <color rgb="FF245B4B"/>
      <sz val="22"/>
      <name val="Georgia"/>
    </font>
    <font>
      <b/>
      <color rgb="FF7D1F2D"/>
      <sz val="14"/>
      <name val="Georgia"/>
    </font>
    <font>
      <color rgb="FF245B4B"/>
      <sz val="9"/>
      <name val="Aptos"/>
    </font>
    <font>
      <color rgb="FF173F35"/>
      <sz val="10"/>
      <name val="Aptos"/>
    </font>
    <font>
      <color rgb="FF6B6257"/>
      <sz val="10"/>
      <name val="Aptos"/>
    </font>
    <font>
      <b/>
      <color rgb="FFFFFFFF"/>
      <sz val="10"/>
      <name val="Aptos"/>
    </font>
    <font>
      <i/>
      <color rgb="FF6B6257"/>
      <sz val="11"/>
      <name val="Aptos"/>
    </font>
    <font>
      <i/>
      <color rgb="FF252525"/>
      <sz val="10"/>
      <name val="Aptos"/>
    </font>
    <font>
      <b/>
      <color rgb="FF7D1F2D"/>
      <sz val="9"/>
      <name val="Aptos"/>
    </font>
    <font>
      <b/>
      <color rgb="FF245B4B"/>
      <sz val="10"/>
      <name val="Aptos"/>
    </font>
    <font>
      <color rgb="FF252525"/>
      <sz val="9"/>
      <name val="Aptos"/>
    </font>
    <font>
      <b/>
      <color rgb="FF173F35"/>
      <sz val="12"/>
      <name val="Aptos"/>
    </font>
    <font>
      <b/>
      <color rgb="FF7D1F2D"/>
      <sz val="20"/>
      <name val="Georgia"/>
    </font>
  </fonts>
  <fills count="8">
    <fill>
      <patternFill patternType="none"/>
    </fill>
    <fill>
      <patternFill patternType="gray125"/>
    </fill>
    <fill>
      <patternFill patternType="solid">
        <fgColor rgb="FF173F35"/>
      </patternFill>
    </fill>
    <fill>
      <patternFill patternType="solid">
        <fgColor rgb="FFFFF9EC"/>
      </patternFill>
    </fill>
    <fill>
      <patternFill patternType="solid">
        <fgColor rgb="FFE7EFE9"/>
      </patternFill>
    </fill>
    <fill>
      <patternFill patternType="solid">
        <fgColor rgb="FFF7E7C3"/>
      </patternFill>
    </fill>
    <fill>
      <patternFill patternType="solid">
        <fgColor rgb="FFF7E7E8"/>
      </patternFill>
    </fill>
    <fill>
      <patternFill patternType="solid">
        <fgColor rgb="FFFFFFFF"/>
      </patternFill>
    </fill>
  </fills>
  <borders count="12">
    <border>
      <left/>
      <right/>
      <top/>
      <bottom/>
      <diagonal/>
    </border>
    <border>
      <left/>
      <right/>
      <top/>
      <bottom style="thin">
        <color rgb="FFB89452"/>
      </bottom>
      <diagonal/>
    </border>
    <border>
      <left style="thin">
        <color rgb="FFD8CDB4"/>
      </left>
      <right style="thin">
        <color rgb="FFD8CDB4"/>
      </right>
      <top style="thin">
        <color rgb="FFD8CDB4"/>
      </top>
      <bottom style="thin">
        <color rgb="FFD8CDB4"/>
      </bottom>
      <diagonal/>
    </border>
    <border>
      <left style="thin">
        <color rgb="FFD8CDB4"/>
      </left>
      <right/>
      <top style="medium">
        <color rgb="FF7D1F2D"/>
      </top>
      <bottom/>
      <diagonal/>
    </border>
    <border>
      <left style="thin">
        <color rgb="FFD8CDB4"/>
      </left>
      <right/>
      <top style="medium">
        <color rgb="FF173F35"/>
      </top>
      <bottom/>
      <diagonal/>
    </border>
    <border>
      <left style="thin">
        <color rgb="FFD8CDB4"/>
      </left>
      <right/>
      <top/>
      <bottom/>
      <diagonal/>
    </border>
    <border>
      <left/>
      <right style="thin">
        <color rgb="FFD8CDB4"/>
      </right>
      <top/>
      <bottom/>
      <diagonal/>
    </border>
    <border>
      <left style="thin">
        <color rgb="FFD8CDB4"/>
      </left>
      <right/>
      <top/>
      <bottom style="thin">
        <color rgb="FFD8CDB4"/>
      </bottom>
      <diagonal/>
    </border>
    <border>
      <left style="thin">
        <color rgb="FFD8CDB4"/>
      </left>
      <right/>
      <top style="medium">
        <color rgb="FF245B4B"/>
      </top>
      <bottom/>
      <diagonal/>
    </border>
    <border>
      <left/>
      <right/>
      <top/>
      <bottom style="thin">
        <color rgb="FFD8CDB4"/>
      </bottom>
      <diagonal/>
    </border>
    <border>
      <left/>
      <right/>
      <top/>
      <bottom style="medium">
        <color rgb="FFB89452"/>
      </bottom>
      <diagonal/>
    </border>
    <border>
      <left/>
      <right style="hair">
        <color rgb="FFD8CDB4"/>
      </right>
      <top/>
      <bottom style="hair">
        <color rgb="FFD8CDB4"/>
      </bottom>
      <diagonal/>
    </border>
  </borders>
  <cellStyleXfs count="1">
    <xf numFmtId="0" fontId="0" fillId="0" borderId="0"/>
  </cellStyleXfs>
  <cellXfs count="118">
    <xf numFmtId="0" fontId="0" fillId="0" borderId="0" xfId="0"/>
    <xf numFmtId="0" fontId="0" fillId="2" borderId="0" xfId="0" applyFill="1" applyProtection="1"/>
    <xf numFmtId="0" fontId="1" fillId="2" borderId="0" xfId="0" applyFont="1" applyFill="1" applyAlignment="1" applyProtection="1">
      <alignment horizontal="left" vertical="center" indent="1"/>
    </xf>
    <xf numFmtId="0" fontId="2" fillId="2" borderId="0" xfId="0" applyFont="1" applyFill="1" applyAlignment="1" applyProtection="1">
      <alignment horizontal="left" vertical="center" indent="1"/>
    </xf>
    <xf numFmtId="0" fontId="0" fillId="2" borderId="1" xfId="0" applyFill="1" applyBorder="1" applyProtection="1"/>
    <xf numFmtId="0" fontId="3" fillId="2" borderId="0" xfId="0" applyFont="1" applyFill="1" applyAlignment="1" applyProtection="1">
      <alignment horizontal="left" vertical="center" indent="1"/>
    </xf>
    <xf numFmtId="0" fontId="4" fillId="2" borderId="0" xfId="0" applyFont="1" applyFill="1" applyAlignment="1" applyProtection="1">
      <alignment horizontal="left" vertical="center" indent="1"/>
    </xf>
    <xf numFmtId="0" fontId="5" fillId="2" borderId="0" xfId="0" applyFont="1" applyFill="1" applyAlignment="1" applyProtection="1">
      <alignment horizontal="left" vertical="center" indent="1"/>
    </xf>
    <xf numFmtId="0" fontId="6" fillId="2" borderId="0" xfId="0" applyFont="1" applyFill="1" applyAlignment="1" applyProtection="1">
      <alignment horizontal="left" vertical="center" indent="1"/>
    </xf>
    <xf numFmtId="0" fontId="7" fillId="2" borderId="0" xfId="0" applyFont="1" applyFill="1" applyAlignment="1" applyProtection="1">
      <alignment horizontal="left" vertical="center" indent="1"/>
    </xf>
    <xf numFmtId="0" fontId="8" fillId="2" borderId="1" xfId="0" applyFont="1" applyFill="1" applyBorder="1" applyAlignment="1" applyProtection="1">
      <alignment horizontal="left" vertical="center" indent="1"/>
    </xf>
    <xf numFmtId="0" fontId="9" fillId="2" borderId="1" xfId="0" applyFont="1" applyFill="1" applyBorder="1" applyAlignment="1" applyProtection="1">
      <alignment horizontal="left" vertical="center" indent="1"/>
    </xf>
    <xf numFmtId="0" fontId="0" fillId="3" borderId="0" xfId="0" applyFill="1" applyProtection="1"/>
    <xf numFmtId="0" fontId="10" fillId="3" borderId="0" xfId="0" applyFont="1" applyFill="1" applyAlignment="1" applyProtection="1">
      <alignment horizontal="left" vertical="center"/>
    </xf>
    <xf numFmtId="0" fontId="11" fillId="3" borderId="0" xfId="0" applyFont="1" applyFill="1" applyAlignment="1" applyProtection="1">
      <alignment horizontal="left" vertical="center"/>
    </xf>
    <xf numFmtId="0" fontId="7" fillId="3" borderId="0" xfId="0" applyFont="1" applyFill="1" applyAlignment="1" applyProtection="1">
      <alignment horizontal="left" vertical="center"/>
    </xf>
    <xf numFmtId="0" fontId="0" fillId="0" borderId="0" xfId="0" applyProtection="1"/>
    <xf numFmtId="0" fontId="12" fillId="0" borderId="1" xfId="0" applyFont="1" applyBorder="1" applyAlignment="1" applyProtection="1">
      <alignment horizontal="left" vertical="bottom"/>
    </xf>
    <xf numFmtId="0" fontId="0" fillId="0" borderId="1" xfId="0" applyBorder="1" applyProtection="1"/>
    <xf numFmtId="0" fontId="13" fillId="0" borderId="0" xfId="0" applyFont="1" applyAlignment="1" applyProtection="1">
      <alignment horizontal="left" vertical="top"/>
    </xf>
    <xf numFmtId="0" fontId="14" fillId="0" borderId="0" xfId="0" applyFont="1" applyAlignment="1" applyProtection="1">
      <alignment horizontal="left" vertical="top" wrapText="1"/>
    </xf>
    <xf numFmtId="0" fontId="15" fillId="0" borderId="0" xfId="0" applyFont="1" applyAlignment="1" applyProtection="1">
      <alignment horizontal="left" vertical="top" wrapText="1"/>
    </xf>
    <xf numFmtId="0" fontId="0" fillId="3" borderId="2" xfId="0" applyFill="1" applyBorder="1" applyProtection="1"/>
    <xf numFmtId="0" fontId="16" fillId="0" borderId="0" xfId="0" applyFont="1" applyAlignment="1" applyProtection="1">
      <alignment horizontal="left" vertical="top"/>
    </xf>
    <xf numFmtId="0" fontId="0" fillId="4" borderId="2" xfId="0" applyFill="1" applyBorder="1" applyProtection="1"/>
    <xf numFmtId="0" fontId="0" fillId="5" borderId="2" xfId="0" applyFill="1" applyBorder="1" applyProtection="1"/>
    <xf numFmtId="0" fontId="0" fillId="6" borderId="2" xfId="0" applyFill="1" applyBorder="1" applyProtection="1"/>
    <xf numFmtId="0" fontId="7" fillId="0" borderId="0" xfId="0" applyFont="1" applyAlignment="1" applyProtection="1">
      <alignment horizontal="left" vertical="top" wrapText="1"/>
    </xf>
    <xf numFmtId="0" fontId="17" fillId="0" borderId="0" xfId="0" applyFont="1" applyAlignment="1" applyProtection="1">
      <alignment horizontal="left" vertical="top"/>
    </xf>
    <xf numFmtId="0" fontId="16" fillId="0" borderId="0" xfId="0" applyFont="1" applyAlignment="1" applyProtection="1">
      <alignment horizontal="right" vertical="center"/>
    </xf>
    <xf numFmtId="1" fontId="18" fillId="3" borderId="2" xfId="0" applyNumberFormat="1" applyFont="1" applyFill="1" applyBorder="1" applyAlignment="1" applyProtection="1">
      <alignment horizontal="left" vertical="center" indent="1"/>
      <protection locked="0"/>
    </xf>
    <xf numFmtId="0" fontId="7" fillId="0" borderId="0" xfId="0" applyFont="1" applyAlignment="1" applyProtection="1">
      <alignment horizontal="left" vertical="center" wrapText="1"/>
    </xf>
    <xf numFmtId="164" fontId="18" fillId="3" borderId="2" xfId="0" applyNumberFormat="1" applyFont="1" applyFill="1" applyBorder="1" applyAlignment="1" applyProtection="1">
      <alignment horizontal="left" vertical="center" indent="1"/>
      <protection locked="0"/>
    </xf>
    <xf numFmtId="0" fontId="18" fillId="3" borderId="2" xfId="0" applyFont="1" applyFill="1" applyBorder="1" applyAlignment="1" applyProtection="1">
      <alignment horizontal="left" vertical="center" indent="1"/>
      <protection locked="0"/>
    </xf>
    <xf numFmtId="9" fontId="18" fillId="3" borderId="2" xfId="0" applyNumberFormat="1" applyFont="1" applyFill="1" applyBorder="1" applyAlignment="1" applyProtection="1">
      <alignment horizontal="left" vertical="center" indent="1"/>
      <protection locked="0"/>
    </xf>
    <xf numFmtId="165" fontId="18" fillId="3" borderId="2" xfId="0" applyNumberFormat="1" applyFont="1" applyFill="1" applyBorder="1" applyAlignment="1" applyProtection="1">
      <alignment horizontal="left" vertical="center" indent="1"/>
      <protection locked="0"/>
    </xf>
    <xf numFmtId="0" fontId="18" fillId="4" borderId="2" xfId="0" applyFont="1" applyFill="1" applyBorder="1" applyAlignment="1" applyProtection="1">
      <alignment horizontal="left" vertical="center" indent="1"/>
      <protection locked="0"/>
    </xf>
    <xf numFmtId="0" fontId="16" fillId="0" borderId="0" xfId="0" applyFont="1" applyAlignment="1" applyProtection="1">
      <alignment horizontal="right" vertical="top"/>
    </xf>
    <xf numFmtId="0" fontId="19" fillId="7" borderId="3" xfId="0" applyFont="1" applyFill="1" applyBorder="1" applyAlignment="1" applyProtection="1">
      <alignment horizontal="left" vertical="center" indent="1"/>
    </xf>
    <xf numFmtId="0" fontId="19" fillId="7" borderId="4" xfId="0" applyFont="1" applyFill="1" applyBorder="1" applyAlignment="1" applyProtection="1">
      <alignment horizontal="left" vertical="center" indent="1"/>
    </xf>
    <xf numFmtId="165" fontId="20" fillId="7" borderId="5" xfId="0" applyNumberFormat="1" applyFont="1" applyFill="1" applyBorder="1" applyAlignment="1" applyProtection="1">
      <alignment horizontal="left" vertical="center" indent="1"/>
    </xf>
    <xf numFmtId="166" fontId="10" fillId="7" borderId="5" xfId="0" applyNumberFormat="1" applyFont="1" applyFill="1" applyBorder="1" applyAlignment="1" applyProtection="1">
      <alignment horizontal="left" vertical="center" indent="1"/>
    </xf>
    <xf numFmtId="166" fontId="20" fillId="7" borderId="5" xfId="0" applyNumberFormat="1" applyFont="1" applyFill="1" applyBorder="1" applyAlignment="1" applyProtection="1">
      <alignment horizontal="left" vertical="center" indent="1"/>
    </xf>
    <xf numFmtId="0" fontId="0" fillId="7" borderId="5" xfId="0" applyFill="1" applyBorder="1" applyProtection="1"/>
    <xf numFmtId="0" fontId="0" fillId="7" borderId="0" xfId="0" applyFill="1" applyProtection="1"/>
    <xf numFmtId="0" fontId="0" fillId="7" borderId="6" xfId="0" applyFill="1" applyBorder="1" applyProtection="1"/>
    <xf numFmtId="0" fontId="21" fillId="7" borderId="7" xfId="0" applyFont="1" applyFill="1" applyBorder="1" applyAlignment="1" applyProtection="1">
      <alignment horizontal="left" vertical="top" wrapText="1" indent="1"/>
    </xf>
    <xf numFmtId="0" fontId="19" fillId="7" borderId="8" xfId="0" applyFont="1" applyFill="1" applyBorder="1" applyAlignment="1" applyProtection="1">
      <alignment horizontal="left" vertical="center" indent="1"/>
    </xf>
    <xf numFmtId="9" fontId="22" fillId="7" borderId="5" xfId="0" applyNumberFormat="1" applyFont="1" applyFill="1" applyBorder="1" applyAlignment="1" applyProtection="1">
      <alignment horizontal="left" vertical="center" indent="1"/>
    </xf>
    <xf numFmtId="165" fontId="23" fillId="0" borderId="9" xfId="0" applyNumberFormat="1" applyFont="1" applyBorder="1" applyAlignment="1" applyProtection="1">
      <alignment horizontal="right" vertical="center"/>
    </xf>
    <xf numFmtId="0" fontId="15" fillId="0" borderId="9" xfId="0" applyFont="1" applyBorder="1" applyAlignment="1" applyProtection="1">
      <alignment horizontal="left" vertical="center" indent="1"/>
    </xf>
    <xf numFmtId="0" fontId="0" fillId="0" borderId="9" xfId="0" applyBorder="1" applyProtection="1"/>
    <xf numFmtId="0" fontId="24" fillId="0" borderId="9" xfId="0" applyFont="1" applyBorder="1" applyAlignment="1" applyProtection="1">
      <alignment horizontal="left" vertical="center"/>
    </xf>
    <xf numFmtId="0" fontId="19" fillId="0" borderId="0" xfId="0" applyFont="1" applyAlignment="1" applyProtection="1">
      <alignment horizontal="left" vertical="center"/>
    </xf>
    <xf numFmtId="0" fontId="25" fillId="0" borderId="0" xfId="0" applyFont="1" applyAlignment="1" applyProtection="1">
      <alignment horizontal="left" vertical="center"/>
    </xf>
    <xf numFmtId="167" fontId="26" fillId="0" borderId="9" xfId="0" applyNumberFormat="1" applyFont="1" applyBorder="1" applyAlignment="1" applyProtection="1">
      <alignment horizontal="left" vertical="center"/>
    </xf>
    <xf numFmtId="0" fontId="15" fillId="0" borderId="9" xfId="0" applyFont="1" applyBorder="1" applyAlignment="1" applyProtection="1">
      <alignment horizontal="left" vertical="center"/>
    </xf>
    <xf numFmtId="0" fontId="7" fillId="0" borderId="0" xfId="0" applyFont="1" applyAlignment="1" applyProtection="1">
      <alignment horizontal="left" vertical="top"/>
    </xf>
    <xf numFmtId="0" fontId="27" fillId="2" borderId="10" xfId="0" applyFont="1" applyFill="1" applyBorder="1" applyAlignment="1" applyProtection="1">
      <alignment horizontal="left" vertical="bottom" wrapText="1"/>
    </xf>
    <xf numFmtId="0" fontId="7" fillId="4" borderId="0" xfId="0" applyFont="1" applyFill="1" applyProtection="1"/>
    <xf numFmtId="166" fontId="7" fillId="4" borderId="0" xfId="0" applyNumberFormat="1" applyFont="1" applyFill="1" applyProtection="1"/>
    <xf numFmtId="9" fontId="7" fillId="4" borderId="0" xfId="0" applyNumberFormat="1" applyFont="1" applyFill="1" applyProtection="1"/>
    <xf numFmtId="0" fontId="0" fillId="2" borderId="1" xfId="0" applyFill="1" applyBorder="1"/>
    <xf numFmtId="0" fontId="8" fillId="2" borderId="1" xfId="0" applyFont="1" applyFill="1" applyBorder="1" applyAlignment="1">
      <alignment horizontal="left" vertical="center" indent="1"/>
    </xf>
    <xf numFmtId="0" fontId="0" fillId="3" borderId="0" xfId="0" applyFill="1"/>
    <xf numFmtId="0" fontId="10" fillId="3" borderId="0" xfId="0" applyFont="1" applyFill="1" applyAlignment="1">
      <alignment horizontal="left" vertical="center"/>
    </xf>
    <xf numFmtId="0" fontId="11" fillId="3" borderId="0" xfId="0" applyFont="1" applyFill="1" applyAlignment="1">
      <alignment horizontal="left" vertical="center"/>
    </xf>
    <xf numFmtId="0" fontId="7" fillId="3" borderId="0" xfId="0" applyFont="1" applyFill="1" applyAlignment="1">
      <alignment horizontal="left" vertical="center"/>
    </xf>
    <xf numFmtId="0" fontId="12" fillId="0" borderId="1" xfId="0" applyFont="1" applyBorder="1" applyAlignment="1">
      <alignment horizontal="left" vertical="bottom"/>
    </xf>
    <xf numFmtId="0" fontId="0" fillId="0" borderId="1" xfId="0" applyBorder="1"/>
    <xf numFmtId="0" fontId="16" fillId="0" borderId="0" xfId="0" applyFont="1" applyAlignment="1">
      <alignment horizontal="right" vertical="center"/>
    </xf>
    <xf numFmtId="0" fontId="28" fillId="5" borderId="2" xfId="0" applyFont="1" applyFill="1" applyBorder="1" applyAlignment="1" applyProtection="1">
      <alignment horizontal="left" vertical="center" indent="1"/>
      <protection locked="0"/>
    </xf>
    <xf numFmtId="0" fontId="7" fillId="0" borderId="0" xfId="0" applyFont="1" applyAlignment="1">
      <alignment horizontal="left" vertical="top" wrapText="1"/>
    </xf>
    <xf numFmtId="0" fontId="0" fillId="2" borderId="0" xfId="0" applyFill="1"/>
    <xf numFmtId="0" fontId="27" fillId="2" borderId="10" xfId="0" applyFont="1" applyFill="1" applyBorder="1" applyAlignment="1">
      <alignment horizontal="left" vertical="bottom" wrapText="1"/>
    </xf>
    <xf numFmtId="0" fontId="0" fillId="7" borderId="0" xfId="0" applyFill="1"/>
    <xf numFmtId="0" fontId="29" fillId="5" borderId="11" xfId="0" applyFont="1" applyFill="1" applyBorder="1" applyAlignment="1" applyProtection="1">
      <alignment horizontal="left" vertical="top"/>
      <protection locked="0"/>
    </xf>
    <xf numFmtId="0" fontId="29" fillId="5" borderId="11" xfId="0" applyFont="1" applyFill="1" applyBorder="1" applyAlignment="1" applyProtection="1">
      <alignment horizontal="left" vertical="top" wrapText="1"/>
      <protection locked="0"/>
    </xf>
    <xf numFmtId="0" fontId="25" fillId="4" borderId="11" xfId="0" applyFont="1" applyFill="1" applyBorder="1" applyAlignment="1" applyProtection="1">
      <alignment horizontal="left" vertical="top"/>
    </xf>
    <xf numFmtId="0" fontId="15" fillId="3" borderId="11" xfId="0" applyFont="1" applyFill="1" applyBorder="1" applyAlignment="1" applyProtection="1">
      <alignment horizontal="left" vertical="top"/>
      <protection locked="0"/>
    </xf>
    <xf numFmtId="0" fontId="15" fillId="3" borderId="11" xfId="0" applyFont="1" applyFill="1" applyBorder="1" applyAlignment="1" applyProtection="1">
      <alignment horizontal="left" vertical="top" wrapText="1"/>
      <protection locked="0"/>
    </xf>
    <xf numFmtId="164" fontId="29" fillId="5" borderId="11" xfId="0" applyNumberFormat="1" applyFont="1" applyFill="1" applyBorder="1" applyAlignment="1" applyProtection="1">
      <alignment horizontal="center" vertical="top"/>
      <protection locked="0"/>
    </xf>
    <xf numFmtId="164" fontId="15" fillId="3" borderId="11" xfId="0" applyNumberFormat="1" applyFont="1" applyFill="1" applyBorder="1" applyAlignment="1" applyProtection="1">
      <alignment horizontal="center" vertical="top"/>
      <protection locked="0"/>
    </xf>
    <xf numFmtId="0" fontId="30" fillId="0" borderId="0" xfId="0" applyFont="1" applyAlignment="1">
      <alignment horizontal="left" vertical="top"/>
    </xf>
    <xf numFmtId="166" fontId="29" fillId="5" borderId="11" xfId="0" applyNumberFormat="1" applyFont="1" applyFill="1" applyBorder="1" applyAlignment="1" applyProtection="1">
      <alignment horizontal="right" vertical="top"/>
      <protection locked="0"/>
    </xf>
    <xf numFmtId="166" fontId="25" fillId="4" borderId="11" xfId="0" applyNumberFormat="1" applyFont="1" applyFill="1" applyBorder="1" applyAlignment="1" applyProtection="1">
      <alignment horizontal="right" vertical="top"/>
    </xf>
    <xf numFmtId="166" fontId="15" fillId="3" borderId="11" xfId="0" applyNumberFormat="1" applyFont="1" applyFill="1" applyBorder="1" applyAlignment="1" applyProtection="1">
      <alignment horizontal="right" vertical="top"/>
      <protection locked="0"/>
    </xf>
    <xf numFmtId="0" fontId="9" fillId="2" borderId="1" xfId="0" applyFont="1" applyFill="1" applyBorder="1" applyAlignment="1">
      <alignment horizontal="left" vertical="center" indent="1"/>
    </xf>
    <xf numFmtId="9" fontId="25" fillId="4" borderId="11" xfId="0" applyNumberFormat="1" applyFont="1" applyFill="1" applyBorder="1" applyAlignment="1" applyProtection="1">
      <alignment horizontal="right" vertical="top"/>
    </xf>
    <xf numFmtId="165" fontId="29" fillId="5" borderId="11" xfId="0" applyNumberFormat="1" applyFont="1" applyFill="1" applyBorder="1" applyAlignment="1" applyProtection="1">
      <alignment horizontal="right" vertical="top"/>
      <protection locked="0"/>
    </xf>
    <xf numFmtId="165" fontId="15" fillId="3" borderId="11" xfId="0" applyNumberFormat="1" applyFont="1" applyFill="1" applyBorder="1" applyAlignment="1" applyProtection="1">
      <alignment horizontal="right" vertical="top"/>
      <protection locked="0"/>
    </xf>
    <xf numFmtId="0" fontId="7" fillId="0" borderId="0" xfId="0" applyFont="1" applyAlignment="1">
      <alignment horizontal="left" vertical="top"/>
    </xf>
    <xf numFmtId="0" fontId="25" fillId="4" borderId="11" xfId="0" applyFont="1" applyFill="1" applyBorder="1" applyAlignment="1" applyProtection="1">
      <alignment horizontal="left" vertical="top" wrapText="1"/>
    </xf>
    <xf numFmtId="164" fontId="25" fillId="4" borderId="11" xfId="0" applyNumberFormat="1" applyFont="1" applyFill="1" applyBorder="1" applyAlignment="1" applyProtection="1">
      <alignment horizontal="center" vertical="top"/>
    </xf>
    <xf numFmtId="18" fontId="29" fillId="5" borderId="11" xfId="0" applyNumberFormat="1" applyFont="1" applyFill="1" applyBorder="1" applyAlignment="1" applyProtection="1">
      <alignment horizontal="center" vertical="top"/>
      <protection locked="0"/>
    </xf>
    <xf numFmtId="165" fontId="25" fillId="4" borderId="11" xfId="0" applyNumberFormat="1" applyFont="1" applyFill="1" applyBorder="1" applyAlignment="1" applyProtection="1">
      <alignment horizontal="right" vertical="top"/>
    </xf>
    <xf numFmtId="18" fontId="15" fillId="3" borderId="11" xfId="0" applyNumberFormat="1" applyFont="1" applyFill="1" applyBorder="1" applyAlignment="1" applyProtection="1">
      <alignment horizontal="center" vertical="top"/>
      <protection locked="0"/>
    </xf>
    <xf numFmtId="1" fontId="29" fillId="5" borderId="11" xfId="0" applyNumberFormat="1" applyFont="1" applyFill="1" applyBorder="1" applyAlignment="1" applyProtection="1">
      <alignment horizontal="left" vertical="top"/>
      <protection locked="0"/>
    </xf>
    <xf numFmtId="1" fontId="15" fillId="3" borderId="11" xfId="0" applyNumberFormat="1" applyFont="1" applyFill="1" applyBorder="1" applyAlignment="1" applyProtection="1">
      <alignment horizontal="left" vertical="top"/>
      <protection locked="0"/>
    </xf>
    <xf numFmtId="0" fontId="7" fillId="0" borderId="9" xfId="0" applyFont="1" applyBorder="1" applyProtection="1"/>
    <xf numFmtId="0" fontId="31" fillId="0" borderId="9" xfId="0" applyFont="1" applyBorder="1" applyProtection="1"/>
    <xf numFmtId="0" fontId="32" fillId="0" borderId="9" xfId="0" applyFont="1" applyBorder="1" applyAlignment="1" applyProtection="1">
      <alignment vertical="center" wrapText="1"/>
    </xf>
    <xf numFmtId="0" fontId="8" fillId="0" borderId="9" xfId="0" applyFont="1" applyBorder="1" applyProtection="1"/>
    <xf numFmtId="0" fontId="15" fillId="3" borderId="9" xfId="0" applyFont="1" applyFill="1" applyBorder="1" applyProtection="1">
      <protection locked="0"/>
    </xf>
    <xf numFmtId="0" fontId="15" fillId="0" borderId="0" xfId="0" applyFont="1" applyAlignment="1">
      <alignment horizontal="left" vertical="top" wrapText="1"/>
    </xf>
    <xf numFmtId="0" fontId="16" fillId="0" borderId="9" xfId="0" applyFont="1" applyBorder="1" applyAlignment="1">
      <alignment horizontal="left" vertical="top"/>
    </xf>
    <xf numFmtId="0" fontId="15" fillId="0" borderId="9" xfId="0" applyFont="1" applyBorder="1" applyAlignment="1">
      <alignment horizontal="left" vertical="top"/>
    </xf>
    <xf numFmtId="0" fontId="26" fillId="0" borderId="9" xfId="0" applyFont="1" applyBorder="1" applyAlignment="1">
      <alignment horizontal="left" vertical="top"/>
    </xf>
    <xf numFmtId="166" fontId="14" fillId="4" borderId="0" xfId="0" applyNumberFormat="1" applyFont="1" applyFill="1" applyAlignment="1" applyProtection="1">
      <alignment horizontal="right" vertical="center"/>
    </xf>
    <xf numFmtId="0" fontId="31" fillId="0" borderId="0" xfId="0" applyFont="1" applyAlignment="1" applyProtection="1">
      <alignment horizontal="left" vertical="center"/>
    </xf>
    <xf numFmtId="0" fontId="15" fillId="0" borderId="9" xfId="0" applyFont="1" applyBorder="1" applyAlignment="1" applyProtection="1">
      <alignment horizontal="left" vertical="top"/>
    </xf>
    <xf numFmtId="168" fontId="14" fillId="4" borderId="9" xfId="0" applyNumberFormat="1" applyFont="1" applyFill="1" applyBorder="1" applyAlignment="1" applyProtection="1">
      <alignment horizontal="right" vertical="center"/>
    </xf>
    <xf numFmtId="0" fontId="24" fillId="0" borderId="9" xfId="0" applyFont="1" applyBorder="1" applyProtection="1"/>
    <xf numFmtId="0" fontId="7" fillId="0" borderId="9" xfId="0" applyFont="1" applyBorder="1" applyAlignment="1" applyProtection="1">
      <alignment horizontal="left" vertical="top" wrapText="1"/>
    </xf>
    <xf numFmtId="0" fontId="15" fillId="0" borderId="0" xfId="0" applyFont="1" applyAlignment="1" applyProtection="1">
      <alignment horizontal="left" vertical="top"/>
    </xf>
    <xf numFmtId="168" fontId="14" fillId="4" borderId="0" xfId="0" applyNumberFormat="1" applyFont="1" applyFill="1" applyAlignment="1" applyProtection="1">
      <alignment horizontal="right" vertical="center"/>
    </xf>
    <xf numFmtId="0" fontId="33" fillId="0" borderId="0" xfId="0" applyFont="1" applyAlignment="1" applyProtection="1">
      <alignment horizontal="left" vertical="top"/>
    </xf>
    <xf numFmtId="0" fontId="34" fillId="0" borderId="0" xfId="0" applyFont="1" applyAlignment="1" applyProtection="1">
      <alignment horizontal="right" vertical="center"/>
    </xf>
  </cellXfs>
  <cellStyles count="1">
    <cellStyle name="Normal" xfId="0" builtinId="0"/>
  </cellStyles>
  <dxfs count="579">
    <dxf>
      <font>
        <color rgb="FF6B6257"/>
        <sz val="14"/>
        <name val="Georgia"/>
      </font>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b/>
        <color rgb="FF7D1F2D"/>
        <sz val="10"/>
        <name val="Aptos"/>
      </font>
      <fill>
        <patternFill patternType="solid">
          <bgColor rgb="FFF7E7E8"/>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52525"/>
        <sz val="10"/>
        <name val="Aptos"/>
      </font>
      <fill>
        <patternFill patternType="solid">
          <bgColor rgb="FFF7E7C3"/>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245B4B"/>
        <sz val="10"/>
        <name val="Aptos"/>
      </font>
      <fill>
        <patternFill patternType="solid">
          <bgColor rgb="FFE7EFE9"/>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
      <font>
        <color rgb="FF6B6257"/>
        <sz val="10"/>
        <name val="Aptos"/>
      </font>
      <fill>
        <patternFill patternType="solid">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s>
</file>

<file path=xl/charts/chart1.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000" b="1">
                <a:solidFill>
                  <a:srgbClr val="173F35"/>
                </a:solidFill>
                <a:latin typeface="Aptos"/>
              </a:defRPr>
            </a:pPr>
            <a:r>
              <a:rPr lang="en-GB" sz="1000" b="1"/>
              <a:t>Budget and spend, ten largest categories</a:t>
            </a:r>
          </a:p>
        </c:rich>
      </c:tx>
      <c:overlay val="0"/>
    </c:title>
    <c:autoTitleDeleted val="0"/>
    <c:plotArea>
      <c:layout/>
      <c:barChart>
        <c:barDir val="bar"/>
        <c:grouping val="clustered"/>
        <c:varyColors val="0"/>
        <c:ser>
          <c:idx val="0"/>
          <c:order val="0"/>
          <c:tx>
            <c:strRef>
              <c:f>DASHBOARD!$D$59</c:f>
              <c:strCache>
                <c:ptCount val="1"/>
              </c:strCache>
            </c:strRef>
          </c:tx>
          <c:spPr>
            <a:solidFill>
              <a:srgbClr val="B89452"/>
            </a:solidFill>
            <a:ln>
              <a:noFill/>
            </a:ln>
          </c:spPr>
          <c:invertIfNegative val="0"/>
          <c:cat>
            <c:strRef>
              <c:f>DASHBOARD!$B$60:$B$69</c:f>
              <c:strCache>
                <c:ptCount val="10"/>
              </c:strCache>
            </c:strRef>
          </c:cat>
          <c:val>
            <c:numRef>
              <c:f>DASHBOARD!$D$60:$D$69</c:f>
              <c:numCache>
                <c:formatCode>"$"#,##0</c:formatCode>
                <c:ptCount val="10"/>
              </c:numCache>
            </c:numRef>
          </c:val>
        </c:ser>
        <c:ser>
          <c:idx val="1"/>
          <c:order val="1"/>
          <c:tx>
            <c:strRef>
              <c:f>DASHBOARD!$E$59</c:f>
              <c:strCache>
                <c:ptCount val="1"/>
              </c:strCache>
            </c:strRef>
          </c:tx>
          <c:spPr>
            <a:solidFill>
              <a:srgbClr val="173F35"/>
            </a:solidFill>
            <a:ln>
              <a:noFill/>
            </a:ln>
          </c:spPr>
          <c:invertIfNegative val="0"/>
          <c:cat>
            <c:strRef>
              <c:f>DASHBOARD!$B$60:$B$69</c:f>
              <c:strCache>
                <c:ptCount val="10"/>
              </c:strCache>
            </c:strRef>
          </c:cat>
          <c:val>
            <c:numRef>
              <c:f>DASHBOARD!$E$60:$E$69</c:f>
              <c:numCache>
                <c:formatCode>"$"#,##0</c:formatCode>
                <c:ptCount val="10"/>
              </c:numCache>
            </c:numRef>
          </c:val>
        </c:ser>
        <c:gapWidth val="40"/>
        <c:overlap val="-10"/>
        <c:axId val="811110001"/>
        <c:axId val="811110002"/>
      </c:barChart>
      <c:catAx>
        <c:axId val="811110001"/>
        <c:scaling>
          <c:orientation val="maxMin"/>
        </c:scaling>
        <c:delete val="0"/>
        <c:axPos val="l"/>
        <c:spPr>
          <a:ln w="9525">
            <a:solidFill>
              <a:srgbClr val="D8CDB4"/>
            </a:solidFill>
          </a:ln>
        </c:spPr>
        <c:tickLblPos val="nextTo"/>
        <c:txPr>
          <a:bodyPr/>
          <a:lstStyle/>
          <a:p>
            <a:pPr>
              <a:defRPr sz="850" b="0">
                <a:solidFill>
                  <a:srgbClr val="252525"/>
                </a:solidFill>
                <a:latin typeface="Aptos"/>
              </a:defRPr>
            </a:pPr>
            <a:endParaRPr lang="en-GB"/>
          </a:p>
        </c:txPr>
        <c:crossAx val="811110002"/>
        <c:crosses val="autoZero"/>
        <c:auto val="1"/>
        <c:lblAlgn val="ctr"/>
        <c:lblOffset val="100"/>
        <c:noMultiLvlLbl val="0"/>
      </c:catAx>
      <c:valAx>
        <c:axId val="811110002"/>
        <c:scaling>
          <c:orientation val="minMax"/>
          <c:min val="0"/>
        </c:scaling>
        <c:delete val="0"/>
        <c:axPos val="b"/>
        <c:majorGridlines>
          <c:spPr>
            <a:ln w="9525">
              <a:solidFill>
                <a:srgbClr val="E7EFE9"/>
              </a:solidFill>
            </a:ln>
          </c:spPr>
        </c:majorGridlines>
        <c:numFmt formatCode="#,##0" sourceLinked="0"/>
        <c:spPr>
          <a:ln w="9525">
            <a:solidFill>
              <a:srgbClr val="D8CDB4"/>
            </a:solidFill>
          </a:ln>
        </c:spPr>
        <c:tickLblPos val="nextTo"/>
        <c:txPr>
          <a:bodyPr/>
          <a:lstStyle/>
          <a:p>
            <a:pPr>
              <a:defRPr sz="850" b="0">
                <a:solidFill>
                  <a:srgbClr val="6B6257"/>
                </a:solidFill>
                <a:latin typeface="Aptos"/>
              </a:defRPr>
            </a:pPr>
            <a:endParaRPr lang="en-GB"/>
          </a:p>
        </c:txPr>
        <c:crossAx val="811110001"/>
        <c:crosses val="autoZero"/>
        <c:crossBetween val="between"/>
      </c:valAx>
      <c:spPr>
        <a:noFill/>
        <a:ln>
          <a:noFill/>
        </a:ln>
      </c:spPr>
    </c:plotArea>
    <c:legend>
      <c:legendPos val="b"/>
      <c:overlay val="0"/>
      <c:txPr>
        <a:bodyPr/>
        <a:lstStyle/>
        <a:p>
          <a:pPr>
            <a:defRPr sz="850" b="0">
              <a:solidFill>
                <a:srgbClr val="6B6257"/>
              </a:solidFill>
              <a:latin typeface="Aptos"/>
            </a:defRPr>
          </a:pPr>
          <a:endParaRPr lang="en-GB"/>
        </a:p>
      </c:txPr>
    </c:legend>
    <c:plotVisOnly val="1"/>
    <c:dispBlanksAs val="gap"/>
  </c:chart>
  <c:spPr>
    <a:solidFill>
      <a:srgbClr val="FFFFFF"/>
    </a:solidFill>
    <a:ln>
      <a:solidFill>
        <a:srgbClr val="D8CDB4"/>
      </a:solidFill>
    </a:ln>
  </c:spPr>
</c:chartSpace>
</file>

<file path=xl/charts/chart2.xml><?xml version="1.0" encoding="utf-8"?>
<c:chartSpace xmlns:c="http://schemas.openxmlformats.org/drawingml/2006/chart" xmlns:a="http://schemas.openxmlformats.org/drawingml/2006/main" xmlns:r="http://schemas.openxmlformats.org/officeDocument/2006/relationships">
  <c:roundedCorners val="0"/>
  <c:chart>
    <c:title>
      <c:tx>
        <c:rich>
          <a:bodyPr/>
          <a:lstStyle/>
          <a:p>
            <a:pPr>
              <a:defRPr sz="1000" b="1">
                <a:solidFill>
                  <a:srgbClr val="173F35"/>
                </a:solidFill>
                <a:latin typeface="Aptos"/>
              </a:defRPr>
            </a:pPr>
            <a:r>
              <a:rPr lang="en-GB" sz="1000" b="1"/>
              <a:t>Completed</a:t>
            </a:r>
          </a:p>
        </c:rich>
      </c:tx>
      <c:overlay val="0"/>
    </c:title>
    <c:autoTitleDeleted val="0"/>
    <c:plotArea>
      <c:layout/>
      <c:barChart>
        <c:barDir val="bar"/>
        <c:grouping val="clustered"/>
        <c:varyColors val="0"/>
        <c:ser>
          <c:idx val="0"/>
          <c:order val="0"/>
          <c:tx>
            <c:strRef>
              <c:f>DASHBOARD!$L$59</c:f>
              <c:strCache>
                <c:ptCount val="1"/>
              </c:strCache>
            </c:strRef>
          </c:tx>
          <c:spPr>
            <a:solidFill>
              <a:srgbClr val="245B4B"/>
            </a:solidFill>
            <a:ln>
              <a:noFill/>
            </a:ln>
          </c:spPr>
          <c:invertIfNegative val="0"/>
          <c:cat>
            <c:strRef>
              <c:f>DASHBOARD!$J$60:$J$63</c:f>
              <c:strCache>
                <c:ptCount val="4"/>
              </c:strCache>
            </c:strRef>
          </c:cat>
          <c:val>
            <c:numRef>
              <c:f>DASHBOARD!$L$60:$L$63</c:f>
              <c:numCache>
                <c:formatCode>0%</c:formatCode>
                <c:ptCount val="4"/>
              </c:numCache>
            </c:numRef>
          </c:val>
        </c:ser>
        <c:gapWidth val="80"/>
        <c:overlap val="0"/>
        <c:axId val="822220001"/>
        <c:axId val="822220002"/>
      </c:barChart>
      <c:catAx>
        <c:axId val="822220001"/>
        <c:scaling>
          <c:orientation val="maxMin"/>
        </c:scaling>
        <c:delete val="0"/>
        <c:axPos val="l"/>
        <c:spPr>
          <a:ln w="9525">
            <a:solidFill>
              <a:srgbClr val="D8CDB4"/>
            </a:solidFill>
          </a:ln>
        </c:spPr>
        <c:tickLblPos val="nextTo"/>
        <c:txPr>
          <a:bodyPr/>
          <a:lstStyle/>
          <a:p>
            <a:pPr>
              <a:defRPr sz="850" b="0">
                <a:solidFill>
                  <a:srgbClr val="252525"/>
                </a:solidFill>
                <a:latin typeface="Aptos"/>
              </a:defRPr>
            </a:pPr>
            <a:endParaRPr lang="en-GB"/>
          </a:p>
        </c:txPr>
        <c:crossAx val="822220002"/>
        <c:crosses val="autoZero"/>
        <c:auto val="1"/>
        <c:lblAlgn val="ctr"/>
        <c:lblOffset val="100"/>
        <c:noMultiLvlLbl val="0"/>
      </c:catAx>
      <c:valAx>
        <c:axId val="822220002"/>
        <c:scaling>
          <c:orientation val="minMax"/>
          <c:max val="1"/>
          <c:min val="0"/>
        </c:scaling>
        <c:delete val="0"/>
        <c:axPos val="b"/>
        <c:majorGridlines>
          <c:spPr>
            <a:ln w="9525">
              <a:solidFill>
                <a:srgbClr val="E7EFE9"/>
              </a:solidFill>
            </a:ln>
          </c:spPr>
        </c:majorGridlines>
        <c:numFmt formatCode="0%" sourceLinked="0"/>
        <c:spPr>
          <a:ln w="9525">
            <a:solidFill>
              <a:srgbClr val="D8CDB4"/>
            </a:solidFill>
          </a:ln>
        </c:spPr>
        <c:tickLblPos val="nextTo"/>
        <c:txPr>
          <a:bodyPr/>
          <a:lstStyle/>
          <a:p>
            <a:pPr>
              <a:defRPr sz="850" b="0">
                <a:solidFill>
                  <a:srgbClr val="6B6257"/>
                </a:solidFill>
                <a:latin typeface="Aptos"/>
              </a:defRPr>
            </a:pPr>
            <a:endParaRPr lang="en-GB"/>
          </a:p>
        </c:txPr>
        <c:crossAx val="822220001"/>
        <c:crosses val="autoZero"/>
        <c:crossBetween val="between"/>
      </c:valAx>
      <c:spPr>
        <a:noFill/>
        <a:ln>
          <a:noFill/>
        </a:ln>
      </c:spPr>
    </c:plotArea>
    <c:legend>
      <c:legendPos val="b"/>
      <c:overlay val="0"/>
      <c:delete val="1"/>
    </c:legend>
    <c:plotVisOnly val="1"/>
    <c:dispBlanksAs val="gap"/>
  </c:chart>
  <c:spPr>
    <a:solidFill>
      <a:srgbClr val="FFFFFF"/>
    </a:solidFill>
    <a:ln>
      <a:solidFill>
        <a:srgbClr val="D8CDB4"/>
      </a:solidFill>
    </a:ln>
  </c:spPr>
</c:chartSpace>
</file>

<file path=xl/drawings/_rels/drawing1.xml.rels><?xml version="1.0" encoding="UTF-8" standalone="yes"?><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31</xdr:row>
      <xdr:rowOff>0</xdr:rowOff>
    </xdr:from>
    <xdr:to>
      <xdr:col>8</xdr:col>
      <xdr:colOff>0</xdr:colOff>
      <xdr:row>55</xdr:row>
      <xdr:rowOff>0</xdr:rowOff>
    </xdr:to>
    <xdr:graphicFrame macro="">
      <xdr:nvGraphicFramePr>
        <xdr:cNvPr id="2" name="Budget by category"/>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31</xdr:row>
      <xdr:rowOff>0</xdr:rowOff>
    </xdr:from>
    <xdr:to>
      <xdr:col>16</xdr:col>
      <xdr:colOff>0</xdr:colOff>
      <xdr:row>55</xdr:row>
      <xdr:rowOff>0</xdr:rowOff>
    </xdr:to>
    <xdr:graphicFrame macro="">
      <xdr:nvGraphicFramePr>
        <xdr:cNvPr id="3" name="Completion"/>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START HERE&apos;!A1" TargetMode="External"/><Relationship Id="rId2" Type="http://schemas.openxmlformats.org/officeDocument/2006/relationships/hyperlink" Target="#&apos;DASHBOARD&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CHRISTMAS CALENDAR&apos;!A1" TargetMode="External"/><Relationship Id="rId3" Type="http://schemas.openxmlformats.org/officeDocument/2006/relationships/hyperlink" Target="#&apos;MASTER BUDGET&apos;!A1" TargetMode="External"/><Relationship Id="rId4" Type="http://schemas.openxmlformats.org/officeDocument/2006/relationships/hyperlink" Target="#&apos;SHEET INDEX&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START HERE&apos;!A1" TargetMode="External"/><Relationship Id="rId2" Type="http://schemas.openxmlformats.org/officeDocument/2006/relationships/hyperlink" Target="#&apos;CHRISTMAS CALENDAR&apos;!A1" TargetMode="External"/><Relationship Id="rId3" Type="http://schemas.openxmlformats.org/officeDocument/2006/relationships/hyperlink" Target="#&apos;MASTER BUDGET&apos;!A1" TargetMode="External"/><Relationship Id="rId4" Type="http://schemas.openxmlformats.org/officeDocument/2006/relationships/hyperlink" Target="#&apos;SHEET INDEX&apos;!A1" TargetMode="External"/><Relationship Id="rId5" Type="http://schemas.openxmlformats.org/officeDocument/2006/relationships/hyperlink" Target="#&apos;MASTER BUDGET&apos;!A1" TargetMode="External"/><Relationship Id="rId6" Type="http://schemas.openxmlformats.org/officeDocument/2006/relationships/hyperlink" Target="#&apos;MASTER BUDGET&apos;!A1" TargetMode="External"/><Relationship Id="rId7" Type="http://schemas.openxmlformats.org/officeDocument/2006/relationships/hyperlink" Target="#&apos;GIFT PLANNER&apos;!A1" TargetMode="External"/><Relationship Id="rId8" Type="http://schemas.openxmlformats.org/officeDocument/2006/relationships/hyperlink" Target="#&apos;GIFT PLANNER&apos;!A1" TargetMode="External"/><Relationship Id="rId9" Type="http://schemas.openxmlformats.org/officeDocument/2006/relationships/hyperlink" Target="#&apos;ONLINE ORDERS&apos;!A1" TargetMode="External"/><Relationship Id="rId10" Type="http://schemas.openxmlformats.org/officeDocument/2006/relationships/hyperlink" Target="#&apos;ONLINE ORDERS&apos;!A1" TargetMode="External"/><Relationship Id="rId11" Type="http://schemas.openxmlformats.org/officeDocument/2006/relationships/hyperlink" Target="#&apos;ONLINE ORDERS&apos;!A1" TargetMode="External"/><Relationship Id="rId12" Type="http://schemas.openxmlformats.org/officeDocument/2006/relationships/hyperlink" Target="#&apos;ONLINE ORDERS&apos;!A1" TargetMode="External"/><Relationship Id="rId13" Type="http://schemas.openxmlformats.org/officeDocument/2006/relationships/hyperlink" Target="#&apos;RETURNS + EXCHANGES&apos;!A1" TargetMode="External"/><Relationship Id="rId14" Type="http://schemas.openxmlformats.org/officeDocument/2006/relationships/hyperlink" Target="#&apos;CHRISTMAS CALENDAR&apos;!A1" TargetMode="External"/><Relationship Id="rId15" Type="http://schemas.openxmlformats.org/officeDocument/2006/relationships/hyperlink" Target="#&apos;GROCERY LIST&apos;!A1" TargetMode="External"/><Relationship Id="rId16" Type="http://schemas.openxmlformats.org/officeDocument/2006/relationships/hyperlink" Target="#&apos;QUALITY CHECK&apos;!A1" TargetMode="External"/><Relationship Id="rId17"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5.xml"/><Relationship Id="rId7"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6.xml"/><Relationship Id="rId7"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7.xml"/><Relationship Id="rId7"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SHEET INDEX&apos;!A1" TargetMode="External"/><Relationship Id="rId5" Type="http://schemas.openxmlformats.org/officeDocument/2006/relationships/comments" Target="../comments8.xml"/><Relationship Id="rId6"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9.xml"/><Relationship Id="rId7"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10.xml"/><Relationship Id="rId7"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11.xml"/><Relationship Id="rId7"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12.xml"/><Relationship Id="rId7"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MASTER BUDGET&apos;!A1" TargetMode="External"/><Relationship Id="rId4" Type="http://schemas.openxmlformats.org/officeDocument/2006/relationships/hyperlink" Target="#&apos;SHEET INDEX&apos;!A1" TargetMode="External"/><Relationship Id="rId5" Type="http://schemas.openxmlformats.org/officeDocument/2006/relationships/comments" Target="../comments13.xml"/><Relationship Id="rId6"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14.xml"/><Relationship Id="rId7"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15.xml"/><Relationship Id="rId7"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16.xml"/><Relationship Id="rId7"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17.xml"/><Relationship Id="rId7"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18.xml"/><Relationship Id="rId7"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19.xml"/><Relationship Id="rId7"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0.xml"/><Relationship Id="rId7"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1.xml"/><Relationship Id="rId7"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2.xml"/><Relationship Id="rId7"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3.xml"/><Relationship Id="rId7"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4.xml"/><Relationship Id="rId7" Type="http://schemas.openxmlformats.org/officeDocument/2006/relationships/vmlDrawing" Target="../drawings/vmlDrawing24.vml"/></Relationships>
</file>

<file path=xl/worksheets/_rels/sheet25.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5.xml"/><Relationship Id="rId7" Type="http://schemas.openxmlformats.org/officeDocument/2006/relationships/vmlDrawing" Target="../drawings/vmlDrawing25.vml"/></Relationships>
</file>

<file path=xl/worksheets/_rels/sheet26.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6.xml"/><Relationship Id="rId7" Type="http://schemas.openxmlformats.org/officeDocument/2006/relationships/vmlDrawing" Target="../drawings/vmlDrawing26.vml"/></Relationships>
</file>

<file path=xl/worksheets/_rels/sheet27.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7.xml"/><Relationship Id="rId7" Type="http://schemas.openxmlformats.org/officeDocument/2006/relationships/vmlDrawing" Target="../drawings/vmlDrawing27.vml"/></Relationships>
</file>

<file path=xl/worksheets/_rels/sheet28.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8.xml"/><Relationship Id="rId7" Type="http://schemas.openxmlformats.org/officeDocument/2006/relationships/vmlDrawing" Target="../drawings/vmlDrawing28.vml"/></Relationships>
</file>

<file path=xl/worksheets/_rels/sheet29.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29.xml"/><Relationship Id="rId7" Type="http://schemas.openxmlformats.org/officeDocument/2006/relationships/vmlDrawing" Target="../drawings/vmlDrawing29.vml"/></Relationships>
</file>

<file path=xl/worksheets/_rels/sheet30.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30.xml"/><Relationship Id="rId7" Type="http://schemas.openxmlformats.org/officeDocument/2006/relationships/vmlDrawing" Target="../drawings/vmlDrawing30.vml"/></Relationships>
</file>

<file path=xl/worksheets/_rels/sheet31.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comments" Target="../comments31.xml"/><Relationship Id="rId7" Type="http://schemas.openxmlformats.org/officeDocument/2006/relationships/vmlDrawing" Target="../drawings/vmlDrawing31.vml"/></Relationships>
</file>

<file path=xl/worksheets/_rels/sheet32.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COVER&apos;!A1" TargetMode="External"/><Relationship Id="rId6" Type="http://schemas.openxmlformats.org/officeDocument/2006/relationships/hyperlink" Target="#&apos;START HERE&apos;!A1" TargetMode="External"/><Relationship Id="rId7" Type="http://schemas.openxmlformats.org/officeDocument/2006/relationships/hyperlink" Target="#&apos;SETTINGS&apos;!A1" TargetMode="External"/><Relationship Id="rId8" Type="http://schemas.openxmlformats.org/officeDocument/2006/relationships/hyperlink" Target="#&apos;DASHBOARD&apos;!A1" TargetMode="External"/><Relationship Id="rId9" Type="http://schemas.openxmlformats.org/officeDocument/2006/relationships/hyperlink" Target="#&apos;SEASON VISION&apos;!A1" TargetMode="External"/><Relationship Id="rId10" Type="http://schemas.openxmlformats.org/officeDocument/2006/relationships/hyperlink" Target="#&apos;RECIPIENT PROFILES&apos;!A1" TargetMode="External"/><Relationship Id="rId11" Type="http://schemas.openxmlformats.org/officeDocument/2006/relationships/hyperlink" Target="#&apos;PEOPLE + BUDGETS&apos;!A1" TargetMode="External"/><Relationship Id="rId12" Type="http://schemas.openxmlformats.org/officeDocument/2006/relationships/hyperlink" Target="#&apos;MASTER BUDGET&apos;!A1" TargetMode="External"/><Relationship Id="rId13" Type="http://schemas.openxmlformats.org/officeDocument/2006/relationships/hyperlink" Target="#&apos;GIFT PLANNER&apos;!A1" TargetMode="External"/><Relationship Id="rId14" Type="http://schemas.openxmlformats.org/officeDocument/2006/relationships/hyperlink" Target="#&apos;STOCKING STUFFERS&apos;!A1" TargetMode="External"/><Relationship Id="rId15" Type="http://schemas.openxmlformats.org/officeDocument/2006/relationships/hyperlink" Target="#&apos;ONLINE ORDERS&apos;!A1" TargetMode="External"/><Relationship Id="rId16" Type="http://schemas.openxmlformats.org/officeDocument/2006/relationships/hyperlink" Target="#&apos;RETURNS + EXCHANGES&apos;!A1" TargetMode="External"/><Relationship Id="rId17" Type="http://schemas.openxmlformats.org/officeDocument/2006/relationships/hyperlink" Target="#&apos;CHRISTMAS CALENDAR&apos;!A1" TargetMode="External"/><Relationship Id="rId18" Type="http://schemas.openxmlformats.org/officeDocument/2006/relationships/hyperlink" Target="#&apos;VENDORS + APPOINTMENTS&apos;!A1" TargetMode="External"/><Relationship Id="rId19" Type="http://schemas.openxmlformats.org/officeDocument/2006/relationships/hyperlink" Target="#&apos;DECOR INVENTORY&apos;!A1" TargetMode="External"/><Relationship Id="rId20" Type="http://schemas.openxmlformats.org/officeDocument/2006/relationships/hyperlink" Target="#&apos;DECORATING PLAN&apos;!A1" TargetMode="External"/><Relationship Id="rId21" Type="http://schemas.openxmlformats.org/officeDocument/2006/relationships/hyperlink" Target="#&apos;TABLESCAPE + FLORALS&apos;!A1" TargetMode="External"/><Relationship Id="rId22" Type="http://schemas.openxmlformats.org/officeDocument/2006/relationships/hyperlink" Target="#&apos;MEAL + BAKING PLAN&apos;!A1" TargetMode="External"/><Relationship Id="rId23" Type="http://schemas.openxmlformats.org/officeDocument/2006/relationships/hyperlink" Target="#&apos;GROCERY LIST&apos;!A1" TargetMode="External"/><Relationship Id="rId24" Type="http://schemas.openxmlformats.org/officeDocument/2006/relationships/hyperlink" Target="#&apos;RECIPE INDEX&apos;!A1" TargetMode="External"/><Relationship Id="rId25" Type="http://schemas.openxmlformats.org/officeDocument/2006/relationships/hyperlink" Target="#&apos;HOSTING + GUESTS&apos;!A1" TargetMode="External"/><Relationship Id="rId26" Type="http://schemas.openxmlformats.org/officeDocument/2006/relationships/hyperlink" Target="#&apos;TRADITIONS + BUCKET LIST&apos;!A1" TargetMode="External"/><Relationship Id="rId27" Type="http://schemas.openxmlformats.org/officeDocument/2006/relationships/hyperlink" Target="#&apos;MOVIES + MUSIC&apos;!A1" TargetMode="External"/><Relationship Id="rId28" Type="http://schemas.openxmlformats.org/officeDocument/2006/relationships/hyperlink" Target="#&apos;CARDS + MAIL&apos;!A1" TargetMode="External"/><Relationship Id="rId29" Type="http://schemas.openxmlformats.org/officeDocument/2006/relationships/hyperlink" Target="#&apos;EVENTS + WARDROBE&apos;!A1" TargetMode="External"/><Relationship Id="rId30" Type="http://schemas.openxmlformats.org/officeDocument/2006/relationships/hyperlink" Target="#&apos;TRAVEL PLAN&apos;!A1" TargetMode="External"/><Relationship Id="rId31" Type="http://schemas.openxmlformats.org/officeDocument/2006/relationships/hyperlink" Target="#&apos;CLEANING + HOME PREP&apos;!A1" TargetMode="External"/><Relationship Id="rId32" Type="http://schemas.openxmlformats.org/officeDocument/2006/relationships/hyperlink" Target="#&apos;DONATIONS + GIVING&apos;!A1" TargetMode="External"/><Relationship Id="rId33" Type="http://schemas.openxmlformats.org/officeDocument/2006/relationships/hyperlink" Target="#&apos;ADVENT + REFLECTION&apos;!A1" TargetMode="External"/><Relationship Id="rId34" Type="http://schemas.openxmlformats.org/officeDocument/2006/relationships/hyperlink" Target="#&apos;MEMORIES&apos;!A1" TargetMode="External"/><Relationship Id="rId35" Type="http://schemas.openxmlformats.org/officeDocument/2006/relationships/hyperlink" Target="#&apos;NEXT YEAR NOTES&apos;!A1" TargetMode="External"/><Relationship Id="rId36" Type="http://schemas.openxmlformats.org/officeDocument/2006/relationships/hyperlink" Target="#&apos;ANNUAL ARCHIVE&apos;!A1" TargetMode="External"/><Relationship Id="rId37" Type="http://schemas.openxmlformats.org/officeDocument/2006/relationships/hyperlink" Target="#&apos;SHEET INDEX&apos;!A1" TargetMode="External"/><Relationship Id="rId38" Type="http://schemas.openxmlformats.org/officeDocument/2006/relationships/hyperlink" Target="#&apos;LISTS&apos;!A1" TargetMode="External"/><Relationship Id="rId39" Type="http://schemas.openxmlformats.org/officeDocument/2006/relationships/hyperlink" Target="#&apos;QUALITY CHECK&apos;!A1"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apos;DASHBOARD&apos;!A1" TargetMode="External"/><Relationship Id="rId2" Type="http://schemas.openxmlformats.org/officeDocument/2006/relationships/hyperlink" Target="#&apos;START HERE&apos;!A1" TargetMode="External"/><Relationship Id="rId3" Type="http://schemas.openxmlformats.org/officeDocument/2006/relationships/hyperlink" Target="#&apos;CHRISTMAS CALENDAR&apos;!A1" TargetMode="External"/><Relationship Id="rId4" Type="http://schemas.openxmlformats.org/officeDocument/2006/relationships/hyperlink" Target="#&apos;MASTER BUDGET&apos;!A1" TargetMode="External"/><Relationship Id="rId5" Type="http://schemas.openxmlformats.org/officeDocument/2006/relationships/hyperlink" Target="#&apos;SHEET INDEX&apos;!A1" TargetMode="External"/><Relationship Id="rId6" Type="http://schemas.openxmlformats.org/officeDocument/2006/relationships/hyperlink" Target="#&apos;MASTER BUDGET&apos;!A1" TargetMode="External"/><Relationship Id="rId7" Type="http://schemas.openxmlformats.org/officeDocument/2006/relationships/hyperlink" Target="#&apos;CARDS + MAIL&apos;!A1" TargetMode="External"/><Relationship Id="rId8" Type="http://schemas.openxmlformats.org/officeDocument/2006/relationships/hyperlink" Target="#&apos;CARDS + MAIL&apos;!A1" TargetMode="External"/><Relationship Id="rId9" Type="http://schemas.openxmlformats.org/officeDocument/2006/relationships/hyperlink" Target="#&apos;CARDS + MAIL&apos;!A1" TargetMode="External"/><Relationship Id="rId10" Type="http://schemas.openxmlformats.org/officeDocument/2006/relationships/hyperlink" Target="#&apos;DONATIONS + GIVING&apos;!A1" TargetMode="External"/><Relationship Id="rId11" Type="http://schemas.openxmlformats.org/officeDocument/2006/relationships/hyperlink" Target="#&apos;DONATIONS + GIVING&apos;!A1" TargetMode="External"/><Relationship Id="rId12" Type="http://schemas.openxmlformats.org/officeDocument/2006/relationships/hyperlink" Target="#&apos;GIFT PLANNER&apos;!A1" TargetMode="External"/><Relationship Id="rId13" Type="http://schemas.openxmlformats.org/officeDocument/2006/relationships/hyperlink" Target="#&apos;GIFT PLANNER&apos;!A1" TargetMode="External"/><Relationship Id="rId14" Type="http://schemas.openxmlformats.org/officeDocument/2006/relationships/hyperlink" Target="#&apos;GIFT PLANNER&apos;!A1" TargetMode="External"/><Relationship Id="rId15" Type="http://schemas.openxmlformats.org/officeDocument/2006/relationships/hyperlink" Target="#&apos;GIFT PLANNER&apos;!A1" TargetMode="External"/><Relationship Id="rId16" Type="http://schemas.openxmlformats.org/officeDocument/2006/relationships/hyperlink" Target="#&apos;ONLINE ORDERS&apos;!A1" TargetMode="External"/><Relationship Id="rId17" Type="http://schemas.openxmlformats.org/officeDocument/2006/relationships/hyperlink" Target="#&apos;ONLINE ORDERS&apos;!A1" TargetMode="External"/><Relationship Id="rId18" Type="http://schemas.openxmlformats.org/officeDocument/2006/relationships/hyperlink" Target="#&apos;PEOPLE + BUDGETS&apos;!A1" TargetMode="External"/><Relationship Id="rId19" Type="http://schemas.openxmlformats.org/officeDocument/2006/relationships/hyperlink" Target="#&apos;RECIPIENT PROFILES&apos;!A1" TargetMode="External"/><Relationship Id="rId20" Type="http://schemas.openxmlformats.org/officeDocument/2006/relationships/hyperlink" Target="#&apos;RETURNS + EXCHANGES&apos;!A1" TargetMode="External"/><Relationship Id="rId21" Type="http://schemas.openxmlformats.org/officeDocument/2006/relationships/hyperlink" Target="#&apos;RETURNS + EXCHANGES&apos;!A1" TargetMode="External"/><Relationship Id="rId22" Type="http://schemas.openxmlformats.org/officeDocument/2006/relationships/hyperlink" Target="#&apos;RETURNS + EXCHANGES&apos;!A1" TargetMode="External"/><Relationship Id="rId23" Type="http://schemas.openxmlformats.org/officeDocument/2006/relationships/hyperlink" Target="#&apos;STOCKING STUFFERS&apos;!A1" TargetMode="External"/><Relationship Id="rId24" Type="http://schemas.openxmlformats.org/officeDocument/2006/relationships/hyperlink" Target="#&apos;STOCKING STUFFERS&apos;!A1" TargetMode="External"/><Relationship Id="rId25" Type="http://schemas.openxmlformats.org/officeDocument/2006/relationships/hyperlink" Target="#&apos;STOCKING STUFFERS&apos;!A1" TargetMode="External"/><Relationship Id="rId26" Type="http://schemas.openxmlformats.org/officeDocument/2006/relationships/hyperlink" Target="#&apos;CHRISTMAS CALENDAR&apos;!A1" TargetMode="External"/><Relationship Id="rId27" Type="http://schemas.openxmlformats.org/officeDocument/2006/relationships/hyperlink" Target="#&apos;CHRISTMAS CALENDAR&apos;!A1" TargetMode="External"/><Relationship Id="rId28" Type="http://schemas.openxmlformats.org/officeDocument/2006/relationships/hyperlink" Target="#&apos;CLEANING + HOME PREP&apos;!A1" TargetMode="External"/><Relationship Id="rId29" Type="http://schemas.openxmlformats.org/officeDocument/2006/relationships/hyperlink" Target="#&apos;DECOR INVENTORY&apos;!A1" TargetMode="External"/><Relationship Id="rId30" Type="http://schemas.openxmlformats.org/officeDocument/2006/relationships/hyperlink" Target="#&apos;DECOR INVENTORY&apos;!A1" TargetMode="External"/><Relationship Id="rId31" Type="http://schemas.openxmlformats.org/officeDocument/2006/relationships/hyperlink" Target="#&apos;DECORATING PLAN&apos;!A1" TargetMode="External"/><Relationship Id="rId32" Type="http://schemas.openxmlformats.org/officeDocument/2006/relationships/hyperlink" Target="#&apos;DECORATING PLAN&apos;!A1" TargetMode="External"/><Relationship Id="rId33" Type="http://schemas.openxmlformats.org/officeDocument/2006/relationships/hyperlink" Target="#&apos;TABLESCAPE + FLORALS&apos;!A1" TargetMode="External"/><Relationship Id="rId34" Type="http://schemas.openxmlformats.org/officeDocument/2006/relationships/hyperlink" Target="#&apos;TABLESCAPE + FLORALS&apos;!A1" TargetMode="External"/><Relationship Id="rId35" Type="http://schemas.openxmlformats.org/officeDocument/2006/relationships/hyperlink" Target="#&apos;TABLESCAPE + FLORALS&apos;!A1" TargetMode="External"/><Relationship Id="rId36" Type="http://schemas.openxmlformats.org/officeDocument/2006/relationships/hyperlink" Target="#&apos;TRAVEL PLAN&apos;!A1" TargetMode="External"/><Relationship Id="rId37" Type="http://schemas.openxmlformats.org/officeDocument/2006/relationships/hyperlink" Target="#&apos;TRAVEL PLAN&apos;!A1" TargetMode="External"/><Relationship Id="rId38" Type="http://schemas.openxmlformats.org/officeDocument/2006/relationships/hyperlink" Target="#&apos;VENDORS + APPOINTMENTS&apos;!A1" TargetMode="External"/><Relationship Id="rId39" Type="http://schemas.openxmlformats.org/officeDocument/2006/relationships/hyperlink" Target="#&apos;VENDORS + APPOINTMENTS&apos;!A1" TargetMode="External"/><Relationship Id="rId40" Type="http://schemas.openxmlformats.org/officeDocument/2006/relationships/hyperlink" Target="#&apos;VENDORS + APPOINTMENTS&apos;!A1" TargetMode="External"/><Relationship Id="rId41" Type="http://schemas.openxmlformats.org/officeDocument/2006/relationships/hyperlink" Target="#&apos;EVENTS + WARDROBE&apos;!A1" TargetMode="External"/><Relationship Id="rId42" Type="http://schemas.openxmlformats.org/officeDocument/2006/relationships/hyperlink" Target="#&apos;EVENTS + WARDROBE&apos;!A1" TargetMode="External"/><Relationship Id="rId43" Type="http://schemas.openxmlformats.org/officeDocument/2006/relationships/hyperlink" Target="#&apos;EVENTS + WARDROBE&apos;!A1" TargetMode="External"/><Relationship Id="rId44" Type="http://schemas.openxmlformats.org/officeDocument/2006/relationships/hyperlink" Target="#&apos;GROCERY LIST&apos;!A1" TargetMode="External"/><Relationship Id="rId45" Type="http://schemas.openxmlformats.org/officeDocument/2006/relationships/hyperlink" Target="#&apos;GROCERY LIST&apos;!A1" TargetMode="External"/><Relationship Id="rId46" Type="http://schemas.openxmlformats.org/officeDocument/2006/relationships/hyperlink" Target="#&apos;GROCERY LIST&apos;!A1" TargetMode="External"/><Relationship Id="rId47" Type="http://schemas.openxmlformats.org/officeDocument/2006/relationships/hyperlink" Target="#&apos;HOSTING + GUESTS&apos;!A1" TargetMode="External"/><Relationship Id="rId48" Type="http://schemas.openxmlformats.org/officeDocument/2006/relationships/hyperlink" Target="#&apos;HOSTING + GUESTS&apos;!A1" TargetMode="External"/><Relationship Id="rId49" Type="http://schemas.openxmlformats.org/officeDocument/2006/relationships/hyperlink" Target="#&apos;HOSTING + GUESTS&apos;!A1" TargetMode="External"/><Relationship Id="rId50" Type="http://schemas.openxmlformats.org/officeDocument/2006/relationships/hyperlink" Target="#&apos;MEAL + BAKING PLAN&apos;!A1" TargetMode="External"/><Relationship Id="rId51" Type="http://schemas.openxmlformats.org/officeDocument/2006/relationships/hyperlink" Target="#&apos;MEAL + BAKING PLAN&apos;!A1" TargetMode="External"/><Relationship Id="rId52" Type="http://schemas.openxmlformats.org/officeDocument/2006/relationships/hyperlink" Target="#&apos;MEAL + BAKING PLAN&apos;!A1" TargetMode="External"/><Relationship Id="rId53" Type="http://schemas.openxmlformats.org/officeDocument/2006/relationships/hyperlink" Target="#&apos;RECIPE INDEX&apos;!A1" TargetMode="External"/><Relationship Id="rId54" Type="http://schemas.openxmlformats.org/officeDocument/2006/relationships/hyperlink" Target="#&apos;ADVENT + REFLECTION&apos;!A1" TargetMode="External"/><Relationship Id="rId55" Type="http://schemas.openxmlformats.org/officeDocument/2006/relationships/hyperlink" Target="#&apos;ANNUAL ARCHIVE&apos;!A1" TargetMode="External"/><Relationship Id="rId56" Type="http://schemas.openxmlformats.org/officeDocument/2006/relationships/hyperlink" Target="#&apos;MOVIES + MUSIC&apos;!A1" TargetMode="External"/><Relationship Id="rId57" Type="http://schemas.openxmlformats.org/officeDocument/2006/relationships/hyperlink" Target="#&apos;MEMORIES&apos;!A1" TargetMode="External"/><Relationship Id="rId58" Type="http://schemas.openxmlformats.org/officeDocument/2006/relationships/hyperlink" Target="#&apos;NEXT YEAR NOTES&apos;!A1" TargetMode="External"/><Relationship Id="rId59" Type="http://schemas.openxmlformats.org/officeDocument/2006/relationships/hyperlink" Target="#&apos;TRADITIONS + BUCKET LIST&apos;!A1" TargetMode="External"/><Relationship Id="rId60" Type="http://schemas.openxmlformats.org/officeDocument/2006/relationships/hyperlink" Target="#&apos;TRADITIONS + BUCKET LIST&apos;!A1" TargetMode="External"/><Relationship Id="rId61" Type="http://schemas.openxmlformats.org/officeDocument/2006/relationships/hyperlink" Target="#&apos;SEASON VISION&apos;!A1" TargetMode="External"/><Relationship Id="rId62" Type="http://schemas.openxmlformats.org/officeDocument/2006/relationships/hyperlink" Target="#&apos;MASTER BUDGET&apos;!A1" TargetMode="External"/><Relationship Id="rId63" Type="http://schemas.openxmlformats.org/officeDocument/2006/relationships/hyperlink" Target="#&apos;GIFT PLANNER&apos;!A1" TargetMode="External"/><Relationship Id="rId64" Type="http://schemas.openxmlformats.org/officeDocument/2006/relationships/hyperlink" Target="#&apos;GIFT PLANNER&apos;!A1" TargetMode="External"/><Relationship Id="rId65" Type="http://schemas.openxmlformats.org/officeDocument/2006/relationships/hyperlink" Target="#&apos;PEOPLE + BUDGETS&apos;!A1" TargetMode="External"/><Relationship Id="rId66" Type="http://schemas.openxmlformats.org/officeDocument/2006/relationships/hyperlink" Target="#&apos;CHRISTMAS CALENDAR&apos;!A1" TargetMode="External"/><Relationship Id="rId67" Type="http://schemas.openxmlformats.org/officeDocument/2006/relationships/hyperlink" Target="#&apos;ONLINE ORDERS&apos;!A1" TargetMode="External"/><Relationship Id="rId68" Type="http://schemas.openxmlformats.org/officeDocument/2006/relationships/hyperlink" Target="#&apos;RETURNS + EXCHANGES&apos;!A1" TargetMode="External"/><Relationship Id="rId69" Type="http://schemas.openxmlformats.org/officeDocument/2006/relationships/hyperlink" Target="#&apos;GIFT PLANNER&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D1F2D"/>
    <pageSetUpPr fitToPage="1"/>
  </sheetPr>
  <dimension ref="A1:K36"/>
  <sheetViews>
    <sheetView workbookViewId="0" showGridLines="0" zoomScale="100"/>
  </sheetViews>
  <sheetFormatPr defaultRowHeight="15" outlineLevelRow="0" outlineLevelCol="0" x14ac:dyDescent="55"/>
  <cols>
    <col min="1" max="1" width="3" customWidth="1"/>
    <col min="2" max="11" width="9.4" customWidth="1"/>
  </cols>
  <sheetData>
    <row r="1" ht="22" customHeight="1" spans="1:11" x14ac:dyDescent="0.25">
      <c r="A1" s="1"/>
      <c r="B1" s="1"/>
      <c r="C1" s="1"/>
      <c r="D1" s="1"/>
      <c r="E1" s="1"/>
      <c r="F1" s="1"/>
      <c r="G1" s="1"/>
      <c r="H1" s="1"/>
      <c r="I1" s="1"/>
      <c r="J1" s="1"/>
      <c r="K1" s="1"/>
    </row>
    <row r="2" ht="22" customHeight="1" spans="1:11" x14ac:dyDescent="0.25">
      <c r="A2" s="1"/>
      <c r="B2" s="1"/>
      <c r="C2" s="1"/>
      <c r="D2" s="1"/>
      <c r="E2" s="1"/>
      <c r="F2" s="1"/>
      <c r="G2" s="1"/>
      <c r="H2" s="1"/>
      <c r="I2" s="1"/>
      <c r="J2" s="1"/>
      <c r="K2" s="1"/>
    </row>
    <row r="3" ht="22" customHeight="1" spans="1:11" x14ac:dyDescent="0.25">
      <c r="A3" s="1"/>
      <c r="B3" s="1"/>
      <c r="C3" s="1"/>
      <c r="D3" s="1"/>
      <c r="E3" s="1"/>
      <c r="F3" s="1"/>
      <c r="G3" s="1"/>
      <c r="H3" s="1"/>
      <c r="I3" s="1"/>
      <c r="J3" s="1"/>
      <c r="K3" s="1"/>
    </row>
    <row r="4" ht="22" customHeight="1" spans="1:11" x14ac:dyDescent="0.25">
      <c r="A4" s="1"/>
      <c r="B4" s="1"/>
      <c r="C4" s="1"/>
      <c r="D4" s="1"/>
      <c r="E4" s="1"/>
      <c r="F4" s="1"/>
      <c r="G4" s="1"/>
      <c r="H4" s="1"/>
      <c r="I4" s="1"/>
      <c r="J4" s="1"/>
      <c r="K4" s="1"/>
    </row>
    <row r="5" ht="22" customHeight="1" spans="1:11" x14ac:dyDescent="0.25">
      <c r="A5" s="1"/>
      <c r="B5" s="1"/>
      <c r="C5" s="1"/>
      <c r="D5" s="1"/>
      <c r="E5" s="1"/>
      <c r="F5" s="1"/>
      <c r="G5" s="1"/>
      <c r="H5" s="1"/>
      <c r="I5" s="1"/>
      <c r="J5" s="1"/>
      <c r="K5" s="1"/>
    </row>
    <row r="6" ht="26" customHeight="1" spans="1:11" x14ac:dyDescent="0.25">
      <c r="A6" s="1"/>
      <c r="B6" s="2" t="s">
        <v>0</v>
      </c>
      <c r="C6" s="1"/>
      <c r="D6" s="1"/>
      <c r="E6" s="1"/>
      <c r="F6" s="1"/>
      <c r="G6" s="1"/>
      <c r="H6" s="1"/>
      <c r="I6" s="1"/>
      <c r="J6" s="1"/>
      <c r="K6" s="1"/>
    </row>
    <row r="7" ht="22" customHeight="1" spans="1:11" x14ac:dyDescent="0.25">
      <c r="A7" s="1"/>
      <c r="B7" s="1"/>
      <c r="C7" s="1"/>
      <c r="D7" s="1"/>
      <c r="E7" s="1"/>
      <c r="F7" s="1"/>
      <c r="G7" s="1"/>
      <c r="H7" s="1"/>
      <c r="I7" s="1"/>
      <c r="J7" s="1"/>
      <c r="K7" s="1"/>
    </row>
    <row r="8" ht="22" customHeight="1" spans="1:11" x14ac:dyDescent="0.25">
      <c r="A8" s="1"/>
      <c r="B8" s="1"/>
      <c r="C8" s="1"/>
      <c r="D8" s="1"/>
      <c r="E8" s="1"/>
      <c r="F8" s="1"/>
      <c r="G8" s="1"/>
      <c r="H8" s="1"/>
      <c r="I8" s="1"/>
      <c r="J8" s="1"/>
      <c r="K8" s="1"/>
    </row>
    <row r="9" ht="44" customHeight="1" spans="1:11" x14ac:dyDescent="0.25">
      <c r="A9" s="1"/>
      <c r="B9" s="3" t="s">
        <v>1</v>
      </c>
      <c r="C9" s="3"/>
      <c r="D9" s="3"/>
      <c r="E9" s="3"/>
      <c r="F9" s="3"/>
      <c r="G9" s="3"/>
      <c r="H9" s="3"/>
      <c r="I9" s="3"/>
      <c r="J9" s="3"/>
      <c r="K9" s="3"/>
    </row>
    <row r="10" ht="22" customHeight="1" spans="1:11" x14ac:dyDescent="0.25">
      <c r="A10" s="1"/>
      <c r="B10" s="1"/>
      <c r="C10" s="1"/>
      <c r="D10" s="1"/>
      <c r="E10" s="1"/>
      <c r="F10" s="1"/>
      <c r="G10" s="1"/>
      <c r="H10" s="1"/>
      <c r="I10" s="1"/>
      <c r="J10" s="1"/>
      <c r="K10" s="1"/>
    </row>
    <row r="11" ht="22" customHeight="1" spans="1:11" x14ac:dyDescent="0.25">
      <c r="A11" s="1"/>
      <c r="B11" s="1"/>
      <c r="C11" s="1"/>
      <c r="D11" s="1"/>
      <c r="E11" s="1"/>
      <c r="F11" s="1"/>
      <c r="G11" s="1"/>
      <c r="H11" s="1"/>
      <c r="I11" s="1"/>
      <c r="J11" s="1"/>
      <c r="K11" s="1"/>
    </row>
    <row r="12" ht="44" customHeight="1" spans="1:11" x14ac:dyDescent="0.25">
      <c r="A12" s="1"/>
      <c r="B12" s="3" t="s">
        <v>2</v>
      </c>
      <c r="C12" s="3"/>
      <c r="D12" s="3"/>
      <c r="E12" s="3"/>
      <c r="F12" s="3"/>
      <c r="G12" s="3"/>
      <c r="H12" s="3"/>
      <c r="I12" s="3"/>
      <c r="J12" s="3"/>
      <c r="K12" s="3"/>
    </row>
    <row r="13" ht="22" customHeight="1" spans="1:11" x14ac:dyDescent="0.25">
      <c r="A13" s="1"/>
      <c r="B13" s="1"/>
      <c r="C13" s="1"/>
      <c r="D13" s="1"/>
      <c r="E13" s="1"/>
      <c r="F13" s="1"/>
      <c r="G13" s="1"/>
      <c r="H13" s="1"/>
      <c r="I13" s="1"/>
      <c r="J13" s="1"/>
      <c r="K13" s="1"/>
    </row>
    <row r="14" ht="22" customHeight="1" spans="1:11" x14ac:dyDescent="0.25">
      <c r="A14" s="1"/>
      <c r="B14" s="1"/>
      <c r="C14" s="1"/>
      <c r="D14" s="1"/>
      <c r="E14" s="1"/>
      <c r="F14" s="1"/>
      <c r="G14" s="1"/>
      <c r="H14" s="1"/>
      <c r="I14" s="1"/>
      <c r="J14" s="1"/>
      <c r="K14" s="1"/>
    </row>
    <row r="15" ht="8" customHeight="1" spans="1:11" x14ac:dyDescent="0.25">
      <c r="A15" s="1"/>
      <c r="B15" s="4"/>
      <c r="C15" s="4"/>
      <c r="D15" s="4"/>
      <c r="E15" s="4"/>
      <c r="F15" s="4"/>
      <c r="G15" s="1"/>
      <c r="H15" s="1"/>
      <c r="I15" s="1"/>
      <c r="J15" s="1"/>
      <c r="K15" s="1"/>
    </row>
    <row r="16" ht="22" customHeight="1" spans="1:11" x14ac:dyDescent="0.25">
      <c r="A16" s="1"/>
      <c r="B16" s="1"/>
      <c r="C16" s="1"/>
      <c r="D16" s="1"/>
      <c r="E16" s="1"/>
      <c r="F16" s="1"/>
      <c r="G16" s="1"/>
      <c r="H16" s="1"/>
      <c r="I16" s="1"/>
      <c r="J16" s="1"/>
      <c r="K16" s="1"/>
    </row>
    <row r="17" ht="24" customHeight="1" spans="1:11" x14ac:dyDescent="0.25">
      <c r="A17" s="1"/>
      <c r="B17" s="5" t="s">
        <v>3</v>
      </c>
      <c r="C17" s="5"/>
      <c r="D17" s="5"/>
      <c r="E17" s="5"/>
      <c r="F17" s="5"/>
      <c r="G17" s="5"/>
      <c r="H17" s="5"/>
      <c r="I17" s="5"/>
      <c r="J17" s="5"/>
      <c r="K17" s="5"/>
    </row>
    <row r="18" ht="22" customHeight="1" spans="1:11" x14ac:dyDescent="0.25">
      <c r="A18" s="1"/>
      <c r="B18" s="1"/>
      <c r="C18" s="1"/>
      <c r="D18" s="1"/>
      <c r="E18" s="1"/>
      <c r="F18" s="1"/>
      <c r="G18" s="1"/>
      <c r="H18" s="1"/>
      <c r="I18" s="1"/>
      <c r="J18" s="1"/>
      <c r="K18" s="1"/>
    </row>
    <row r="19" ht="22" customHeight="1" spans="1:11" x14ac:dyDescent="0.25">
      <c r="A19" s="1"/>
      <c r="B19" s="1"/>
      <c r="C19" s="1"/>
      <c r="D19" s="1"/>
      <c r="E19" s="1"/>
      <c r="F19" s="1"/>
      <c r="G19" s="1"/>
      <c r="H19" s="1"/>
      <c r="I19" s="1"/>
      <c r="J19" s="1"/>
      <c r="K19" s="1"/>
    </row>
    <row r="20" ht="22" customHeight="1" spans="1:11" x14ac:dyDescent="0.25">
      <c r="A20" s="1"/>
      <c r="B20" s="6">
        <f>IF(Set_Household="","Welcome.","For the "&amp;Set_Household&amp;" household.")</f>
      </c>
      <c r="C20" s="6"/>
      <c r="D20" s="6"/>
      <c r="E20" s="6"/>
      <c r="F20" s="6"/>
      <c r="G20" s="6"/>
      <c r="H20" s="6"/>
      <c r="I20" s="6"/>
      <c r="J20" s="6"/>
      <c r="K20" s="6"/>
    </row>
    <row r="21" ht="22" customHeight="1" spans="1:11" x14ac:dyDescent="0.25">
      <c r="A21" s="1"/>
      <c r="B21" s="1"/>
      <c r="C21" s="1"/>
      <c r="D21" s="1"/>
      <c r="E21" s="1"/>
      <c r="F21" s="1"/>
      <c r="G21" s="1"/>
      <c r="H21" s="1"/>
      <c r="I21" s="1"/>
      <c r="J21" s="1"/>
      <c r="K21" s="1"/>
    </row>
    <row r="22" ht="22" customHeight="1" spans="1:11" x14ac:dyDescent="0.25">
      <c r="A22" s="1"/>
      <c r="B22" s="7">
        <f>"Christmas "&amp;Set_Year&amp;"  ·  "&amp;MAX(0,Set_ChristmasDate-TODAY())&amp;" days to go"</f>
      </c>
      <c r="C22" s="7"/>
      <c r="D22" s="7"/>
      <c r="E22" s="7"/>
      <c r="F22" s="7"/>
      <c r="G22" s="7"/>
      <c r="H22" s="7"/>
      <c r="I22" s="7"/>
      <c r="J22" s="7"/>
      <c r="K22" s="7"/>
    </row>
    <row r="23" ht="22" customHeight="1" spans="1:11" x14ac:dyDescent="0.25">
      <c r="A23" s="1"/>
      <c r="B23" s="1"/>
      <c r="C23" s="1"/>
      <c r="D23" s="1"/>
      <c r="E23" s="1"/>
      <c r="F23" s="1"/>
      <c r="G23" s="1"/>
      <c r="H23" s="1"/>
      <c r="I23" s="1"/>
      <c r="J23" s="1"/>
      <c r="K23" s="1"/>
    </row>
    <row r="24" ht="22" customHeight="1" spans="1:11" x14ac:dyDescent="0.25">
      <c r="A24" s="1"/>
      <c r="B24" s="1"/>
      <c r="C24" s="1"/>
      <c r="D24" s="1"/>
      <c r="E24" s="1"/>
      <c r="F24" s="1"/>
      <c r="G24" s="1"/>
      <c r="H24" s="1"/>
      <c r="I24" s="1"/>
      <c r="J24" s="1"/>
      <c r="K24" s="1"/>
    </row>
    <row r="25" ht="22" customHeight="1" spans="1:11" x14ac:dyDescent="0.25">
      <c r="A25" s="1"/>
      <c r="B25" s="8" t="s">
        <v>4</v>
      </c>
      <c r="C25" s="8"/>
      <c r="D25" s="8"/>
      <c r="E25" s="8"/>
      <c r="F25" s="8"/>
      <c r="G25" s="8"/>
      <c r="H25" s="8"/>
      <c r="I25" s="8"/>
      <c r="J25" s="8"/>
      <c r="K25" s="8"/>
    </row>
    <row r="26" ht="22" customHeight="1" spans="1:11" x14ac:dyDescent="0.25">
      <c r="A26" s="1"/>
      <c r="B26" s="6" t="s">
        <v>5</v>
      </c>
      <c r="C26" s="6"/>
      <c r="D26" s="6"/>
      <c r="E26" s="6"/>
      <c r="F26" s="6"/>
      <c r="G26" s="6"/>
      <c r="H26" s="6"/>
      <c r="I26" s="6"/>
      <c r="J26" s="6"/>
      <c r="K26" s="6"/>
    </row>
    <row r="27" ht="22" customHeight="1" spans="1:11" x14ac:dyDescent="0.25">
      <c r="A27" s="1"/>
      <c r="B27" s="1"/>
      <c r="C27" s="1"/>
      <c r="D27" s="1"/>
      <c r="E27" s="1"/>
      <c r="F27" s="1"/>
      <c r="G27" s="1"/>
      <c r="H27" s="1"/>
      <c r="I27" s="1"/>
      <c r="J27" s="1"/>
      <c r="K27" s="1"/>
    </row>
    <row r="28" ht="22" customHeight="1" spans="1:11" x14ac:dyDescent="0.25">
      <c r="A28" s="1"/>
      <c r="B28" s="1"/>
      <c r="C28" s="1"/>
      <c r="D28" s="1"/>
      <c r="E28" s="1"/>
      <c r="F28" s="1"/>
      <c r="G28" s="1"/>
      <c r="H28" s="1"/>
      <c r="I28" s="1"/>
      <c r="J28" s="1"/>
      <c r="K28" s="1"/>
    </row>
    <row r="29" ht="22" customHeight="1" spans="1:11" x14ac:dyDescent="0.25">
      <c r="A29" s="1"/>
      <c r="B29" s="1"/>
      <c r="C29" s="1"/>
      <c r="D29" s="1"/>
      <c r="E29" s="1"/>
      <c r="F29" s="1"/>
      <c r="G29" s="1"/>
      <c r="H29" s="1"/>
      <c r="I29" s="1"/>
      <c r="J29" s="1"/>
      <c r="K29" s="1"/>
    </row>
    <row r="30" ht="22" customHeight="1" spans="1:11" x14ac:dyDescent="0.25">
      <c r="A30" s="1"/>
      <c r="B30" s="1"/>
      <c r="C30" s="1"/>
      <c r="D30" s="1"/>
      <c r="E30" s="1"/>
      <c r="F30" s="1"/>
      <c r="G30" s="1"/>
      <c r="H30" s="1"/>
      <c r="I30" s="1"/>
      <c r="J30" s="1"/>
      <c r="K30" s="1"/>
    </row>
    <row r="31" ht="22" customHeight="1" spans="1:11" x14ac:dyDescent="0.25">
      <c r="A31" s="1"/>
      <c r="B31" s="1"/>
      <c r="C31" s="1"/>
      <c r="D31" s="1"/>
      <c r="E31" s="1"/>
      <c r="F31" s="1"/>
      <c r="G31" s="1"/>
      <c r="H31" s="1"/>
      <c r="I31" s="1"/>
      <c r="J31" s="1"/>
      <c r="K31" s="1"/>
    </row>
    <row r="32" ht="22" customHeight="1" spans="1:11" x14ac:dyDescent="0.25">
      <c r="A32" s="1"/>
      <c r="B32" s="9">
        <f>"Edition "&amp;Set_Edition&amp;"  ·  Google Sheets edition"</f>
      </c>
      <c r="C32" s="9"/>
      <c r="D32" s="9"/>
      <c r="E32" s="9"/>
      <c r="F32" s="9"/>
      <c r="G32" s="9"/>
      <c r="H32" s="9"/>
      <c r="I32" s="9"/>
      <c r="J32" s="9"/>
      <c r="K32" s="9"/>
    </row>
    <row r="33" ht="22" customHeight="1" spans="1:11" x14ac:dyDescent="0.25">
      <c r="A33" s="1"/>
      <c r="B33" s="9" t="s">
        <v>6</v>
      </c>
      <c r="C33" s="9"/>
      <c r="D33" s="9"/>
      <c r="E33" s="9"/>
      <c r="F33" s="9"/>
      <c r="G33" s="9"/>
      <c r="H33" s="9"/>
      <c r="I33" s="9"/>
      <c r="J33" s="9"/>
      <c r="K33" s="9"/>
    </row>
    <row r="34" ht="22" customHeight="1" spans="1:11" x14ac:dyDescent="0.25">
      <c r="A34" s="1"/>
      <c r="B34" s="9" t="s">
        <v>7</v>
      </c>
      <c r="C34" s="9"/>
      <c r="D34" s="9"/>
      <c r="E34" s="9"/>
      <c r="F34" s="9"/>
      <c r="G34" s="9"/>
      <c r="H34" s="9"/>
      <c r="I34" s="9"/>
      <c r="J34" s="9"/>
      <c r="K34" s="9"/>
    </row>
    <row r="35" ht="22" customHeight="1" spans="1:11" x14ac:dyDescent="0.25">
      <c r="A35" s="1"/>
      <c r="B35" s="1"/>
      <c r="C35" s="1"/>
      <c r="D35" s="1"/>
      <c r="E35" s="1"/>
      <c r="F35" s="1"/>
      <c r="G35" s="1"/>
      <c r="H35" s="1"/>
      <c r="I35" s="1"/>
      <c r="J35" s="1"/>
      <c r="K35" s="1"/>
    </row>
    <row r="36" ht="22" customHeight="1" spans="1:11" x14ac:dyDescent="0.25">
      <c r="A36" s="1"/>
      <c r="B36" s="1"/>
      <c r="C36" s="1"/>
      <c r="D36" s="1"/>
      <c r="E36" s="1"/>
      <c r="F36" s="1"/>
      <c r="G36" s="1"/>
      <c r="H36" s="1"/>
      <c r="I36" s="1"/>
      <c r="J36" s="1"/>
      <c r="K36" s="1"/>
    </row>
  </sheetData>
  <mergeCells count="10">
    <mergeCell ref="B9:K9"/>
    <mergeCell ref="B12:K12"/>
    <mergeCell ref="B17:K17"/>
    <mergeCell ref="B20:K20"/>
    <mergeCell ref="B22:K22"/>
    <mergeCell ref="B25:K25"/>
    <mergeCell ref="B26:K26"/>
    <mergeCell ref="B32:K32"/>
    <mergeCell ref="B33:K33"/>
    <mergeCell ref="B34:K34"/>
  </mergeCells>
  <hyperlinks>
    <hyperlink ref="B25" r:id="rId1" location="#'START HERE'!A1"/>
    <hyperlink ref="B26" r:id="rId2" location="#'DASHBOARD'!A1"/>
  </hyperlinks>
  <pageMargins left="0.5" right="0.5" top="0.5" bottom="0.5" header="0.2" footer="0.2"/>
  <pageSetup orientation="portrait"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9452"/>
    <pageSetUpPr fitToPage="1"/>
  </sheetPr>
  <dimension ref="A1:K68"/>
  <sheetViews>
    <sheetView workbookViewId="0" showGridLines="0" zoomScale="100"/>
  </sheetViews>
  <sheetFormatPr defaultRowHeight="15" outlineLevelRow="0" outlineLevelCol="0" x14ac:dyDescent="55"/>
  <cols>
    <col min="1" max="1" width="2" customWidth="1"/>
    <col min="2" max="2" width="4" customWidth="1"/>
    <col min="3" max="3" width="18" customWidth="1"/>
    <col min="4" max="9" width="8" customWidth="1"/>
  </cols>
  <sheetData>
    <row r="1" ht="21" customHeight="1" spans="1:11" x14ac:dyDescent="0.25">
      <c r="A1" s="4"/>
      <c r="B1" s="10" t="s">
        <v>8</v>
      </c>
      <c r="C1" s="10"/>
      <c r="D1" s="11" t="s">
        <v>9</v>
      </c>
      <c r="E1" s="11"/>
      <c r="F1" s="10" t="s">
        <v>10</v>
      </c>
      <c r="G1" s="10"/>
      <c r="H1" s="10" t="s">
        <v>11</v>
      </c>
      <c r="I1" s="10"/>
      <c r="J1" s="10" t="s">
        <v>12</v>
      </c>
      <c r="K1" s="10"/>
    </row>
    <row r="2" ht="34" customHeight="1" spans="1:11" x14ac:dyDescent="0.25">
      <c r="A2" s="12"/>
      <c r="B2" s="13" t="s">
        <v>9</v>
      </c>
      <c r="C2" s="12"/>
      <c r="D2" s="12"/>
      <c r="E2" s="12"/>
      <c r="F2" s="12"/>
      <c r="G2" s="12"/>
      <c r="H2" s="12"/>
      <c r="I2" s="12"/>
      <c r="J2" s="12"/>
      <c r="K2" s="12"/>
    </row>
    <row r="3" ht="18" customHeight="1" spans="1:11" x14ac:dyDescent="0.25">
      <c r="A3" s="12"/>
      <c r="B3" s="14" t="s">
        <v>13</v>
      </c>
      <c r="C3" s="12"/>
      <c r="D3" s="12"/>
      <c r="E3" s="12"/>
      <c r="F3" s="12"/>
      <c r="G3" s="12"/>
      <c r="H3" s="12"/>
      <c r="I3" s="12"/>
      <c r="J3" s="12"/>
      <c r="K3" s="12"/>
    </row>
    <row r="4" ht="17" customHeight="1" spans="1:11" x14ac:dyDescent="0.25">
      <c r="A4" s="12"/>
      <c r="B4" s="15" t="s">
        <v>14</v>
      </c>
      <c r="C4" s="12"/>
      <c r="D4" s="12"/>
      <c r="E4" s="12"/>
      <c r="F4" s="12"/>
      <c r="G4" s="12"/>
      <c r="H4" s="12"/>
      <c r="I4" s="12"/>
      <c r="J4" s="12"/>
      <c r="K4" s="12"/>
    </row>
    <row r="5" spans="1:11" x14ac:dyDescent="0.25">
      <c r="A5" s="16"/>
      <c r="B5" s="16"/>
      <c r="C5" s="16"/>
      <c r="D5" s="16"/>
      <c r="E5" s="16"/>
      <c r="F5" s="16"/>
      <c r="G5" s="16"/>
      <c r="H5" s="16"/>
      <c r="I5" s="16"/>
      <c r="J5" s="16"/>
      <c r="K5" s="16"/>
    </row>
    <row r="6" spans="1:11" x14ac:dyDescent="0.25">
      <c r="A6" s="16"/>
      <c r="B6" s="17" t="s">
        <v>15</v>
      </c>
      <c r="C6" s="18"/>
      <c r="D6" s="18"/>
      <c r="E6" s="18"/>
      <c r="F6" s="18"/>
      <c r="G6" s="18"/>
      <c r="H6" s="18"/>
      <c r="I6" s="18"/>
      <c r="J6" s="18"/>
      <c r="K6" s="18"/>
    </row>
    <row r="7" spans="1:11" x14ac:dyDescent="0.25">
      <c r="A7" s="16"/>
      <c r="B7" s="16"/>
      <c r="C7" s="16"/>
      <c r="D7" s="16"/>
      <c r="E7" s="16"/>
      <c r="F7" s="16"/>
      <c r="G7" s="16"/>
      <c r="H7" s="16"/>
      <c r="I7" s="16"/>
      <c r="J7" s="16"/>
      <c r="K7" s="16"/>
    </row>
    <row r="8" ht="22" customHeight="1" spans="1:11" x14ac:dyDescent="0.25">
      <c r="A8" s="16"/>
      <c r="B8" s="19" t="s">
        <v>16</v>
      </c>
      <c r="C8" s="20" t="s">
        <v>17</v>
      </c>
      <c r="D8" s="20"/>
      <c r="E8" s="20"/>
      <c r="F8" s="20"/>
      <c r="G8" s="20"/>
      <c r="H8" s="20"/>
      <c r="I8" s="20"/>
      <c r="J8" s="20"/>
      <c r="K8" s="20"/>
    </row>
    <row r="9" ht="35" customHeight="1" spans="1:11" x14ac:dyDescent="0.25">
      <c r="A9" s="16"/>
      <c r="B9" s="16"/>
      <c r="C9" s="21" t="s">
        <v>18</v>
      </c>
      <c r="D9" s="21"/>
      <c r="E9" s="21"/>
      <c r="F9" s="21"/>
      <c r="G9" s="21"/>
      <c r="H9" s="21"/>
      <c r="I9" s="21"/>
      <c r="J9" s="21"/>
      <c r="K9" s="21"/>
    </row>
    <row r="10" spans="1:11" x14ac:dyDescent="0.25">
      <c r="A10" s="16"/>
      <c r="B10" s="16"/>
      <c r="C10" s="16"/>
      <c r="D10" s="16"/>
      <c r="E10" s="16"/>
      <c r="F10" s="16"/>
      <c r="G10" s="16"/>
      <c r="H10" s="16"/>
      <c r="I10" s="16"/>
      <c r="J10" s="16"/>
      <c r="K10" s="16"/>
    </row>
    <row r="11" ht="22" customHeight="1" spans="1:11" x14ac:dyDescent="0.25">
      <c r="A11" s="16"/>
      <c r="B11" s="19" t="s">
        <v>19</v>
      </c>
      <c r="C11" s="20" t="s">
        <v>20</v>
      </c>
      <c r="D11" s="20"/>
      <c r="E11" s="20"/>
      <c r="F11" s="20"/>
      <c r="G11" s="20"/>
      <c r="H11" s="20"/>
      <c r="I11" s="20"/>
      <c r="J11" s="20"/>
      <c r="K11" s="20"/>
    </row>
    <row r="12" ht="35" customHeight="1" spans="1:11" x14ac:dyDescent="0.25">
      <c r="A12" s="16"/>
      <c r="B12" s="16"/>
      <c r="C12" s="21" t="s">
        <v>21</v>
      </c>
      <c r="D12" s="21"/>
      <c r="E12" s="21"/>
      <c r="F12" s="21"/>
      <c r="G12" s="21"/>
      <c r="H12" s="21"/>
      <c r="I12" s="21"/>
      <c r="J12" s="21"/>
      <c r="K12" s="21"/>
    </row>
    <row r="13" spans="1:11" x14ac:dyDescent="0.25">
      <c r="A13" s="16"/>
      <c r="B13" s="16"/>
      <c r="C13" s="16"/>
      <c r="D13" s="16"/>
      <c r="E13" s="16"/>
      <c r="F13" s="16"/>
      <c r="G13" s="16"/>
      <c r="H13" s="16"/>
      <c r="I13" s="16"/>
      <c r="J13" s="16"/>
      <c r="K13" s="16"/>
    </row>
    <row r="14" ht="22" customHeight="1" spans="1:11" x14ac:dyDescent="0.25">
      <c r="A14" s="16"/>
      <c r="B14" s="19" t="s">
        <v>22</v>
      </c>
      <c r="C14" s="20" t="s">
        <v>23</v>
      </c>
      <c r="D14" s="20"/>
      <c r="E14" s="20"/>
      <c r="F14" s="20"/>
      <c r="G14" s="20"/>
      <c r="H14" s="20"/>
      <c r="I14" s="20"/>
      <c r="J14" s="20"/>
      <c r="K14" s="20"/>
    </row>
    <row r="15" ht="35" customHeight="1" spans="1:11" x14ac:dyDescent="0.25">
      <c r="A15" s="16"/>
      <c r="B15" s="16"/>
      <c r="C15" s="21" t="s">
        <v>24</v>
      </c>
      <c r="D15" s="21"/>
      <c r="E15" s="21"/>
      <c r="F15" s="21"/>
      <c r="G15" s="21"/>
      <c r="H15" s="21"/>
      <c r="I15" s="21"/>
      <c r="J15" s="21"/>
      <c r="K15" s="21"/>
    </row>
    <row r="16" spans="1:11" x14ac:dyDescent="0.25">
      <c r="A16" s="16"/>
      <c r="B16" s="16"/>
      <c r="C16" s="16"/>
      <c r="D16" s="16"/>
      <c r="E16" s="16"/>
      <c r="F16" s="16"/>
      <c r="G16" s="16"/>
      <c r="H16" s="16"/>
      <c r="I16" s="16"/>
      <c r="J16" s="16"/>
      <c r="K16" s="16"/>
    </row>
    <row r="17" ht="22" customHeight="1" spans="1:11" x14ac:dyDescent="0.25">
      <c r="A17" s="16"/>
      <c r="B17" s="19" t="s">
        <v>25</v>
      </c>
      <c r="C17" s="20" t="s">
        <v>26</v>
      </c>
      <c r="D17" s="20"/>
      <c r="E17" s="20"/>
      <c r="F17" s="20"/>
      <c r="G17" s="20"/>
      <c r="H17" s="20"/>
      <c r="I17" s="20"/>
      <c r="J17" s="20"/>
      <c r="K17" s="20"/>
    </row>
    <row r="18" ht="35" customHeight="1" spans="1:11" x14ac:dyDescent="0.25">
      <c r="A18" s="16"/>
      <c r="B18" s="16"/>
      <c r="C18" s="21" t="s">
        <v>27</v>
      </c>
      <c r="D18" s="21"/>
      <c r="E18" s="21"/>
      <c r="F18" s="21"/>
      <c r="G18" s="21"/>
      <c r="H18" s="21"/>
      <c r="I18" s="21"/>
      <c r="J18" s="21"/>
      <c r="K18" s="21"/>
    </row>
    <row r="19" spans="1:11" x14ac:dyDescent="0.25">
      <c r="A19" s="16"/>
      <c r="B19" s="16"/>
      <c r="C19" s="16"/>
      <c r="D19" s="16"/>
      <c r="E19" s="16"/>
      <c r="F19" s="16"/>
      <c r="G19" s="16"/>
      <c r="H19" s="16"/>
      <c r="I19" s="16"/>
      <c r="J19" s="16"/>
      <c r="K19" s="16"/>
    </row>
    <row r="20" ht="22" customHeight="1" spans="1:11" x14ac:dyDescent="0.25">
      <c r="A20" s="16"/>
      <c r="B20" s="19" t="s">
        <v>28</v>
      </c>
      <c r="C20" s="20" t="s">
        <v>29</v>
      </c>
      <c r="D20" s="20"/>
      <c r="E20" s="20"/>
      <c r="F20" s="20"/>
      <c r="G20" s="20"/>
      <c r="H20" s="20"/>
      <c r="I20" s="20"/>
      <c r="J20" s="20"/>
      <c r="K20" s="20"/>
    </row>
    <row r="21" ht="20" customHeight="1" spans="1:11" x14ac:dyDescent="0.25">
      <c r="A21" s="16"/>
      <c r="B21" s="16"/>
      <c r="C21" s="21" t="s">
        <v>30</v>
      </c>
      <c r="D21" s="21"/>
      <c r="E21" s="21"/>
      <c r="F21" s="21"/>
      <c r="G21" s="21"/>
      <c r="H21" s="21"/>
      <c r="I21" s="21"/>
      <c r="J21" s="21"/>
      <c r="K21" s="21"/>
    </row>
    <row r="22" spans="1:11" x14ac:dyDescent="0.25">
      <c r="A22" s="16"/>
      <c r="B22" s="16"/>
      <c r="C22" s="16"/>
      <c r="D22" s="16"/>
      <c r="E22" s="16"/>
      <c r="F22" s="16"/>
      <c r="G22" s="16"/>
      <c r="H22" s="16"/>
      <c r="I22" s="16"/>
      <c r="J22" s="16"/>
      <c r="K22" s="16"/>
    </row>
    <row r="23" ht="22" customHeight="1" spans="1:11" x14ac:dyDescent="0.25">
      <c r="A23" s="16"/>
      <c r="B23" s="19" t="s">
        <v>31</v>
      </c>
      <c r="C23" s="20" t="s">
        <v>32</v>
      </c>
      <c r="D23" s="20"/>
      <c r="E23" s="20"/>
      <c r="F23" s="20"/>
      <c r="G23" s="20"/>
      <c r="H23" s="20"/>
      <c r="I23" s="20"/>
      <c r="J23" s="20"/>
      <c r="K23" s="20"/>
    </row>
    <row r="24" ht="35" customHeight="1" spans="1:11" x14ac:dyDescent="0.25">
      <c r="A24" s="16"/>
      <c r="B24" s="16"/>
      <c r="C24" s="21" t="s">
        <v>33</v>
      </c>
      <c r="D24" s="21"/>
      <c r="E24" s="21"/>
      <c r="F24" s="21"/>
      <c r="G24" s="21"/>
      <c r="H24" s="21"/>
      <c r="I24" s="21"/>
      <c r="J24" s="21"/>
      <c r="K24" s="21"/>
    </row>
    <row r="25" spans="1:11" x14ac:dyDescent="0.25">
      <c r="A25" s="16"/>
      <c r="B25" s="16"/>
      <c r="C25" s="16"/>
      <c r="D25" s="16"/>
      <c r="E25" s="16"/>
      <c r="F25" s="16"/>
      <c r="G25" s="16"/>
      <c r="H25" s="16"/>
      <c r="I25" s="16"/>
      <c r="J25" s="16"/>
      <c r="K25" s="16"/>
    </row>
    <row r="26" spans="1:11" x14ac:dyDescent="0.25">
      <c r="A26" s="16"/>
      <c r="B26" s="16"/>
      <c r="C26" s="16"/>
      <c r="D26" s="16"/>
      <c r="E26" s="16"/>
      <c r="F26" s="16"/>
      <c r="G26" s="16"/>
      <c r="H26" s="16"/>
      <c r="I26" s="16"/>
      <c r="J26" s="16"/>
      <c r="K26" s="16"/>
    </row>
    <row r="27" spans="1:11" x14ac:dyDescent="0.25">
      <c r="A27" s="16"/>
      <c r="B27" s="17" t="s">
        <v>34</v>
      </c>
      <c r="C27" s="18"/>
      <c r="D27" s="18"/>
      <c r="E27" s="18"/>
      <c r="F27" s="18"/>
      <c r="G27" s="18"/>
      <c r="H27" s="18"/>
      <c r="I27" s="18"/>
      <c r="J27" s="18"/>
      <c r="K27" s="18"/>
    </row>
    <row r="28" spans="1:11" x14ac:dyDescent="0.25">
      <c r="A28" s="16"/>
      <c r="B28" s="16"/>
      <c r="C28" s="16"/>
      <c r="D28" s="16"/>
      <c r="E28" s="16"/>
      <c r="F28" s="16"/>
      <c r="G28" s="16"/>
      <c r="H28" s="16"/>
      <c r="I28" s="16"/>
      <c r="J28" s="16"/>
      <c r="K28" s="16"/>
    </row>
    <row r="29" ht="20" customHeight="1" spans="1:11" x14ac:dyDescent="0.25">
      <c r="A29" s="16"/>
      <c r="B29" s="22"/>
      <c r="C29" s="23" t="s">
        <v>35</v>
      </c>
      <c r="D29" s="21" t="s">
        <v>36</v>
      </c>
      <c r="E29" s="21"/>
      <c r="F29" s="21"/>
      <c r="G29" s="21"/>
      <c r="H29" s="21"/>
      <c r="I29" s="21"/>
      <c r="J29" s="21"/>
      <c r="K29" s="21"/>
    </row>
    <row r="30" ht="20" customHeight="1" spans="1:11" x14ac:dyDescent="0.25">
      <c r="A30" s="16"/>
      <c r="B30" s="24"/>
      <c r="C30" s="23" t="s">
        <v>37</v>
      </c>
      <c r="D30" s="21" t="s">
        <v>38</v>
      </c>
      <c r="E30" s="21"/>
      <c r="F30" s="21"/>
      <c r="G30" s="21"/>
      <c r="H30" s="21"/>
      <c r="I30" s="21"/>
      <c r="J30" s="21"/>
      <c r="K30" s="21"/>
    </row>
    <row r="31" ht="20" customHeight="1" spans="1:11" x14ac:dyDescent="0.25">
      <c r="A31" s="16"/>
      <c r="B31" s="25"/>
      <c r="C31" s="23" t="s">
        <v>39</v>
      </c>
      <c r="D31" s="21" t="s">
        <v>40</v>
      </c>
      <c r="E31" s="21"/>
      <c r="F31" s="21"/>
      <c r="G31" s="21"/>
      <c r="H31" s="21"/>
      <c r="I31" s="21"/>
      <c r="J31" s="21"/>
      <c r="K31" s="21"/>
    </row>
    <row r="32" ht="35" customHeight="1" spans="1:11" x14ac:dyDescent="0.25">
      <c r="A32" s="16"/>
      <c r="B32" s="26"/>
      <c r="C32" s="23" t="s">
        <v>41</v>
      </c>
      <c r="D32" s="21" t="s">
        <v>42</v>
      </c>
      <c r="E32" s="21"/>
      <c r="F32" s="21"/>
      <c r="G32" s="21"/>
      <c r="H32" s="21"/>
      <c r="I32" s="21"/>
      <c r="J32" s="21"/>
      <c r="K32" s="21"/>
    </row>
    <row r="33" spans="1:11" x14ac:dyDescent="0.25">
      <c r="A33" s="16"/>
      <c r="B33" s="16"/>
      <c r="C33" s="16"/>
      <c r="D33" s="16"/>
      <c r="E33" s="16"/>
      <c r="F33" s="16"/>
      <c r="G33" s="16"/>
      <c r="H33" s="16"/>
      <c r="I33" s="16"/>
      <c r="J33" s="16"/>
      <c r="K33" s="16"/>
    </row>
    <row r="34" ht="32" customHeight="1" spans="1:11" x14ac:dyDescent="0.25">
      <c r="A34" s="16"/>
      <c r="B34" s="16"/>
      <c r="C34" s="27" t="s">
        <v>43</v>
      </c>
      <c r="D34" s="27"/>
      <c r="E34" s="27"/>
      <c r="F34" s="27"/>
      <c r="G34" s="27"/>
      <c r="H34" s="27"/>
      <c r="I34" s="27"/>
      <c r="J34" s="27"/>
      <c r="K34" s="27"/>
    </row>
    <row r="35" spans="1:11" x14ac:dyDescent="0.25">
      <c r="A35" s="16"/>
      <c r="B35" s="16"/>
      <c r="C35" s="16"/>
      <c r="D35" s="16"/>
      <c r="E35" s="16"/>
      <c r="F35" s="16"/>
      <c r="G35" s="16"/>
      <c r="H35" s="16"/>
      <c r="I35" s="16"/>
      <c r="J35" s="16"/>
      <c r="K35" s="16"/>
    </row>
    <row r="36" spans="1:11" x14ac:dyDescent="0.25">
      <c r="A36" s="16"/>
      <c r="B36" s="16"/>
      <c r="C36" s="16"/>
      <c r="D36" s="16"/>
      <c r="E36" s="16"/>
      <c r="F36" s="16"/>
      <c r="G36" s="16"/>
      <c r="H36" s="16"/>
      <c r="I36" s="16"/>
      <c r="J36" s="16"/>
      <c r="K36" s="16"/>
    </row>
    <row r="37" spans="1:11" x14ac:dyDescent="0.25">
      <c r="A37" s="16"/>
      <c r="B37" s="17" t="s">
        <v>44</v>
      </c>
      <c r="C37" s="18"/>
      <c r="D37" s="18"/>
      <c r="E37" s="18"/>
      <c r="F37" s="18"/>
      <c r="G37" s="18"/>
      <c r="H37" s="18"/>
      <c r="I37" s="18"/>
      <c r="J37" s="18"/>
      <c r="K37" s="18"/>
    </row>
    <row r="38" spans="1:11" x14ac:dyDescent="0.25">
      <c r="A38" s="16"/>
      <c r="B38" s="16"/>
      <c r="C38" s="16"/>
      <c r="D38" s="16"/>
      <c r="E38" s="16"/>
      <c r="F38" s="16"/>
      <c r="G38" s="16"/>
      <c r="H38" s="16"/>
      <c r="I38" s="16"/>
      <c r="J38" s="16"/>
      <c r="K38" s="16"/>
    </row>
    <row r="39" ht="20" customHeight="1" spans="1:11" x14ac:dyDescent="0.25">
      <c r="A39" s="16"/>
      <c r="B39" s="23" t="s">
        <v>45</v>
      </c>
      <c r="C39" s="23"/>
      <c r="D39" s="21" t="s">
        <v>46</v>
      </c>
      <c r="E39" s="21"/>
      <c r="F39" s="21"/>
      <c r="G39" s="21"/>
      <c r="H39" s="21"/>
      <c r="I39" s="21"/>
      <c r="J39" s="21"/>
      <c r="K39" s="21"/>
    </row>
    <row r="40" ht="35" customHeight="1" spans="1:11" x14ac:dyDescent="0.25">
      <c r="A40" s="16"/>
      <c r="B40" s="23" t="s">
        <v>47</v>
      </c>
      <c r="C40" s="23"/>
      <c r="D40" s="21" t="s">
        <v>48</v>
      </c>
      <c r="E40" s="21"/>
      <c r="F40" s="21"/>
      <c r="G40" s="21"/>
      <c r="H40" s="21"/>
      <c r="I40" s="21"/>
      <c r="J40" s="21"/>
      <c r="K40" s="21"/>
    </row>
    <row r="41" ht="50" customHeight="1" spans="1:11" x14ac:dyDescent="0.25">
      <c r="A41" s="16"/>
      <c r="B41" s="23" t="s">
        <v>49</v>
      </c>
      <c r="C41" s="23"/>
      <c r="D41" s="21" t="s">
        <v>50</v>
      </c>
      <c r="E41" s="21"/>
      <c r="F41" s="21"/>
      <c r="G41" s="21"/>
      <c r="H41" s="21"/>
      <c r="I41" s="21"/>
      <c r="J41" s="21"/>
      <c r="K41" s="21"/>
    </row>
    <row r="42" ht="35" customHeight="1" spans="1:11" x14ac:dyDescent="0.25">
      <c r="A42" s="16"/>
      <c r="B42" s="23" t="s">
        <v>51</v>
      </c>
      <c r="C42" s="23"/>
      <c r="D42" s="21" t="s">
        <v>52</v>
      </c>
      <c r="E42" s="21"/>
      <c r="F42" s="21"/>
      <c r="G42" s="21"/>
      <c r="H42" s="21"/>
      <c r="I42" s="21"/>
      <c r="J42" s="21"/>
      <c r="K42" s="21"/>
    </row>
    <row r="43" ht="35" customHeight="1" spans="1:11" x14ac:dyDescent="0.25">
      <c r="A43" s="16"/>
      <c r="B43" s="23" t="s">
        <v>53</v>
      </c>
      <c r="C43" s="23"/>
      <c r="D43" s="21" t="s">
        <v>54</v>
      </c>
      <c r="E43" s="21"/>
      <c r="F43" s="21"/>
      <c r="G43" s="21"/>
      <c r="H43" s="21"/>
      <c r="I43" s="21"/>
      <c r="J43" s="21"/>
      <c r="K43" s="21"/>
    </row>
    <row r="44" ht="35" customHeight="1" spans="1:11" x14ac:dyDescent="0.25">
      <c r="A44" s="16"/>
      <c r="B44" s="23" t="s">
        <v>55</v>
      </c>
      <c r="C44" s="23"/>
      <c r="D44" s="21" t="s">
        <v>56</v>
      </c>
      <c r="E44" s="21"/>
      <c r="F44" s="21"/>
      <c r="G44" s="21"/>
      <c r="H44" s="21"/>
      <c r="I44" s="21"/>
      <c r="J44" s="21"/>
      <c r="K44" s="21"/>
    </row>
    <row r="45" ht="35" customHeight="1" spans="1:11" x14ac:dyDescent="0.25">
      <c r="A45" s="16"/>
      <c r="B45" s="23" t="s">
        <v>57</v>
      </c>
      <c r="C45" s="23"/>
      <c r="D45" s="21" t="s">
        <v>58</v>
      </c>
      <c r="E45" s="21"/>
      <c r="F45" s="21"/>
      <c r="G45" s="21"/>
      <c r="H45" s="21"/>
      <c r="I45" s="21"/>
      <c r="J45" s="21"/>
      <c r="K45" s="21"/>
    </row>
    <row r="46" ht="65" customHeight="1" spans="1:11" x14ac:dyDescent="0.25">
      <c r="A46" s="16"/>
      <c r="B46" s="23" t="s">
        <v>59</v>
      </c>
      <c r="C46" s="23"/>
      <c r="D46" s="21" t="s">
        <v>60</v>
      </c>
      <c r="E46" s="21"/>
      <c r="F46" s="21"/>
      <c r="G46" s="21"/>
      <c r="H46" s="21"/>
      <c r="I46" s="21"/>
      <c r="J46" s="21"/>
      <c r="K46" s="21"/>
    </row>
    <row r="47" spans="1:11" x14ac:dyDescent="0.25">
      <c r="A47" s="16"/>
      <c r="B47" s="16"/>
      <c r="C47" s="16"/>
      <c r="D47" s="16"/>
      <c r="E47" s="16"/>
      <c r="F47" s="16"/>
      <c r="G47" s="16"/>
      <c r="H47" s="16"/>
      <c r="I47" s="16"/>
      <c r="J47" s="16"/>
      <c r="K47" s="16"/>
    </row>
    <row r="48" spans="1:11" x14ac:dyDescent="0.25">
      <c r="A48" s="16"/>
      <c r="B48" s="16"/>
      <c r="C48" s="16"/>
      <c r="D48" s="16"/>
      <c r="E48" s="16"/>
      <c r="F48" s="16"/>
      <c r="G48" s="16"/>
      <c r="H48" s="16"/>
      <c r="I48" s="16"/>
      <c r="J48" s="16"/>
      <c r="K48" s="16"/>
    </row>
    <row r="49" spans="1:11" x14ac:dyDescent="0.25">
      <c r="A49" s="16"/>
      <c r="B49" s="17" t="s">
        <v>61</v>
      </c>
      <c r="C49" s="18"/>
      <c r="D49" s="18"/>
      <c r="E49" s="18"/>
      <c r="F49" s="18"/>
      <c r="G49" s="18"/>
      <c r="H49" s="18"/>
      <c r="I49" s="18"/>
      <c r="J49" s="18"/>
      <c r="K49" s="18"/>
    </row>
    <row r="50" spans="1:11" x14ac:dyDescent="0.25">
      <c r="A50" s="16"/>
      <c r="B50" s="16"/>
      <c r="C50" s="16"/>
      <c r="D50" s="16"/>
      <c r="E50" s="16"/>
      <c r="F50" s="16"/>
      <c r="G50" s="16"/>
      <c r="H50" s="16"/>
      <c r="I50" s="16"/>
      <c r="J50" s="16"/>
      <c r="K50" s="16"/>
    </row>
    <row r="51" ht="20" customHeight="1" spans="1:11" x14ac:dyDescent="0.25">
      <c r="A51" s="16"/>
      <c r="B51" s="28" t="s">
        <v>62</v>
      </c>
      <c r="C51" s="21" t="s">
        <v>63</v>
      </c>
      <c r="D51" s="21"/>
      <c r="E51" s="21"/>
      <c r="F51" s="21"/>
      <c r="G51" s="21"/>
      <c r="H51" s="21"/>
      <c r="I51" s="21"/>
      <c r="J51" s="21"/>
      <c r="K51" s="21"/>
    </row>
    <row r="52" ht="35" customHeight="1" spans="1:11" x14ac:dyDescent="0.25">
      <c r="A52" s="16"/>
      <c r="B52" s="28" t="s">
        <v>64</v>
      </c>
      <c r="C52" s="21" t="s">
        <v>65</v>
      </c>
      <c r="D52" s="21"/>
      <c r="E52" s="21"/>
      <c r="F52" s="21"/>
      <c r="G52" s="21"/>
      <c r="H52" s="21"/>
      <c r="I52" s="21"/>
      <c r="J52" s="21"/>
      <c r="K52" s="21"/>
    </row>
    <row r="53" ht="35" customHeight="1" spans="1:11" x14ac:dyDescent="0.25">
      <c r="A53" s="16"/>
      <c r="B53" s="28" t="s">
        <v>66</v>
      </c>
      <c r="C53" s="21" t="s">
        <v>67</v>
      </c>
      <c r="D53" s="21"/>
      <c r="E53" s="21"/>
      <c r="F53" s="21"/>
      <c r="G53" s="21"/>
      <c r="H53" s="21"/>
      <c r="I53" s="21"/>
      <c r="J53" s="21"/>
      <c r="K53" s="21"/>
    </row>
    <row r="54" ht="35" customHeight="1" spans="1:11" x14ac:dyDescent="0.25">
      <c r="A54" s="16"/>
      <c r="B54" s="28" t="s">
        <v>68</v>
      </c>
      <c r="C54" s="21" t="s">
        <v>69</v>
      </c>
      <c r="D54" s="21"/>
      <c r="E54" s="21"/>
      <c r="F54" s="21"/>
      <c r="G54" s="21"/>
      <c r="H54" s="21"/>
      <c r="I54" s="21"/>
      <c r="J54" s="21"/>
      <c r="K54" s="21"/>
    </row>
    <row r="55" ht="20" customHeight="1" spans="1:11" x14ac:dyDescent="0.25">
      <c r="A55" s="16"/>
      <c r="B55" s="28" t="s">
        <v>70</v>
      </c>
      <c r="C55" s="21" t="s">
        <v>71</v>
      </c>
      <c r="D55" s="21"/>
      <c r="E55" s="21"/>
      <c r="F55" s="21"/>
      <c r="G55" s="21"/>
      <c r="H55" s="21"/>
      <c r="I55" s="21"/>
      <c r="J55" s="21"/>
      <c r="K55" s="21"/>
    </row>
    <row r="56" ht="20" customHeight="1" spans="1:11" x14ac:dyDescent="0.25">
      <c r="A56" s="16"/>
      <c r="B56" s="28" t="s">
        <v>72</v>
      </c>
      <c r="C56" s="21" t="s">
        <v>73</v>
      </c>
      <c r="D56" s="21"/>
      <c r="E56" s="21"/>
      <c r="F56" s="21"/>
      <c r="G56" s="21"/>
      <c r="H56" s="21"/>
      <c r="I56" s="21"/>
      <c r="J56" s="21"/>
      <c r="K56" s="21"/>
    </row>
    <row r="57" spans="1:11" x14ac:dyDescent="0.25">
      <c r="A57" s="16"/>
      <c r="B57" s="16"/>
      <c r="C57" s="16"/>
      <c r="D57" s="16"/>
      <c r="E57" s="16"/>
      <c r="F57" s="16"/>
      <c r="G57" s="16"/>
      <c r="H57" s="16"/>
      <c r="I57" s="16"/>
      <c r="J57" s="16"/>
      <c r="K57" s="16"/>
    </row>
    <row r="58" spans="1:11" x14ac:dyDescent="0.25">
      <c r="A58" s="16"/>
      <c r="B58" s="16"/>
      <c r="C58" s="16"/>
      <c r="D58" s="16"/>
      <c r="E58" s="16"/>
      <c r="F58" s="16"/>
      <c r="G58" s="16"/>
      <c r="H58" s="16"/>
      <c r="I58" s="16"/>
      <c r="J58" s="16"/>
      <c r="K58" s="16"/>
    </row>
    <row r="59" spans="1:11" x14ac:dyDescent="0.25">
      <c r="A59" s="16"/>
      <c r="B59" s="17" t="s">
        <v>74</v>
      </c>
      <c r="C59" s="18"/>
      <c r="D59" s="18"/>
      <c r="E59" s="18"/>
      <c r="F59" s="18"/>
      <c r="G59" s="18"/>
      <c r="H59" s="18"/>
      <c r="I59" s="18"/>
      <c r="J59" s="18"/>
      <c r="K59" s="18"/>
    </row>
    <row r="60" spans="1:11" x14ac:dyDescent="0.25">
      <c r="A60" s="16"/>
      <c r="B60" s="16"/>
      <c r="C60" s="16"/>
      <c r="D60" s="16"/>
      <c r="E60" s="16"/>
      <c r="F60" s="16"/>
      <c r="G60" s="16"/>
      <c r="H60" s="16"/>
      <c r="I60" s="16"/>
      <c r="J60" s="16"/>
      <c r="K60" s="16"/>
    </row>
    <row r="61" ht="50" customHeight="1" spans="1:11" x14ac:dyDescent="0.25">
      <c r="A61" s="16"/>
      <c r="B61" s="21" t="s">
        <v>75</v>
      </c>
      <c r="C61" s="21"/>
      <c r="D61" s="21"/>
      <c r="E61" s="21"/>
      <c r="F61" s="21"/>
      <c r="G61" s="21"/>
      <c r="H61" s="21"/>
      <c r="I61" s="21"/>
      <c r="J61" s="21"/>
      <c r="K61" s="21"/>
    </row>
    <row r="62" spans="1:11" x14ac:dyDescent="0.25">
      <c r="A62" s="16"/>
      <c r="B62" s="16"/>
      <c r="C62" s="16"/>
      <c r="D62" s="16"/>
      <c r="E62" s="16"/>
      <c r="F62" s="16"/>
      <c r="G62" s="16"/>
      <c r="H62" s="16"/>
      <c r="I62" s="16"/>
      <c r="J62" s="16"/>
      <c r="K62" s="16"/>
    </row>
    <row r="63" spans="1:11" x14ac:dyDescent="0.25">
      <c r="A63" s="16"/>
      <c r="B63" s="16"/>
      <c r="C63" s="16"/>
      <c r="D63" s="16"/>
      <c r="E63" s="16"/>
      <c r="F63" s="16"/>
      <c r="G63" s="16"/>
      <c r="H63" s="16"/>
      <c r="I63" s="16"/>
      <c r="J63" s="16"/>
      <c r="K63" s="16"/>
    </row>
    <row r="64" ht="32" customHeight="1" spans="1:11" x14ac:dyDescent="0.25">
      <c r="A64" s="16"/>
      <c r="B64" s="27" t="s">
        <v>76</v>
      </c>
      <c r="C64" s="27"/>
      <c r="D64" s="27"/>
      <c r="E64" s="27"/>
      <c r="F64" s="27"/>
      <c r="G64" s="27"/>
      <c r="H64" s="27"/>
      <c r="I64" s="27"/>
      <c r="J64" s="27"/>
      <c r="K64" s="27"/>
    </row>
    <row r="65" spans="1:11" x14ac:dyDescent="0.25">
      <c r="A65" s="16"/>
      <c r="B65" s="16"/>
      <c r="C65" s="16"/>
      <c r="D65" s="16"/>
      <c r="E65" s="16"/>
      <c r="F65" s="16"/>
      <c r="G65" s="16"/>
      <c r="H65" s="16"/>
      <c r="I65" s="16"/>
      <c r="J65" s="16"/>
      <c r="K65" s="16"/>
    </row>
    <row r="66" spans="1:11" x14ac:dyDescent="0.25">
      <c r="A66" s="16"/>
      <c r="B66" s="16"/>
      <c r="C66" s="16"/>
      <c r="D66" s="16"/>
      <c r="E66" s="16"/>
      <c r="F66" s="16"/>
      <c r="G66" s="16"/>
      <c r="H66" s="16"/>
      <c r="I66" s="16"/>
      <c r="J66" s="16"/>
      <c r="K66" s="16"/>
    </row>
    <row r="67" spans="1:11" x14ac:dyDescent="0.25">
      <c r="A67" s="16"/>
      <c r="B67" s="16"/>
      <c r="C67" s="16"/>
      <c r="D67" s="16"/>
      <c r="E67" s="16"/>
      <c r="F67" s="16"/>
      <c r="G67" s="16"/>
      <c r="H67" s="16"/>
      <c r="I67" s="16"/>
      <c r="J67" s="16"/>
      <c r="K67" s="16"/>
    </row>
    <row r="68" spans="1:11" x14ac:dyDescent="0.25">
      <c r="A68" s="16"/>
      <c r="B68" s="16"/>
      <c r="C68" s="16"/>
      <c r="D68" s="16"/>
      <c r="E68" s="16"/>
      <c r="F68" s="16"/>
      <c r="G68" s="16"/>
      <c r="H68" s="16"/>
      <c r="I68" s="16"/>
      <c r="J68" s="16"/>
      <c r="K68" s="16"/>
    </row>
  </sheetData>
  <mergeCells count="46">
    <mergeCell ref="B1:C1"/>
    <mergeCell ref="D1:E1"/>
    <mergeCell ref="F1:G1"/>
    <mergeCell ref="H1:I1"/>
    <mergeCell ref="J1:K1"/>
    <mergeCell ref="C8:K8"/>
    <mergeCell ref="C9:K9"/>
    <mergeCell ref="C11:K11"/>
    <mergeCell ref="C12:K12"/>
    <mergeCell ref="C14:K14"/>
    <mergeCell ref="C15:K15"/>
    <mergeCell ref="C17:K17"/>
    <mergeCell ref="C18:K18"/>
    <mergeCell ref="C20:K20"/>
    <mergeCell ref="C21:K21"/>
    <mergeCell ref="C23:K23"/>
    <mergeCell ref="C24:K24"/>
    <mergeCell ref="D29:K29"/>
    <mergeCell ref="D30:K30"/>
    <mergeCell ref="D31:K31"/>
    <mergeCell ref="D32:K32"/>
    <mergeCell ref="C34:K34"/>
    <mergeCell ref="B39:C39"/>
    <mergeCell ref="D39:K39"/>
    <mergeCell ref="B40:C40"/>
    <mergeCell ref="D40:K40"/>
    <mergeCell ref="B41:C41"/>
    <mergeCell ref="D41:K41"/>
    <mergeCell ref="B42:C42"/>
    <mergeCell ref="D42:K42"/>
    <mergeCell ref="B43:C43"/>
    <mergeCell ref="D43:K43"/>
    <mergeCell ref="B44:C44"/>
    <mergeCell ref="D44:K44"/>
    <mergeCell ref="B45:C45"/>
    <mergeCell ref="D45:K45"/>
    <mergeCell ref="B46:C46"/>
    <mergeCell ref="D46:K46"/>
    <mergeCell ref="C51:K51"/>
    <mergeCell ref="C52:K52"/>
    <mergeCell ref="C53:K53"/>
    <mergeCell ref="C54:K54"/>
    <mergeCell ref="C55:K55"/>
    <mergeCell ref="C56:K56"/>
    <mergeCell ref="B61:K61"/>
    <mergeCell ref="B64:K64"/>
  </mergeCells>
  <hyperlinks>
    <hyperlink ref="B1" r:id="rId1" location="#'DASHBOARD'!A1"/>
    <hyperlink ref="F1" r:id="rId2" location="#'CHRISTMAS CALENDAR'!A1"/>
    <hyperlink ref="H1" r:id="rId3" location="#'MASTER BUDGET'!A1"/>
    <hyperlink ref="J1" r:id="rId4" location="#'SHEET INDEX'!A1"/>
  </hyperlinks>
  <pageMargins left="0.5" right="0.5" top="0.6" bottom="0.6" header="0.3" footer="0.3"/>
  <pageSetup orientation="portrait"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9452"/>
    <pageSetUpPr fitToPage="1"/>
  </sheetPr>
  <dimension ref="A1:F29"/>
  <sheetViews>
    <sheetView workbookViewId="0" showGridLines="0" zoomScale="100">
      <pane ySplit="5" topLeftCell="A6" activePane="bottomLeft" state="frozen"/>
      <selection pane="bottomLeft"/>
    </sheetView>
  </sheetViews>
  <sheetFormatPr defaultRowHeight="15" outlineLevelRow="0" outlineLevelCol="0" x14ac:dyDescent="55"/>
  <cols>
    <col min="1" max="1" width="2" customWidth="1"/>
    <col min="2" max="2" width="28" customWidth="1"/>
    <col min="3" max="6" width="18" customWidth="1"/>
  </cols>
  <sheetData>
    <row r="1" ht="21" customHeight="1" spans="1:6" x14ac:dyDescent="0.25">
      <c r="A1" s="4"/>
      <c r="B1" s="10" t="s">
        <v>8</v>
      </c>
      <c r="C1" s="10" t="s">
        <v>9</v>
      </c>
      <c r="D1" s="10" t="s">
        <v>10</v>
      </c>
      <c r="E1" s="10" t="s">
        <v>11</v>
      </c>
      <c r="F1" s="10" t="s">
        <v>12</v>
      </c>
    </row>
    <row r="2" ht="34" customHeight="1" spans="1:6" x14ac:dyDescent="0.25">
      <c r="A2" s="12"/>
      <c r="B2" s="13" t="s">
        <v>77</v>
      </c>
      <c r="C2" s="12"/>
      <c r="D2" s="12"/>
      <c r="E2" s="12"/>
      <c r="F2" s="12"/>
    </row>
    <row r="3" ht="18" customHeight="1" spans="1:6" x14ac:dyDescent="0.25">
      <c r="A3" s="12"/>
      <c r="B3" s="14" t="s">
        <v>78</v>
      </c>
      <c r="C3" s="12"/>
      <c r="D3" s="12"/>
      <c r="E3" s="12"/>
      <c r="F3" s="12"/>
    </row>
    <row r="4" ht="17" customHeight="1" spans="1:6" x14ac:dyDescent="0.25">
      <c r="A4" s="12"/>
      <c r="B4" s="15" t="s">
        <v>79</v>
      </c>
      <c r="C4" s="12"/>
      <c r="D4" s="12"/>
      <c r="E4" s="12"/>
      <c r="F4" s="12"/>
    </row>
    <row r="5" spans="1:6" x14ac:dyDescent="0.25">
      <c r="A5" s="16"/>
      <c r="B5" s="16"/>
      <c r="C5" s="16"/>
      <c r="D5" s="16"/>
      <c r="E5" s="16"/>
      <c r="F5" s="16"/>
    </row>
    <row r="6" spans="1:6" x14ac:dyDescent="0.25">
      <c r="A6" s="16"/>
      <c r="B6" s="16"/>
      <c r="C6" s="16"/>
      <c r="D6" s="16"/>
      <c r="E6" s="16"/>
      <c r="F6" s="16"/>
    </row>
    <row r="7" ht="24" customHeight="1" spans="1:6" x14ac:dyDescent="0.25">
      <c r="A7" s="16"/>
      <c r="B7" s="29" t="s">
        <v>80</v>
      </c>
      <c r="C7" s="30">
        <v>2026</v>
      </c>
      <c r="D7" s="31" t="s">
        <v>81</v>
      </c>
      <c r="E7" s="31"/>
      <c r="F7" s="31"/>
    </row>
    <row r="8" ht="24" customHeight="1" spans="1:6" x14ac:dyDescent="0.25">
      <c r="A8" s="16"/>
      <c r="B8" s="29" t="s">
        <v>82</v>
      </c>
      <c r="C8" s="32">
        <v>46381</v>
      </c>
      <c r="D8" s="31" t="s">
        <v>83</v>
      </c>
      <c r="E8" s="31"/>
      <c r="F8" s="31"/>
    </row>
    <row r="9" ht="24" customHeight="1" spans="1:6" x14ac:dyDescent="0.25">
      <c r="A9" s="16"/>
      <c r="B9" s="29" t="s">
        <v>84</v>
      </c>
      <c r="C9" s="32">
        <v>46266</v>
      </c>
      <c r="D9" s="31" t="s">
        <v>85</v>
      </c>
      <c r="E9" s="31"/>
      <c r="F9" s="31"/>
    </row>
    <row r="10" ht="24" customHeight="1" spans="1:6" x14ac:dyDescent="0.25">
      <c r="A10" s="16"/>
      <c r="B10" s="29" t="s">
        <v>86</v>
      </c>
      <c r="C10" s="33" t="s">
        <v>87</v>
      </c>
      <c r="D10" s="31" t="s">
        <v>88</v>
      </c>
      <c r="E10" s="31"/>
      <c r="F10" s="31"/>
    </row>
    <row r="11" ht="24" customHeight="1" spans="1:6" x14ac:dyDescent="0.25">
      <c r="A11" s="16"/>
      <c r="B11" s="29" t="s">
        <v>89</v>
      </c>
      <c r="C11" s="33"/>
      <c r="D11" s="31" t="s">
        <v>90</v>
      </c>
      <c r="E11" s="31"/>
      <c r="F11" s="31"/>
    </row>
    <row r="12" ht="24" customHeight="1" spans="1:6" x14ac:dyDescent="0.25">
      <c r="A12" s="16"/>
      <c r="B12" s="29" t="s">
        <v>91</v>
      </c>
      <c r="C12" s="34">
        <v>0.9</v>
      </c>
      <c r="D12" s="31" t="s">
        <v>92</v>
      </c>
      <c r="E12" s="31"/>
      <c r="F12" s="31"/>
    </row>
    <row r="13" ht="24" customHeight="1" spans="1:6" x14ac:dyDescent="0.25">
      <c r="A13" s="16"/>
      <c r="B13" s="29" t="s">
        <v>93</v>
      </c>
      <c r="C13" s="35">
        <v>7</v>
      </c>
      <c r="D13" s="31" t="s">
        <v>94</v>
      </c>
      <c r="E13" s="31"/>
      <c r="F13" s="31"/>
    </row>
    <row r="14" ht="24" customHeight="1" spans="1:6" x14ac:dyDescent="0.25">
      <c r="A14" s="16"/>
      <c r="B14" s="29" t="s">
        <v>95</v>
      </c>
      <c r="C14" s="35">
        <v>1</v>
      </c>
      <c r="D14" s="31" t="s">
        <v>96</v>
      </c>
      <c r="E14" s="31"/>
      <c r="F14" s="31"/>
    </row>
    <row r="15" ht="24" customHeight="1" spans="1:6" x14ac:dyDescent="0.25">
      <c r="A15" s="16"/>
      <c r="B15" s="29" t="s">
        <v>97</v>
      </c>
      <c r="C15" s="33" t="s">
        <v>98</v>
      </c>
      <c r="D15" s="31" t="s">
        <v>99</v>
      </c>
      <c r="E15" s="31"/>
      <c r="F15" s="31"/>
    </row>
    <row r="16" ht="24" customHeight="1" spans="1:6" x14ac:dyDescent="0.25">
      <c r="A16" s="16"/>
      <c r="B16" s="29" t="s">
        <v>100</v>
      </c>
      <c r="C16" s="36" t="s">
        <v>101</v>
      </c>
      <c r="D16" s="31" t="s">
        <v>102</v>
      </c>
      <c r="E16" s="31"/>
      <c r="F16" s="31"/>
    </row>
    <row r="17" spans="1:6" x14ac:dyDescent="0.25">
      <c r="A17" s="16"/>
      <c r="B17" s="16"/>
      <c r="C17" s="16"/>
      <c r="D17" s="16"/>
      <c r="E17" s="16"/>
      <c r="F17" s="16"/>
    </row>
    <row r="18" spans="1:6" x14ac:dyDescent="0.25">
      <c r="A18" s="16"/>
      <c r="B18" s="16"/>
      <c r="C18" s="16"/>
      <c r="D18" s="16"/>
      <c r="E18" s="16"/>
      <c r="F18" s="16"/>
    </row>
    <row r="19" spans="1:6" x14ac:dyDescent="0.25">
      <c r="A19" s="16"/>
      <c r="B19" s="17" t="s">
        <v>103</v>
      </c>
      <c r="C19" s="18"/>
      <c r="D19" s="18"/>
      <c r="E19" s="18"/>
      <c r="F19" s="18"/>
    </row>
    <row r="20" spans="1:6" x14ac:dyDescent="0.25">
      <c r="A20" s="16"/>
      <c r="B20" s="16"/>
      <c r="C20" s="16"/>
      <c r="D20" s="16"/>
      <c r="E20" s="16"/>
      <c r="F20" s="16"/>
    </row>
    <row r="21" ht="35" customHeight="1" spans="1:6" x14ac:dyDescent="0.25">
      <c r="A21" s="16"/>
      <c r="B21" s="37" t="s">
        <v>80</v>
      </c>
      <c r="C21" s="21" t="s">
        <v>104</v>
      </c>
      <c r="D21" s="21"/>
      <c r="E21" s="21"/>
      <c r="F21" s="21"/>
    </row>
    <row r="22" ht="35" customHeight="1" spans="1:6" x14ac:dyDescent="0.25">
      <c r="A22" s="16"/>
      <c r="B22" s="37" t="s">
        <v>91</v>
      </c>
      <c r="C22" s="21" t="s">
        <v>105</v>
      </c>
      <c r="D22" s="21"/>
      <c r="E22" s="21"/>
      <c r="F22" s="21"/>
    </row>
    <row r="23" ht="20" customHeight="1" spans="1:6" x14ac:dyDescent="0.25">
      <c r="A23" s="16"/>
      <c r="B23" s="37" t="s">
        <v>106</v>
      </c>
      <c r="C23" s="21" t="s">
        <v>107</v>
      </c>
      <c r="D23" s="21"/>
      <c r="E23" s="21"/>
      <c r="F23" s="21"/>
    </row>
    <row r="24" ht="20" customHeight="1" spans="1:6" x14ac:dyDescent="0.25">
      <c r="A24" s="16"/>
      <c r="B24" s="37" t="s">
        <v>95</v>
      </c>
      <c r="C24" s="21" t="s">
        <v>108</v>
      </c>
      <c r="D24" s="21"/>
      <c r="E24" s="21"/>
      <c r="F24" s="21"/>
    </row>
    <row r="25" ht="35" customHeight="1" spans="1:6" x14ac:dyDescent="0.25">
      <c r="A25" s="16"/>
      <c r="B25" s="37" t="s">
        <v>86</v>
      </c>
      <c r="C25" s="21" t="s">
        <v>109</v>
      </c>
      <c r="D25" s="21"/>
      <c r="E25" s="21"/>
      <c r="F25" s="21"/>
    </row>
    <row r="26" spans="1:6" x14ac:dyDescent="0.25">
      <c r="A26" s="16"/>
      <c r="B26" s="16"/>
      <c r="C26" s="16"/>
      <c r="D26" s="16"/>
      <c r="E26" s="16"/>
      <c r="F26" s="16"/>
    </row>
    <row r="27" spans="1:6" x14ac:dyDescent="0.25">
      <c r="A27" s="16"/>
      <c r="B27" s="16"/>
      <c r="C27" s="16"/>
      <c r="D27" s="16"/>
      <c r="E27" s="16"/>
      <c r="F27" s="16"/>
    </row>
    <row r="28" spans="1:6" x14ac:dyDescent="0.25">
      <c r="A28" s="16"/>
      <c r="B28" s="16"/>
      <c r="C28" s="16"/>
      <c r="D28" s="16"/>
      <c r="E28" s="16"/>
      <c r="F28" s="16"/>
    </row>
    <row r="29" spans="1:6" x14ac:dyDescent="0.25">
      <c r="A29" s="16"/>
      <c r="B29" s="16"/>
      <c r="C29" s="16"/>
      <c r="D29" s="16"/>
      <c r="E29" s="16"/>
      <c r="F29" s="16"/>
    </row>
  </sheetData>
  <mergeCells count="15">
    <mergeCell ref="D7:F7"/>
    <mergeCell ref="D8:F8"/>
    <mergeCell ref="D9:F9"/>
    <mergeCell ref="D10:F10"/>
    <mergeCell ref="D11:F11"/>
    <mergeCell ref="D12:F12"/>
    <mergeCell ref="D13:F13"/>
    <mergeCell ref="D14:F14"/>
    <mergeCell ref="D15:F15"/>
    <mergeCell ref="D16:F16"/>
    <mergeCell ref="C21:F21"/>
    <mergeCell ref="C22:F22"/>
    <mergeCell ref="C23:F23"/>
    <mergeCell ref="C24:F24"/>
    <mergeCell ref="C25:F25"/>
  </mergeCells>
  <hyperlinks>
    <hyperlink ref="B1" r:id="rId1" location="#'DASHBOARD'!A1"/>
    <hyperlink ref="C1" r:id="rId2" location="#'START HERE'!A1"/>
    <hyperlink ref="D1" r:id="rId3" location="#'CHRISTMAS CALENDAR'!A1"/>
    <hyperlink ref="E1" r:id="rId4" location="#'MASTER BUDGET'!A1"/>
    <hyperlink ref="F1" r:id="rId5" location="#'SHEET INDEX'!A1"/>
  </hyperlinks>
  <pageMargins left="0.5" right="0.5" top="0.6" bottom="0.6" header="0.3" footer="0.3"/>
  <pageSetup orientation="landscape"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D1F2D"/>
    <pageSetUpPr fitToPage="1"/>
  </sheetPr>
  <dimension ref="A1:Q72"/>
  <sheetViews>
    <sheetView workbookViewId="0" showGridLines="0" zoomScale="90">
      <pane ySplit="4" topLeftCell="A5" activePane="bottomLeft" state="frozen"/>
      <selection pane="bottomLeft"/>
    </sheetView>
  </sheetViews>
  <sheetFormatPr defaultRowHeight="15" outlineLevelRow="0" outlineLevelCol="0" x14ac:dyDescent="55"/>
  <cols>
    <col min="1" max="1" width="2" customWidth="1"/>
    <col min="5" max="5" width="2" customWidth="1"/>
    <col min="9" max="9" width="2" customWidth="1"/>
    <col min="13" max="13" width="2" customWidth="1"/>
    <col min="17" max="17" width="2" customWidth="1"/>
  </cols>
  <sheetData>
    <row r="1" ht="21" customHeight="1" spans="1:17" x14ac:dyDescent="0.25">
      <c r="A1" s="4"/>
      <c r="B1" s="11" t="s">
        <v>8</v>
      </c>
      <c r="C1" s="11"/>
      <c r="D1" s="10" t="s">
        <v>9</v>
      </c>
      <c r="E1" s="10"/>
      <c r="F1" s="10"/>
      <c r="G1" s="10" t="s">
        <v>10</v>
      </c>
      <c r="H1" s="10"/>
      <c r="I1" s="10" t="s">
        <v>11</v>
      </c>
      <c r="J1" s="10"/>
      <c r="K1" s="10" t="s">
        <v>12</v>
      </c>
      <c r="L1" s="10"/>
      <c r="M1" s="4"/>
      <c r="N1" s="4"/>
      <c r="O1" s="4"/>
      <c r="P1" s="4"/>
      <c r="Q1" s="4"/>
    </row>
    <row r="2" ht="34" customHeight="1" spans="1:17" x14ac:dyDescent="0.25">
      <c r="A2" s="12"/>
      <c r="B2" s="13" t="s">
        <v>8</v>
      </c>
      <c r="C2" s="12"/>
      <c r="D2" s="12"/>
      <c r="E2" s="12"/>
      <c r="F2" s="12"/>
      <c r="G2" s="12"/>
      <c r="H2" s="12"/>
      <c r="I2" s="12"/>
      <c r="J2" s="12"/>
      <c r="K2" s="12"/>
      <c r="L2" s="12"/>
      <c r="M2" s="12"/>
      <c r="N2" s="12"/>
      <c r="O2" s="12"/>
      <c r="P2" s="12"/>
      <c r="Q2" s="12"/>
    </row>
    <row r="3" ht="18" customHeight="1" spans="1:17" x14ac:dyDescent="0.25">
      <c r="A3" s="12"/>
      <c r="B3" s="14">
        <f>IF(Set_Household="","Christmas "&amp;Set_Year&amp;" — where everything stands today.","Christmas "&amp;Set_Year&amp;" for the "&amp;Set_Household&amp;" household — where everything stands today.")</f>
      </c>
      <c r="C3" s="12"/>
      <c r="D3" s="12"/>
      <c r="E3" s="12"/>
      <c r="F3" s="12"/>
      <c r="G3" s="12"/>
      <c r="H3" s="12"/>
      <c r="I3" s="12"/>
      <c r="J3" s="12"/>
      <c r="K3" s="12"/>
      <c r="L3" s="12"/>
      <c r="M3" s="12"/>
      <c r="N3" s="12"/>
      <c r="O3" s="12"/>
      <c r="P3" s="12"/>
      <c r="Q3" s="12"/>
    </row>
    <row r="4" ht="17" customHeight="1" spans="1:17" x14ac:dyDescent="0.25">
      <c r="A4" s="12"/>
      <c r="B4" s="15" t="s">
        <v>110</v>
      </c>
      <c r="C4" s="12"/>
      <c r="D4" s="12"/>
      <c r="E4" s="12"/>
      <c r="F4" s="12"/>
      <c r="G4" s="12"/>
      <c r="H4" s="12"/>
      <c r="I4" s="12"/>
      <c r="J4" s="12"/>
      <c r="K4" s="12"/>
      <c r="L4" s="12"/>
      <c r="M4" s="12"/>
      <c r="N4" s="12"/>
      <c r="O4" s="12"/>
      <c r="P4" s="12"/>
      <c r="Q4" s="12"/>
    </row>
    <row r="5" spans="1:17" x14ac:dyDescent="0.25">
      <c r="A5" s="16"/>
      <c r="B5" s="16"/>
      <c r="C5" s="16"/>
      <c r="D5" s="16"/>
      <c r="E5" s="16"/>
      <c r="F5" s="16"/>
      <c r="G5" s="16"/>
      <c r="H5" s="16"/>
      <c r="I5" s="16"/>
      <c r="J5" s="16"/>
      <c r="K5" s="16"/>
      <c r="L5" s="16"/>
      <c r="M5" s="16"/>
      <c r="N5" s="16"/>
      <c r="O5" s="16"/>
      <c r="P5" s="16"/>
      <c r="Q5" s="16"/>
    </row>
    <row r="6" ht="16" customHeight="1" spans="1:17" x14ac:dyDescent="0.25">
      <c r="A6" s="16"/>
      <c r="B6" s="38" t="s">
        <v>111</v>
      </c>
      <c r="C6" s="38"/>
      <c r="D6" s="38"/>
      <c r="E6" s="16"/>
      <c r="F6" s="39" t="s">
        <v>112</v>
      </c>
      <c r="G6" s="39"/>
      <c r="H6" s="39"/>
      <c r="I6" s="16"/>
      <c r="J6" s="39" t="s">
        <v>113</v>
      </c>
      <c r="K6" s="39"/>
      <c r="L6" s="39"/>
      <c r="M6" s="16"/>
      <c r="N6" s="38" t="s">
        <v>114</v>
      </c>
      <c r="O6" s="38"/>
      <c r="P6" s="38"/>
      <c r="Q6" s="16"/>
    </row>
    <row r="7" ht="32" customHeight="1" spans="1:17" x14ac:dyDescent="0.25">
      <c r="A7" s="16"/>
      <c r="B7" s="40">
        <f>MAX(0,Set_ChristmasDate-TODAY())</f>
      </c>
      <c r="C7" s="40"/>
      <c r="D7" s="40"/>
      <c r="E7" s="16"/>
      <c r="F7" s="41">
        <f>SUM('MASTER BUDGET'!$E$6:$E$25)</f>
      </c>
      <c r="G7" s="41"/>
      <c r="H7" s="41"/>
      <c r="I7" s="16"/>
      <c r="J7" s="41">
        <f>SUM('MASTER BUDGET'!$G$6:$G$25)</f>
      </c>
      <c r="K7" s="41"/>
      <c r="L7" s="41"/>
      <c r="M7" s="16"/>
      <c r="N7" s="42">
        <f>SUM('MASTER BUDGET'!$E$6:$E$25)-SUM('MASTER BUDGET'!$G$6:$G$25)</f>
      </c>
      <c r="O7" s="42"/>
      <c r="P7" s="42"/>
      <c r="Q7" s="16"/>
    </row>
    <row r="8" ht="6" customHeight="1" spans="1:17" x14ac:dyDescent="0.25">
      <c r="A8" s="16"/>
      <c r="B8" s="43"/>
      <c r="C8" s="44"/>
      <c r="D8" s="45"/>
      <c r="E8" s="16"/>
      <c r="F8" s="43"/>
      <c r="G8" s="44"/>
      <c r="H8" s="45"/>
      <c r="I8" s="16"/>
      <c r="J8" s="43"/>
      <c r="K8" s="44"/>
      <c r="L8" s="45"/>
      <c r="M8" s="16"/>
      <c r="N8" s="43"/>
      <c r="O8" s="44"/>
      <c r="P8" s="45"/>
      <c r="Q8" s="16"/>
    </row>
    <row r="9" ht="26" customHeight="1" spans="1:17" x14ac:dyDescent="0.25">
      <c r="A9" s="16"/>
      <c r="B9" s="46">
        <f>"Christmas falls on "&amp;TEXT(Set_ChristmasDate,"dddd d mmmm")</f>
      </c>
      <c r="C9" s="46"/>
      <c r="D9" s="46"/>
      <c r="E9" s="16"/>
      <c r="F9" s="46" t="s">
        <v>115</v>
      </c>
      <c r="G9" s="46"/>
      <c r="H9" s="46"/>
      <c r="I9" s="16"/>
      <c r="J9" s="46">
        <f>"Planned, including what you have not bought yet: "&amp;TEXT(SUM('MASTER BUDGET'!$F$6:$F$25),"""$""#,##0.00;[Red]-""$""#,##0.00;""$""—")</f>
      </c>
      <c r="K9" s="46"/>
      <c r="L9" s="46"/>
      <c r="M9" s="16"/>
      <c r="N9" s="46">
        <f>IF(SUM('MASTER BUDGET'!$E$6:$E$25)=0,"No budget set yet.",IF(SUM('MASTER BUDGET'!$E$6:$E$25)-SUM('MASTER BUDGET'!$G$6:$G$25)&lt;0,"OVER BUDGET — see MASTER BUDGET.","Against the budget you set."))</f>
      </c>
      <c r="O9" s="46"/>
      <c r="P9" s="46"/>
      <c r="Q9" s="16"/>
    </row>
    <row r="10" spans="1:17" x14ac:dyDescent="0.25">
      <c r="A10" s="16"/>
      <c r="B10" s="16"/>
      <c r="C10" s="16"/>
      <c r="D10" s="16"/>
      <c r="E10" s="16"/>
      <c r="F10" s="16"/>
      <c r="G10" s="16"/>
      <c r="H10" s="16"/>
      <c r="I10" s="16"/>
      <c r="J10" s="16"/>
      <c r="K10" s="16"/>
      <c r="L10" s="16"/>
      <c r="M10" s="16"/>
      <c r="N10" s="16"/>
      <c r="O10" s="16"/>
      <c r="P10" s="16"/>
      <c r="Q10" s="16"/>
    </row>
    <row r="11" ht="16" customHeight="1" spans="1:17" x14ac:dyDescent="0.25">
      <c r="A11" s="16"/>
      <c r="B11" s="47" t="s">
        <v>116</v>
      </c>
      <c r="C11" s="47"/>
      <c r="D11" s="47"/>
      <c r="E11" s="16"/>
      <c r="F11" s="47" t="s">
        <v>117</v>
      </c>
      <c r="G11" s="47"/>
      <c r="H11" s="47"/>
      <c r="I11" s="16"/>
      <c r="J11" s="47" t="s">
        <v>118</v>
      </c>
      <c r="K11" s="47"/>
      <c r="L11" s="47"/>
      <c r="M11" s="16"/>
      <c r="N11" s="47" t="s">
        <v>119</v>
      </c>
      <c r="O11" s="47"/>
      <c r="P11" s="47"/>
      <c r="Q11" s="16"/>
    </row>
    <row r="12" ht="32" customHeight="1" spans="1:17" x14ac:dyDescent="0.25">
      <c r="A12" s="16"/>
      <c r="B12" s="48">
        <f>IF(COUNTIFS('GIFT PLANNER'!$E$6:$E$205,"Yes")=0,0,COUNTIFS('GIFT PLANNER'!$E$6:$E$205,"Yes",'GIFT PLANNER'!$T$6:$T$205,"Yes")/COUNTIFS('GIFT PLANNER'!$E$6:$E$205,"Yes"))</f>
      </c>
      <c r="C12" s="48"/>
      <c r="D12" s="48"/>
      <c r="E12" s="16"/>
      <c r="F12" s="48">
        <f>IF(COUNTIFS('GIFT PLANNER'!$E$6:$E$205,"Yes",'GIFT PLANNER'!$T$6:$T$205,"Yes",'GIFT PLANNER'!$Y$6:$Y$205,"Physical")=0,0,COUNTIFS('GIFT PLANNER'!$E$6:$E$205,"Yes",'GIFT PLANNER'!$T$6:$T$205,"Yes",'GIFT PLANNER'!$Y$6:$Y$205,"Physical",'GIFT PLANNER'!$Z$6:$Z$205,"Yes")/COUNTIFS('GIFT PLANNER'!$E$6:$E$205,"Yes",'GIFT PLANNER'!$T$6:$T$205,"Yes",'GIFT PLANNER'!$Y$6:$Y$205,"Physical"))</f>
      </c>
      <c r="G12" s="48"/>
      <c r="H12" s="48"/>
      <c r="I12" s="16"/>
      <c r="J12" s="48">
        <f>IF(COUNTIFS('ONLINE ORDERS'!$B$6:$B$155,"?*",'ONLINE ORDERS'!$K$6:$K$155,"&lt;&gt;Cancelled")=0,0,COUNTIFS('ONLINE ORDERS'!$B$6:$B$155,"?*",'ONLINE ORDERS'!$K$6:$K$155,"&lt;&gt;Cancelled",'ONLINE ORDERS'!$M$6:$M$155,"Yes")/COUNTIFS('ONLINE ORDERS'!$B$6:$B$155,"?*",'ONLINE ORDERS'!$K$6:$K$155,"&lt;&gt;Cancelled"))</f>
      </c>
      <c r="K12" s="48"/>
      <c r="L12" s="48"/>
      <c r="M12" s="16"/>
      <c r="N12" s="48">
        <f>IF(COUNTIFS('CHRISTMAS CALENDAR'!$B$6:$B$205,"?*",'CHRISTMAS CALENDAR'!$Q$6:$Q$205,"Yes")+COUNTIFS('CHRISTMAS CALENDAR'!$B$6:$B$205,"?*",'CHRISTMAS CALENDAR'!$Q$6:$Q$205,"No")=0,0,COUNTIFS('CHRISTMAS CALENDAR'!$B$6:$B$205,"?*",'CHRISTMAS CALENDAR'!$Q$6:$Q$205,"No")/(COUNTIFS('CHRISTMAS CALENDAR'!$B$6:$B$205,"?*",'CHRISTMAS CALENDAR'!$Q$6:$Q$205,"Yes")+COUNTIFS('CHRISTMAS CALENDAR'!$B$6:$B$205,"?*",'CHRISTMAS CALENDAR'!$Q$6:$Q$205,"No")))</f>
      </c>
      <c r="O12" s="48"/>
      <c r="P12" s="48"/>
      <c r="Q12" s="16"/>
    </row>
    <row r="13" ht="6" customHeight="1" spans="1:17" x14ac:dyDescent="0.25">
      <c r="A13" s="16"/>
      <c r="B13" s="43"/>
      <c r="C13" s="44"/>
      <c r="D13" s="45"/>
      <c r="E13" s="16"/>
      <c r="F13" s="43"/>
      <c r="G13" s="44"/>
      <c r="H13" s="45"/>
      <c r="I13" s="16"/>
      <c r="J13" s="43"/>
      <c r="K13" s="44"/>
      <c r="L13" s="45"/>
      <c r="M13" s="16"/>
      <c r="N13" s="43"/>
      <c r="O13" s="44"/>
      <c r="P13" s="45"/>
      <c r="Q13" s="16"/>
    </row>
    <row r="14" ht="26" customHeight="1" spans="1:17" x14ac:dyDescent="0.25">
      <c r="A14" s="16"/>
      <c r="B14" s="46">
        <f>IF(COUNTIFS('GIFT PLANNER'!$E$6:$E$205,"Yes")=0,"Not started.",COUNTIFS('GIFT PLANNER'!$E$6:$E$205,"Yes",'GIFT PLANNER'!$T$6:$T$205,"Yes")&amp;" of "&amp;COUNTIFS('GIFT PLANNER'!$E$6:$E$205,"Yes")&amp;" bought")</f>
      </c>
      <c r="C14" s="46"/>
      <c r="D14" s="46"/>
      <c r="E14" s="16"/>
      <c r="F14" s="46">
        <f>IF(COUNTIFS('GIFT PLANNER'!$E$6:$E$205,"Yes",'GIFT PLANNER'!$T$6:$T$205,"Yes",'GIFT PLANNER'!$Y$6:$Y$205,"Physical")=0,"Nothing to wrap yet.",COUNTIFS('GIFT PLANNER'!$E$6:$E$205,"Yes",'GIFT PLANNER'!$T$6:$T$205,"Yes",'GIFT PLANNER'!$Y$6:$Y$205,"Physical",'GIFT PLANNER'!$Z$6:$Z$205,"Yes")&amp;" of "&amp;COUNTIFS('GIFT PLANNER'!$E$6:$E$205,"Yes",'GIFT PLANNER'!$T$6:$T$205,"Yes",'GIFT PLANNER'!$Y$6:$Y$205,"Physical")&amp;" — digital and experience gifts are not counted")</f>
      </c>
      <c r="G14" s="46"/>
      <c r="H14" s="46"/>
      <c r="I14" s="16"/>
      <c r="J14" s="46">
        <f>IF(COUNTIFS('ONLINE ORDERS'!$B$6:$B$155,"?*",'ONLINE ORDERS'!$K$6:$K$155,"&lt;&gt;Cancelled")=0,"No orders yet.",COUNTIFS('ONLINE ORDERS'!$B$6:$B$155,"?*",'ONLINE ORDERS'!$K$6:$K$155,"&lt;&gt;Cancelled")-COUNTIFS('ONLINE ORDERS'!$B$6:$B$155,"?*",'ONLINE ORDERS'!$K$6:$K$155,"&lt;&gt;Cancelled",'ONLINE ORDERS'!$M$6:$M$155,"Yes")&amp;" still on their way")</f>
      </c>
      <c r="K14" s="46"/>
      <c r="L14" s="46"/>
      <c r="M14" s="16"/>
      <c r="N14" s="46">
        <f>IF(COUNTIFS('CHRISTMAS CALENDAR'!$B$6:$B$205,"?*",'CHRISTMAS CALENDAR'!$Q$6:$Q$205,"Yes")+COUNTIFS('CHRISTMAS CALENDAR'!$B$6:$B$205,"?*",'CHRISTMAS CALENDAR'!$Q$6:$Q$205,"No")=0,"Nothing in the calendar yet.",COUNTIFS('CHRISTMAS CALENDAR'!$B$6:$B$205,"?*",'CHRISTMAS CALENDAR'!$Q$6:$Q$205,"Yes")&amp;" still open")</f>
      </c>
      <c r="O14" s="46"/>
      <c r="P14" s="46"/>
      <c r="Q14" s="16"/>
    </row>
    <row r="15" spans="1:17" x14ac:dyDescent="0.25">
      <c r="A15" s="16"/>
      <c r="B15" s="16"/>
      <c r="C15" s="16"/>
      <c r="D15" s="16"/>
      <c r="E15" s="16"/>
      <c r="F15" s="16"/>
      <c r="G15" s="16"/>
      <c r="H15" s="16"/>
      <c r="I15" s="16"/>
      <c r="J15" s="16"/>
      <c r="K15" s="16"/>
      <c r="L15" s="16"/>
      <c r="M15" s="16"/>
      <c r="N15" s="16"/>
      <c r="O15" s="16"/>
      <c r="P15" s="16"/>
      <c r="Q15" s="16"/>
    </row>
    <row r="16" spans="1:17" x14ac:dyDescent="0.25">
      <c r="A16" s="16"/>
      <c r="B16" s="17" t="s">
        <v>120</v>
      </c>
      <c r="C16" s="18"/>
      <c r="D16" s="18"/>
      <c r="E16" s="18"/>
      <c r="F16" s="18"/>
      <c r="G16" s="18"/>
      <c r="H16" s="18"/>
      <c r="I16" s="16"/>
      <c r="J16" s="17" t="s">
        <v>121</v>
      </c>
      <c r="K16" s="18"/>
      <c r="L16" s="18"/>
      <c r="M16" s="18"/>
      <c r="N16" s="18"/>
      <c r="O16" s="18"/>
      <c r="P16" s="18"/>
      <c r="Q16" s="16"/>
    </row>
    <row r="17" ht="17" customHeight="1" spans="1:17" x14ac:dyDescent="0.25">
      <c r="A17" s="16"/>
      <c r="B17" s="49">
        <f>COUNTIF('MASTER BUDGET'!$J$6:$J$25,"OVER BUDGET")</f>
      </c>
      <c r="C17" s="50" t="s">
        <v>122</v>
      </c>
      <c r="D17" s="51"/>
      <c r="E17" s="51"/>
      <c r="F17" s="51"/>
      <c r="G17" s="52" t="s">
        <v>123</v>
      </c>
      <c r="H17" s="51"/>
      <c r="I17" s="16"/>
      <c r="J17" s="53" t="s">
        <v>124</v>
      </c>
      <c r="K17" s="53"/>
      <c r="L17" s="54">
        <f>IF(Vision_Theme="","Write one line on SEASON VISION.",Vision_Theme)</f>
      </c>
      <c r="M17" s="54"/>
      <c r="N17" s="54"/>
      <c r="O17" s="54"/>
      <c r="P17" s="54"/>
      <c r="Q17" s="16"/>
    </row>
    <row r="18" ht="17" customHeight="1" spans="1:17" x14ac:dyDescent="0.25">
      <c r="A18" s="16"/>
      <c r="B18" s="49">
        <f>COUNTIF('MASTER BUDGET'!$J$6:$J$25,"NEAR LIMIT")</f>
      </c>
      <c r="C18" s="50" t="s">
        <v>125</v>
      </c>
      <c r="D18" s="51"/>
      <c r="E18" s="51"/>
      <c r="F18" s="51"/>
      <c r="G18" s="52" t="s">
        <v>123</v>
      </c>
      <c r="H18" s="51"/>
      <c r="I18" s="16"/>
      <c r="J18" s="53" t="s">
        <v>126</v>
      </c>
      <c r="K18" s="53"/>
      <c r="L18" s="54">
        <f>IF(Vision_Feelings="","—",Vision_Feelings)</f>
      </c>
      <c r="M18" s="54"/>
      <c r="N18" s="54"/>
      <c r="O18" s="54"/>
      <c r="P18" s="54"/>
      <c r="Q18" s="16"/>
    </row>
    <row r="19" ht="17" customHeight="1" spans="1:17" x14ac:dyDescent="0.25">
      <c r="A19" s="16"/>
      <c r="B19" s="49">
        <f>COUNTIFS('GIFT PLANNER'!$E$6:$E$205,"Yes",'GIFT PLANNER'!$T$6:$T$205,"No")</f>
      </c>
      <c r="C19" s="50" t="s">
        <v>127</v>
      </c>
      <c r="D19" s="51"/>
      <c r="E19" s="51"/>
      <c r="F19" s="51"/>
      <c r="G19" s="52" t="s">
        <v>128</v>
      </c>
      <c r="H19" s="51"/>
      <c r="I19" s="16"/>
      <c r="J19" s="53" t="s">
        <v>129</v>
      </c>
      <c r="K19" s="53"/>
      <c r="L19" s="54">
        <f>IFERROR(INDEX('SEASON VISION'!$C$15:$C$38,MATCH("?*",'SEASON VISION'!$C$15:$C$38,0)),"Nothing written yet.")</f>
      </c>
      <c r="M19" s="54"/>
      <c r="N19" s="54"/>
      <c r="O19" s="54"/>
      <c r="P19" s="54"/>
      <c r="Q19" s="16"/>
    </row>
    <row r="20" ht="17" customHeight="1" spans="1:17" x14ac:dyDescent="0.25">
      <c r="A20" s="16"/>
      <c r="B20" s="49">
        <f>COUNTIFS('GIFT PLANNER'!$E$6:$E$205,"Yes",'GIFT PLANNER'!$T$6:$T$205,"Yes",'GIFT PLANNER'!$Y$6:$Y$205,"Physical",'GIFT PLANNER'!$Z$6:$Z$205,"&lt;&gt;Yes")</f>
      </c>
      <c r="C20" s="50" t="s">
        <v>130</v>
      </c>
      <c r="D20" s="51"/>
      <c r="E20" s="51"/>
      <c r="F20" s="51"/>
      <c r="G20" s="52" t="s">
        <v>128</v>
      </c>
      <c r="H20" s="51"/>
      <c r="I20" s="16"/>
      <c r="J20" s="53" t="s">
        <v>131</v>
      </c>
      <c r="K20" s="53"/>
      <c r="L20" s="54">
        <f>IF(MIN('TRADITIONS + BUCKET LIST'!$P$6:$P$85)=0,"Nothing dated yet.",IFERROR(INDEX('TRADITIONS + BUCKET LIST'!$C$6:$C$85,MATCH(MIN('TRADITIONS + BUCKET LIST'!$P$6:$P$85),'TRADITIONS + BUCKET LIST'!$P$6:$P$85,0)),"")&amp;" — "&amp;TEXT(MIN('TRADITIONS + BUCKET LIST'!$P$6:$P$85),"d mmm"))</f>
      </c>
      <c r="M20" s="54"/>
      <c r="N20" s="54"/>
      <c r="O20" s="54"/>
      <c r="P20" s="54"/>
      <c r="Q20" s="16"/>
    </row>
    <row r="21" ht="17" customHeight="1" spans="1:17" x14ac:dyDescent="0.25">
      <c r="A21" s="16"/>
      <c r="B21" s="49">
        <f>COUNTIF('ONLINE ORDERS'!$R$6:$R$155,"LATE")</f>
      </c>
      <c r="C21" s="50" t="s">
        <v>132</v>
      </c>
      <c r="D21" s="51"/>
      <c r="E21" s="51"/>
      <c r="F21" s="51"/>
      <c r="G21" s="52" t="s">
        <v>133</v>
      </c>
      <c r="H21" s="51"/>
      <c r="I21" s="16"/>
      <c r="J21" s="53" t="s">
        <v>134</v>
      </c>
      <c r="K21" s="53"/>
      <c r="L21" s="54">
        <f>IF(Vision_Protect="","—",Vision_Protect)</f>
      </c>
      <c r="M21" s="54"/>
      <c r="N21" s="54"/>
      <c r="O21" s="54"/>
      <c r="P21" s="54"/>
      <c r="Q21" s="16"/>
    </row>
    <row r="22" ht="17" customHeight="1" spans="1:17" x14ac:dyDescent="0.25">
      <c r="A22" s="16"/>
      <c r="B22" s="49">
        <f>COUNTIF('ONLINE ORDERS'!$R$6:$R$155,"NO TRACKING")</f>
      </c>
      <c r="C22" s="50" t="s">
        <v>135</v>
      </c>
      <c r="D22" s="51"/>
      <c r="E22" s="51"/>
      <c r="F22" s="51"/>
      <c r="G22" s="52" t="s">
        <v>133</v>
      </c>
      <c r="H22" s="51"/>
      <c r="I22" s="16"/>
      <c r="J22" s="16"/>
      <c r="K22" s="16"/>
      <c r="L22" s="16"/>
      <c r="M22" s="16"/>
      <c r="N22" s="16"/>
      <c r="O22" s="16"/>
      <c r="P22" s="16"/>
      <c r="Q22" s="16"/>
    </row>
    <row r="23" ht="17" customHeight="1" spans="1:17" x14ac:dyDescent="0.25">
      <c r="A23" s="16"/>
      <c r="B23" s="49">
        <f>COUNTIF('ONLINE ORDERS'!$R$6:$R$155,"MISSING DATE")</f>
      </c>
      <c r="C23" s="50" t="s">
        <v>136</v>
      </c>
      <c r="D23" s="51"/>
      <c r="E23" s="51"/>
      <c r="F23" s="51"/>
      <c r="G23" s="52" t="s">
        <v>133</v>
      </c>
      <c r="H23" s="51"/>
      <c r="I23" s="16"/>
      <c r="J23" s="17" t="s">
        <v>137</v>
      </c>
      <c r="K23" s="18"/>
      <c r="L23" s="18"/>
      <c r="M23" s="18"/>
      <c r="N23" s="18"/>
      <c r="O23" s="18"/>
      <c r="P23" s="18"/>
      <c r="Q23" s="16"/>
    </row>
    <row r="24" ht="17" customHeight="1" spans="1:17" x14ac:dyDescent="0.25">
      <c r="A24" s="16"/>
      <c r="B24" s="49">
        <f>COUNTIF('ONLINE ORDERS'!$S$6:$S$155,"CLOSING SOON")</f>
      </c>
      <c r="C24" s="50" t="s">
        <v>138</v>
      </c>
      <c r="D24" s="51"/>
      <c r="E24" s="51"/>
      <c r="F24" s="51"/>
      <c r="G24" s="52" t="s">
        <v>133</v>
      </c>
      <c r="H24" s="51"/>
      <c r="I24" s="16"/>
      <c r="J24" s="55">
        <f>IFERROR(INT(SMALL('CHRISTMAS CALENDAR'!$T$6:$T$205,1)),"")</f>
      </c>
      <c r="K24" s="55"/>
      <c r="L24" s="56">
        <f>IFERROR(INDEX('CHRISTMAS CALENDAR'!$F$6:$F$205,MATCH(SMALL('CHRISTMAS CALENDAR'!$T$6:$T$205,1),'CHRISTMAS CALENDAR'!$T$6:$T$205,0)),IF(1=1,"Nothing in the next seven days.",""))</f>
      </c>
      <c r="M24" s="56"/>
      <c r="N24" s="56"/>
      <c r="O24" s="56"/>
      <c r="P24" s="56"/>
      <c r="Q24" s="16"/>
    </row>
    <row r="25" ht="17" customHeight="1" spans="1:17" x14ac:dyDescent="0.25">
      <c r="A25" s="16"/>
      <c r="B25" s="49">
        <f>COUNTIFS('RETURNS + EXCHANGES'!$B$6:$B$65,"?*",'RETURNS + EXCHANGES'!$P$6:$P$65,"&lt;&gt;Yes",'RETURNS + EXCHANGES'!$O$6:$O$65,"&gt;0")</f>
      </c>
      <c r="C25" s="50" t="s">
        <v>139</v>
      </c>
      <c r="D25" s="51"/>
      <c r="E25" s="51"/>
      <c r="F25" s="51"/>
      <c r="G25" s="52" t="s">
        <v>140</v>
      </c>
      <c r="H25" s="51"/>
      <c r="I25" s="16"/>
      <c r="J25" s="55">
        <f>IFERROR(INT(SMALL('CHRISTMAS CALENDAR'!$T$6:$T$205,2)),"")</f>
      </c>
      <c r="K25" s="55"/>
      <c r="L25" s="56">
        <f>IFERROR(INDEX('CHRISTMAS CALENDAR'!$F$6:$F$205,MATCH(SMALL('CHRISTMAS CALENDAR'!$T$6:$T$205,2),'CHRISTMAS CALENDAR'!$T$6:$T$205,0)),IF(2=1,"Nothing in the next seven days.",""))</f>
      </c>
      <c r="M25" s="56"/>
      <c r="N25" s="56"/>
      <c r="O25" s="56"/>
      <c r="P25" s="56"/>
      <c r="Q25" s="16"/>
    </row>
    <row r="26" ht="17" customHeight="1" spans="1:17" x14ac:dyDescent="0.25">
      <c r="A26" s="16"/>
      <c r="B26" s="49">
        <f>COUNTIF('CHRISTMAS CALENDAR'!$R$6:$R$205,"OVERDUE")</f>
      </c>
      <c r="C26" s="50" t="s">
        <v>141</v>
      </c>
      <c r="D26" s="51"/>
      <c r="E26" s="51"/>
      <c r="F26" s="51"/>
      <c r="G26" s="52" t="s">
        <v>142</v>
      </c>
      <c r="H26" s="51"/>
      <c r="I26" s="16"/>
      <c r="J26" s="55">
        <f>IFERROR(INT(SMALL('CHRISTMAS CALENDAR'!$T$6:$T$205,3)),"")</f>
      </c>
      <c r="K26" s="55"/>
      <c r="L26" s="56">
        <f>IFERROR(INDEX('CHRISTMAS CALENDAR'!$F$6:$F$205,MATCH(SMALL('CHRISTMAS CALENDAR'!$T$6:$T$205,3),'CHRISTMAS CALENDAR'!$T$6:$T$205,0)),IF(3=1,"Nothing in the next seven days.",""))</f>
      </c>
      <c r="M26" s="56"/>
      <c r="N26" s="56"/>
      <c r="O26" s="56"/>
      <c r="P26" s="56"/>
      <c r="Q26" s="16"/>
    </row>
    <row r="27" ht="17" customHeight="1" spans="1:17" x14ac:dyDescent="0.25">
      <c r="A27" s="16"/>
      <c r="B27" s="49">
        <f>COUNTIF('GROCERY LIST'!$P$6:$P$205,"TO BUY")</f>
      </c>
      <c r="C27" s="50" t="s">
        <v>143</v>
      </c>
      <c r="D27" s="51"/>
      <c r="E27" s="51"/>
      <c r="F27" s="51"/>
      <c r="G27" s="52" t="s">
        <v>144</v>
      </c>
      <c r="H27" s="51"/>
      <c r="I27" s="16"/>
      <c r="J27" s="55">
        <f>IFERROR(INT(SMALL('CHRISTMAS CALENDAR'!$T$6:$T$205,4)),"")</f>
      </c>
      <c r="K27" s="55"/>
      <c r="L27" s="56">
        <f>IFERROR(INDEX('CHRISTMAS CALENDAR'!$F$6:$F$205,MATCH(SMALL('CHRISTMAS CALENDAR'!$T$6:$T$205,4),'CHRISTMAS CALENDAR'!$T$6:$T$205,0)),IF(4=1,"Nothing in the next seven days.",""))</f>
      </c>
      <c r="M27" s="56"/>
      <c r="N27" s="56"/>
      <c r="O27" s="56"/>
      <c r="P27" s="56"/>
      <c r="Q27" s="16"/>
    </row>
    <row r="28" ht="17" customHeight="1" spans="1:17" x14ac:dyDescent="0.25">
      <c r="A28" s="16"/>
      <c r="B28" s="49">
        <f>QA_Exceptions</f>
      </c>
      <c r="C28" s="50" t="s">
        <v>145</v>
      </c>
      <c r="D28" s="51"/>
      <c r="E28" s="51"/>
      <c r="F28" s="51"/>
      <c r="G28" s="52" t="s">
        <v>146</v>
      </c>
      <c r="H28" s="51"/>
      <c r="I28" s="16"/>
      <c r="J28" s="55">
        <f>IFERROR(INT(SMALL('CHRISTMAS CALENDAR'!$T$6:$T$205,5)),"")</f>
      </c>
      <c r="K28" s="55"/>
      <c r="L28" s="56">
        <f>IFERROR(INDEX('CHRISTMAS CALENDAR'!$F$6:$F$205,MATCH(SMALL('CHRISTMAS CALENDAR'!$T$6:$T$205,5),'CHRISTMAS CALENDAR'!$T$6:$T$205,0)),IF(5=1,"Nothing in the next seven days.",""))</f>
      </c>
      <c r="M28" s="56"/>
      <c r="N28" s="56"/>
      <c r="O28" s="56"/>
      <c r="P28" s="56"/>
      <c r="Q28" s="16"/>
    </row>
    <row r="29" spans="1:17" x14ac:dyDescent="0.25">
      <c r="A29" s="16"/>
      <c r="B29" s="16"/>
      <c r="C29" s="16"/>
      <c r="D29" s="16"/>
      <c r="E29" s="16"/>
      <c r="F29" s="16"/>
      <c r="G29" s="16"/>
      <c r="H29" s="16"/>
      <c r="I29" s="16"/>
      <c r="J29" s="55">
        <f>IFERROR(INT(SMALL('CHRISTMAS CALENDAR'!$T$6:$T$205,6)),"")</f>
      </c>
      <c r="K29" s="55"/>
      <c r="L29" s="56">
        <f>IFERROR(INDEX('CHRISTMAS CALENDAR'!$F$6:$F$205,MATCH(SMALL('CHRISTMAS CALENDAR'!$T$6:$T$205,6),'CHRISTMAS CALENDAR'!$T$6:$T$205,0)),IF(6=1,"Nothing in the next seven days.",""))</f>
      </c>
      <c r="M29" s="56"/>
      <c r="N29" s="56"/>
      <c r="O29" s="56"/>
      <c r="P29" s="56"/>
      <c r="Q29" s="16"/>
    </row>
    <row r="30" spans="1:17" x14ac:dyDescent="0.25">
      <c r="A30" s="16"/>
      <c r="B30" s="16"/>
      <c r="C30" s="16"/>
      <c r="D30" s="16"/>
      <c r="E30" s="16"/>
      <c r="F30" s="16"/>
      <c r="G30" s="16"/>
      <c r="H30" s="16"/>
      <c r="I30" s="16"/>
      <c r="J30" s="16"/>
      <c r="K30" s="16"/>
      <c r="L30" s="16"/>
      <c r="M30" s="16"/>
      <c r="N30" s="16"/>
      <c r="O30" s="16"/>
      <c r="P30" s="16"/>
      <c r="Q30" s="16"/>
    </row>
    <row r="31" spans="1:17" x14ac:dyDescent="0.25">
      <c r="A31" s="16"/>
      <c r="B31" s="17" t="s">
        <v>147</v>
      </c>
      <c r="C31" s="18"/>
      <c r="D31" s="18"/>
      <c r="E31" s="18"/>
      <c r="F31" s="18"/>
      <c r="G31" s="18"/>
      <c r="H31" s="18"/>
      <c r="I31" s="16"/>
      <c r="J31" s="17" t="s">
        <v>148</v>
      </c>
      <c r="K31" s="18"/>
      <c r="L31" s="18"/>
      <c r="M31" s="18"/>
      <c r="N31" s="18"/>
      <c r="O31" s="18"/>
      <c r="P31" s="18"/>
      <c r="Q31" s="16"/>
    </row>
    <row r="32" spans="1:17" x14ac:dyDescent="0.25">
      <c r="A32" s="16"/>
      <c r="B32" s="16"/>
      <c r="C32" s="16"/>
      <c r="D32" s="16"/>
      <c r="E32" s="16"/>
      <c r="F32" s="16"/>
      <c r="G32" s="16"/>
      <c r="H32" s="16"/>
      <c r="I32" s="16"/>
      <c r="J32" s="16"/>
      <c r="K32" s="16"/>
      <c r="L32" s="16"/>
      <c r="M32" s="16"/>
      <c r="N32" s="16"/>
      <c r="O32" s="16"/>
      <c r="P32" s="16"/>
      <c r="Q32" s="16"/>
    </row>
    <row r="33" spans="1:17" x14ac:dyDescent="0.25">
      <c r="A33" s="16"/>
      <c r="B33" s="16"/>
      <c r="C33" s="16"/>
      <c r="D33" s="16"/>
      <c r="E33" s="16"/>
      <c r="F33" s="16"/>
      <c r="G33" s="16"/>
      <c r="H33" s="16"/>
      <c r="I33" s="16"/>
      <c r="J33" s="16"/>
      <c r="K33" s="16"/>
      <c r="L33" s="16"/>
      <c r="M33" s="16"/>
      <c r="N33" s="16"/>
      <c r="O33" s="16"/>
      <c r="P33" s="16"/>
      <c r="Q33" s="16"/>
    </row>
    <row r="34" spans="1:17" x14ac:dyDescent="0.25">
      <c r="A34" s="16"/>
      <c r="B34" s="16"/>
      <c r="C34" s="16"/>
      <c r="D34" s="16"/>
      <c r="E34" s="16"/>
      <c r="F34" s="16"/>
      <c r="G34" s="16"/>
      <c r="H34" s="16"/>
      <c r="I34" s="16"/>
      <c r="J34" s="16"/>
      <c r="K34" s="16"/>
      <c r="L34" s="16"/>
      <c r="M34" s="16"/>
      <c r="N34" s="16"/>
      <c r="O34" s="16"/>
      <c r="P34" s="16"/>
      <c r="Q34" s="16"/>
    </row>
    <row r="35" spans="1:17" x14ac:dyDescent="0.25">
      <c r="A35" s="16"/>
      <c r="B35" s="16"/>
      <c r="C35" s="16"/>
      <c r="D35" s="16"/>
      <c r="E35" s="16"/>
      <c r="F35" s="16"/>
      <c r="G35" s="16"/>
      <c r="H35" s="16"/>
      <c r="I35" s="16"/>
      <c r="J35" s="16"/>
      <c r="K35" s="16"/>
      <c r="L35" s="16"/>
      <c r="M35" s="16"/>
      <c r="N35" s="16"/>
      <c r="O35" s="16"/>
      <c r="P35" s="16"/>
      <c r="Q35" s="16"/>
    </row>
    <row r="36" spans="1:17" x14ac:dyDescent="0.25">
      <c r="A36" s="16"/>
      <c r="B36" s="16"/>
      <c r="C36" s="16"/>
      <c r="D36" s="16"/>
      <c r="E36" s="16"/>
      <c r="F36" s="16"/>
      <c r="G36" s="16"/>
      <c r="H36" s="16"/>
      <c r="I36" s="16"/>
      <c r="J36" s="16"/>
      <c r="K36" s="16"/>
      <c r="L36" s="16"/>
      <c r="M36" s="16"/>
      <c r="N36" s="16"/>
      <c r="O36" s="16"/>
      <c r="P36" s="16"/>
      <c r="Q36" s="16"/>
    </row>
    <row r="37" spans="1:17" x14ac:dyDescent="0.25">
      <c r="A37" s="16"/>
      <c r="B37" s="16"/>
      <c r="C37" s="16"/>
      <c r="D37" s="16"/>
      <c r="E37" s="16"/>
      <c r="F37" s="16"/>
      <c r="G37" s="16"/>
      <c r="H37" s="16"/>
      <c r="I37" s="16"/>
      <c r="J37" s="16"/>
      <c r="K37" s="16"/>
      <c r="L37" s="16"/>
      <c r="M37" s="16"/>
      <c r="N37" s="16"/>
      <c r="O37" s="16"/>
      <c r="P37" s="16"/>
      <c r="Q37" s="16"/>
    </row>
    <row r="38" spans="1:17" x14ac:dyDescent="0.25">
      <c r="A38" s="16"/>
      <c r="B38" s="16"/>
      <c r="C38" s="16"/>
      <c r="D38" s="16"/>
      <c r="E38" s="16"/>
      <c r="F38" s="16"/>
      <c r="G38" s="16"/>
      <c r="H38" s="16"/>
      <c r="I38" s="16"/>
      <c r="J38" s="16"/>
      <c r="K38" s="16"/>
      <c r="L38" s="16"/>
      <c r="M38" s="16"/>
      <c r="N38" s="16"/>
      <c r="O38" s="16"/>
      <c r="P38" s="16"/>
      <c r="Q38" s="16"/>
    </row>
    <row r="39" spans="1:17" x14ac:dyDescent="0.25">
      <c r="A39" s="16"/>
      <c r="B39" s="16"/>
      <c r="C39" s="16"/>
      <c r="D39" s="16"/>
      <c r="E39" s="16"/>
      <c r="F39" s="16"/>
      <c r="G39" s="16"/>
      <c r="H39" s="16"/>
      <c r="I39" s="16"/>
      <c r="J39" s="16"/>
      <c r="K39" s="16"/>
      <c r="L39" s="16"/>
      <c r="M39" s="16"/>
      <c r="N39" s="16"/>
      <c r="O39" s="16"/>
      <c r="P39" s="16"/>
      <c r="Q39" s="16"/>
    </row>
    <row r="40" spans="1:17" x14ac:dyDescent="0.25">
      <c r="A40" s="16"/>
      <c r="B40" s="16"/>
      <c r="C40" s="16"/>
      <c r="D40" s="16"/>
      <c r="E40" s="16"/>
      <c r="F40" s="16"/>
      <c r="G40" s="16"/>
      <c r="H40" s="16"/>
      <c r="I40" s="16"/>
      <c r="J40" s="16"/>
      <c r="K40" s="16"/>
      <c r="L40" s="16"/>
      <c r="M40" s="16"/>
      <c r="N40" s="16"/>
      <c r="O40" s="16"/>
      <c r="P40" s="16"/>
      <c r="Q40" s="16"/>
    </row>
    <row r="41" spans="1:17" x14ac:dyDescent="0.25">
      <c r="A41" s="16"/>
      <c r="B41" s="16"/>
      <c r="C41" s="16"/>
      <c r="D41" s="16"/>
      <c r="E41" s="16"/>
      <c r="F41" s="16"/>
      <c r="G41" s="16"/>
      <c r="H41" s="16"/>
      <c r="I41" s="16"/>
      <c r="J41" s="16"/>
      <c r="K41" s="16"/>
      <c r="L41" s="16"/>
      <c r="M41" s="16"/>
      <c r="N41" s="16"/>
      <c r="O41" s="16"/>
      <c r="P41" s="16"/>
      <c r="Q41" s="16"/>
    </row>
    <row r="42" spans="1:17" x14ac:dyDescent="0.25">
      <c r="A42" s="16"/>
      <c r="B42" s="16"/>
      <c r="C42" s="16"/>
      <c r="D42" s="16"/>
      <c r="E42" s="16"/>
      <c r="F42" s="16"/>
      <c r="G42" s="16"/>
      <c r="H42" s="16"/>
      <c r="I42" s="16"/>
      <c r="J42" s="16"/>
      <c r="K42" s="16"/>
      <c r="L42" s="16"/>
      <c r="M42" s="16"/>
      <c r="N42" s="16"/>
      <c r="O42" s="16"/>
      <c r="P42" s="16"/>
      <c r="Q42" s="16"/>
    </row>
    <row r="43" spans="1:17" x14ac:dyDescent="0.25">
      <c r="A43" s="16"/>
      <c r="B43" s="16"/>
      <c r="C43" s="16"/>
      <c r="D43" s="16"/>
      <c r="E43" s="16"/>
      <c r="F43" s="16"/>
      <c r="G43" s="16"/>
      <c r="H43" s="16"/>
      <c r="I43" s="16"/>
      <c r="J43" s="16"/>
      <c r="K43" s="16"/>
      <c r="L43" s="16"/>
      <c r="M43" s="16"/>
      <c r="N43" s="16"/>
      <c r="O43" s="16"/>
      <c r="P43" s="16"/>
      <c r="Q43" s="16"/>
    </row>
    <row r="44" spans="1:17" x14ac:dyDescent="0.25">
      <c r="A44" s="16"/>
      <c r="B44" s="16"/>
      <c r="C44" s="16"/>
      <c r="D44" s="16"/>
      <c r="E44" s="16"/>
      <c r="F44" s="16"/>
      <c r="G44" s="16"/>
      <c r="H44" s="16"/>
      <c r="I44" s="16"/>
      <c r="J44" s="16"/>
      <c r="K44" s="16"/>
      <c r="L44" s="16"/>
      <c r="M44" s="16"/>
      <c r="N44" s="16"/>
      <c r="O44" s="16"/>
      <c r="P44" s="16"/>
      <c r="Q44" s="16"/>
    </row>
    <row r="45" spans="1:17" x14ac:dyDescent="0.25">
      <c r="A45" s="16"/>
      <c r="B45" s="16"/>
      <c r="C45" s="16"/>
      <c r="D45" s="16"/>
      <c r="E45" s="16"/>
      <c r="F45" s="16"/>
      <c r="G45" s="16"/>
      <c r="H45" s="16"/>
      <c r="I45" s="16"/>
      <c r="J45" s="16"/>
      <c r="K45" s="16"/>
      <c r="L45" s="16"/>
      <c r="M45" s="16"/>
      <c r="N45" s="16"/>
      <c r="O45" s="16"/>
      <c r="P45" s="16"/>
      <c r="Q45" s="16"/>
    </row>
    <row r="46" spans="1:17" x14ac:dyDescent="0.25">
      <c r="A46" s="16"/>
      <c r="B46" s="16"/>
      <c r="C46" s="16"/>
      <c r="D46" s="16"/>
      <c r="E46" s="16"/>
      <c r="F46" s="16"/>
      <c r="G46" s="16"/>
      <c r="H46" s="16"/>
      <c r="I46" s="16"/>
      <c r="J46" s="16"/>
      <c r="K46" s="16"/>
      <c r="L46" s="16"/>
      <c r="M46" s="16"/>
      <c r="N46" s="16"/>
      <c r="O46" s="16"/>
      <c r="P46" s="16"/>
      <c r="Q46" s="16"/>
    </row>
    <row r="47" spans="1:17" x14ac:dyDescent="0.25">
      <c r="A47" s="16"/>
      <c r="B47" s="16"/>
      <c r="C47" s="16"/>
      <c r="D47" s="16"/>
      <c r="E47" s="16"/>
      <c r="F47" s="16"/>
      <c r="G47" s="16"/>
      <c r="H47" s="16"/>
      <c r="I47" s="16"/>
      <c r="J47" s="16"/>
      <c r="K47" s="16"/>
      <c r="L47" s="16"/>
      <c r="M47" s="16"/>
      <c r="N47" s="16"/>
      <c r="O47" s="16"/>
      <c r="P47" s="16"/>
      <c r="Q47" s="16"/>
    </row>
    <row r="48" spans="1:17" x14ac:dyDescent="0.25">
      <c r="A48" s="16"/>
      <c r="B48" s="16"/>
      <c r="C48" s="16"/>
      <c r="D48" s="16"/>
      <c r="E48" s="16"/>
      <c r="F48" s="16"/>
      <c r="G48" s="16"/>
      <c r="H48" s="16"/>
      <c r="I48" s="16"/>
      <c r="J48" s="16"/>
      <c r="K48" s="16"/>
      <c r="L48" s="16"/>
      <c r="M48" s="16"/>
      <c r="N48" s="16"/>
      <c r="O48" s="16"/>
      <c r="P48" s="16"/>
      <c r="Q48" s="16"/>
    </row>
    <row r="49" spans="1:17" x14ac:dyDescent="0.25">
      <c r="A49" s="16"/>
      <c r="B49" s="16"/>
      <c r="C49" s="16"/>
      <c r="D49" s="16"/>
      <c r="E49" s="16"/>
      <c r="F49" s="16"/>
      <c r="G49" s="16"/>
      <c r="H49" s="16"/>
      <c r="I49" s="16"/>
      <c r="J49" s="16"/>
      <c r="K49" s="16"/>
      <c r="L49" s="16"/>
      <c r="M49" s="16"/>
      <c r="N49" s="16"/>
      <c r="O49" s="16"/>
      <c r="P49" s="16"/>
      <c r="Q49" s="16"/>
    </row>
    <row r="50" spans="1:17" x14ac:dyDescent="0.25">
      <c r="A50" s="16"/>
      <c r="B50" s="16"/>
      <c r="C50" s="16"/>
      <c r="D50" s="16"/>
      <c r="E50" s="16"/>
      <c r="F50" s="16"/>
      <c r="G50" s="16"/>
      <c r="H50" s="16"/>
      <c r="I50" s="16"/>
      <c r="J50" s="16"/>
      <c r="K50" s="16"/>
      <c r="L50" s="16"/>
      <c r="M50" s="16"/>
      <c r="N50" s="16"/>
      <c r="O50" s="16"/>
      <c r="P50" s="16"/>
      <c r="Q50" s="16"/>
    </row>
    <row r="51" spans="1:17" x14ac:dyDescent="0.25">
      <c r="A51" s="16"/>
      <c r="B51" s="16"/>
      <c r="C51" s="16"/>
      <c r="D51" s="16"/>
      <c r="E51" s="16"/>
      <c r="F51" s="16"/>
      <c r="G51" s="16"/>
      <c r="H51" s="16"/>
      <c r="I51" s="16"/>
      <c r="J51" s="16"/>
      <c r="K51" s="16"/>
      <c r="L51" s="16"/>
      <c r="M51" s="16"/>
      <c r="N51" s="16"/>
      <c r="O51" s="16"/>
      <c r="P51" s="16"/>
      <c r="Q51" s="16"/>
    </row>
    <row r="52" spans="1:17" x14ac:dyDescent="0.25">
      <c r="A52" s="16"/>
      <c r="B52" s="16"/>
      <c r="C52" s="16"/>
      <c r="D52" s="16"/>
      <c r="E52" s="16"/>
      <c r="F52" s="16"/>
      <c r="G52" s="16"/>
      <c r="H52" s="16"/>
      <c r="I52" s="16"/>
      <c r="J52" s="16"/>
      <c r="K52" s="16"/>
      <c r="L52" s="16"/>
      <c r="M52" s="16"/>
      <c r="N52" s="16"/>
      <c r="O52" s="16"/>
      <c r="P52" s="16"/>
      <c r="Q52" s="16"/>
    </row>
    <row r="53" spans="1:17" x14ac:dyDescent="0.25">
      <c r="A53" s="16"/>
      <c r="B53" s="16"/>
      <c r="C53" s="16"/>
      <c r="D53" s="16"/>
      <c r="E53" s="16"/>
      <c r="F53" s="16"/>
      <c r="G53" s="16"/>
      <c r="H53" s="16"/>
      <c r="I53" s="16"/>
      <c r="J53" s="16"/>
      <c r="K53" s="16"/>
      <c r="L53" s="16"/>
      <c r="M53" s="16"/>
      <c r="N53" s="16"/>
      <c r="O53" s="16"/>
      <c r="P53" s="16"/>
      <c r="Q53" s="16"/>
    </row>
    <row r="54" spans="1:17" x14ac:dyDescent="0.25">
      <c r="A54" s="16"/>
      <c r="B54" s="16"/>
      <c r="C54" s="16"/>
      <c r="D54" s="16"/>
      <c r="E54" s="16"/>
      <c r="F54" s="16"/>
      <c r="G54" s="16"/>
      <c r="H54" s="16"/>
      <c r="I54" s="16"/>
      <c r="J54" s="16"/>
      <c r="K54" s="16"/>
      <c r="L54" s="16"/>
      <c r="M54" s="16"/>
      <c r="N54" s="16"/>
      <c r="O54" s="16"/>
      <c r="P54" s="16"/>
      <c r="Q54" s="16"/>
    </row>
    <row r="55" spans="1:17" x14ac:dyDescent="0.25">
      <c r="A55" s="16"/>
      <c r="B55" s="16"/>
      <c r="C55" s="16"/>
      <c r="D55" s="16"/>
      <c r="E55" s="16"/>
      <c r="F55" s="16"/>
      <c r="G55" s="16"/>
      <c r="H55" s="16"/>
      <c r="I55" s="16"/>
      <c r="J55" s="16"/>
      <c r="K55" s="16"/>
      <c r="L55" s="16"/>
      <c r="M55" s="16"/>
      <c r="N55" s="16"/>
      <c r="O55" s="16"/>
      <c r="P55" s="16"/>
      <c r="Q55" s="16"/>
    </row>
    <row r="56" spans="1:17" x14ac:dyDescent="0.25">
      <c r="A56" s="16"/>
      <c r="B56" s="16"/>
      <c r="C56" s="16"/>
      <c r="D56" s="16"/>
      <c r="E56" s="16"/>
      <c r="F56" s="16"/>
      <c r="G56" s="16"/>
      <c r="H56" s="16"/>
      <c r="I56" s="16"/>
      <c r="J56" s="16"/>
      <c r="K56" s="16"/>
      <c r="L56" s="16"/>
      <c r="M56" s="16"/>
      <c r="N56" s="16"/>
      <c r="O56" s="16"/>
      <c r="P56" s="16"/>
      <c r="Q56" s="16"/>
    </row>
    <row r="57" spans="1:17" x14ac:dyDescent="0.25">
      <c r="A57" s="16"/>
      <c r="B57" s="16"/>
      <c r="C57" s="16"/>
      <c r="D57" s="16"/>
      <c r="E57" s="16"/>
      <c r="F57" s="16"/>
      <c r="G57" s="16"/>
      <c r="H57" s="16"/>
      <c r="I57" s="16"/>
      <c r="J57" s="16"/>
      <c r="K57" s="16"/>
      <c r="L57" s="16"/>
      <c r="M57" s="16"/>
      <c r="N57" s="16"/>
      <c r="O57" s="16"/>
      <c r="P57" s="16"/>
      <c r="Q57" s="16"/>
    </row>
    <row r="58" spans="1:17" x14ac:dyDescent="0.25">
      <c r="A58" s="16"/>
      <c r="B58" s="57" t="s">
        <v>149</v>
      </c>
      <c r="C58" s="16"/>
      <c r="D58" s="16"/>
      <c r="E58" s="16"/>
      <c r="F58" s="16"/>
      <c r="G58" s="16"/>
      <c r="H58" s="16"/>
      <c r="I58" s="16"/>
      <c r="J58" s="16"/>
      <c r="K58" s="16"/>
      <c r="L58" s="16"/>
      <c r="M58" s="16"/>
      <c r="N58" s="16"/>
      <c r="O58" s="16"/>
      <c r="P58" s="16"/>
      <c r="Q58" s="16"/>
    </row>
    <row r="59" spans="1:17" x14ac:dyDescent="0.25">
      <c r="A59" s="16"/>
      <c r="B59" s="58" t="s">
        <v>150</v>
      </c>
      <c r="C59" s="58"/>
      <c r="D59" s="58" t="s">
        <v>11</v>
      </c>
      <c r="E59" s="58" t="s">
        <v>151</v>
      </c>
      <c r="F59" s="16"/>
      <c r="G59" s="16"/>
      <c r="H59" s="16"/>
      <c r="I59" s="16"/>
      <c r="J59" s="58" t="s">
        <v>152</v>
      </c>
      <c r="K59" s="58"/>
      <c r="L59" s="58" t="s">
        <v>153</v>
      </c>
      <c r="M59" s="16"/>
      <c r="N59" s="16"/>
      <c r="O59" s="16"/>
      <c r="P59" s="16"/>
      <c r="Q59" s="16"/>
    </row>
    <row r="60" spans="1:17" x14ac:dyDescent="0.25">
      <c r="A60" s="16"/>
      <c r="B60" s="59">
        <f>IFERROR(INDEX('MASTER BUDGET'!$D$6:$D$25,MATCH(LARGE('MASTER BUDGET'!$L$6:$L$25,1),'MASTER BUDGET'!$L$6:$L$25,0)),"")</f>
      </c>
      <c r="C60" s="59"/>
      <c r="D60" s="60">
        <f>IFERROR(INDEX('MASTER BUDGET'!$E$6:$E$25,MATCH(LARGE('MASTER BUDGET'!$L$6:$L$25,1),'MASTER BUDGET'!$L$6:$L$25,0)),0)</f>
      </c>
      <c r="E60" s="60">
        <f>IFERROR(INDEX('MASTER BUDGET'!$G$6:$G$25,MATCH(LARGE('MASTER BUDGET'!$L$6:$L$25,1),'MASTER BUDGET'!$L$6:$L$25,0)),0)</f>
      </c>
      <c r="F60" s="16"/>
      <c r="G60" s="16"/>
      <c r="H60" s="16"/>
      <c r="I60" s="16"/>
      <c r="J60" s="59" t="s">
        <v>154</v>
      </c>
      <c r="K60" s="59"/>
      <c r="L60" s="61">
        <f>IF(COUNTIFS('GIFT PLANNER'!$E$6:$E$205,"Yes")=0,0,COUNTIFS('GIFT PLANNER'!$E$6:$E$205,"Yes",'GIFT PLANNER'!$T$6:$T$205,"Yes")/COUNTIFS('GIFT PLANNER'!$E$6:$E$205,"Yes"))</f>
      </c>
      <c r="M60" s="16"/>
      <c r="N60" s="16"/>
      <c r="O60" s="16"/>
      <c r="P60" s="16"/>
      <c r="Q60" s="16"/>
    </row>
    <row r="61" spans="1:17" x14ac:dyDescent="0.25">
      <c r="A61" s="16"/>
      <c r="B61" s="59">
        <f>IFERROR(INDEX('MASTER BUDGET'!$D$6:$D$25,MATCH(LARGE('MASTER BUDGET'!$L$6:$L$25,2),'MASTER BUDGET'!$L$6:$L$25,0)),"")</f>
      </c>
      <c r="C61" s="59"/>
      <c r="D61" s="60">
        <f>IFERROR(INDEX('MASTER BUDGET'!$E$6:$E$25,MATCH(LARGE('MASTER BUDGET'!$L$6:$L$25,2),'MASTER BUDGET'!$L$6:$L$25,0)),0)</f>
      </c>
      <c r="E61" s="60">
        <f>IFERROR(INDEX('MASTER BUDGET'!$G$6:$G$25,MATCH(LARGE('MASTER BUDGET'!$L$6:$L$25,2),'MASTER BUDGET'!$L$6:$L$25,0)),0)</f>
      </c>
      <c r="F61" s="16"/>
      <c r="G61" s="16"/>
      <c r="H61" s="16"/>
      <c r="I61" s="16"/>
      <c r="J61" s="59" t="s">
        <v>155</v>
      </c>
      <c r="K61" s="59"/>
      <c r="L61" s="61">
        <f>IF(COUNTIFS('GIFT PLANNER'!$E$6:$E$205,"Yes",'GIFT PLANNER'!$T$6:$T$205,"Yes",'GIFT PLANNER'!$Y$6:$Y$205,"Physical")=0,0,COUNTIFS('GIFT PLANNER'!$E$6:$E$205,"Yes",'GIFT PLANNER'!$T$6:$T$205,"Yes",'GIFT PLANNER'!$Y$6:$Y$205,"Physical",'GIFT PLANNER'!$Z$6:$Z$205,"Yes")/COUNTIFS('GIFT PLANNER'!$E$6:$E$205,"Yes",'GIFT PLANNER'!$T$6:$T$205,"Yes",'GIFT PLANNER'!$Y$6:$Y$205,"Physical"))</f>
      </c>
      <c r="M61" s="16"/>
      <c r="N61" s="16"/>
      <c r="O61" s="16"/>
      <c r="P61" s="16"/>
      <c r="Q61" s="16"/>
    </row>
    <row r="62" spans="1:17" x14ac:dyDescent="0.25">
      <c r="A62" s="16"/>
      <c r="B62" s="59">
        <f>IFERROR(INDEX('MASTER BUDGET'!$D$6:$D$25,MATCH(LARGE('MASTER BUDGET'!$L$6:$L$25,3),'MASTER BUDGET'!$L$6:$L$25,0)),"")</f>
      </c>
      <c r="C62" s="59"/>
      <c r="D62" s="60">
        <f>IFERROR(INDEX('MASTER BUDGET'!$E$6:$E$25,MATCH(LARGE('MASTER BUDGET'!$L$6:$L$25,3),'MASTER BUDGET'!$L$6:$L$25,0)),0)</f>
      </c>
      <c r="E62" s="60">
        <f>IFERROR(INDEX('MASTER BUDGET'!$G$6:$G$25,MATCH(LARGE('MASTER BUDGET'!$L$6:$L$25,3),'MASTER BUDGET'!$L$6:$L$25,0)),0)</f>
      </c>
      <c r="F62" s="16"/>
      <c r="G62" s="16"/>
      <c r="H62" s="16"/>
      <c r="I62" s="16"/>
      <c r="J62" s="59" t="s">
        <v>156</v>
      </c>
      <c r="K62" s="59"/>
      <c r="L62" s="61">
        <f>IF(COUNTIFS('ONLINE ORDERS'!$B$6:$B$155,"?*",'ONLINE ORDERS'!$K$6:$K$155,"&lt;&gt;Cancelled")=0,0,COUNTIFS('ONLINE ORDERS'!$B$6:$B$155,"?*",'ONLINE ORDERS'!$K$6:$K$155,"&lt;&gt;Cancelled",'ONLINE ORDERS'!$M$6:$M$155,"Yes")/COUNTIFS('ONLINE ORDERS'!$B$6:$B$155,"?*",'ONLINE ORDERS'!$K$6:$K$155,"&lt;&gt;Cancelled"))</f>
      </c>
      <c r="M62" s="16"/>
      <c r="N62" s="16"/>
      <c r="O62" s="16"/>
      <c r="P62" s="16"/>
      <c r="Q62" s="16"/>
    </row>
    <row r="63" spans="1:17" x14ac:dyDescent="0.25">
      <c r="A63" s="16"/>
      <c r="B63" s="59">
        <f>IFERROR(INDEX('MASTER BUDGET'!$D$6:$D$25,MATCH(LARGE('MASTER BUDGET'!$L$6:$L$25,4),'MASTER BUDGET'!$L$6:$L$25,0)),"")</f>
      </c>
      <c r="C63" s="59"/>
      <c r="D63" s="60">
        <f>IFERROR(INDEX('MASTER BUDGET'!$E$6:$E$25,MATCH(LARGE('MASTER BUDGET'!$L$6:$L$25,4),'MASTER BUDGET'!$L$6:$L$25,0)),0)</f>
      </c>
      <c r="E63" s="60">
        <f>IFERROR(INDEX('MASTER BUDGET'!$G$6:$G$25,MATCH(LARGE('MASTER BUDGET'!$L$6:$L$25,4),'MASTER BUDGET'!$L$6:$L$25,0)),0)</f>
      </c>
      <c r="F63" s="16"/>
      <c r="G63" s="16"/>
      <c r="H63" s="16"/>
      <c r="I63" s="16"/>
      <c r="J63" s="59" t="s">
        <v>157</v>
      </c>
      <c r="K63" s="59"/>
      <c r="L63" s="61">
        <f>IF(COUNTIFS('CHRISTMAS CALENDAR'!$B$6:$B$205,"?*",'CHRISTMAS CALENDAR'!$Q$6:$Q$205,"Yes")+COUNTIFS('CHRISTMAS CALENDAR'!$B$6:$B$205,"?*",'CHRISTMAS CALENDAR'!$Q$6:$Q$205,"No")=0,0,COUNTIFS('CHRISTMAS CALENDAR'!$B$6:$B$205,"?*",'CHRISTMAS CALENDAR'!$Q$6:$Q$205,"No")/(COUNTIFS('CHRISTMAS CALENDAR'!$B$6:$B$205,"?*",'CHRISTMAS CALENDAR'!$Q$6:$Q$205,"Yes")+COUNTIFS('CHRISTMAS CALENDAR'!$B$6:$B$205,"?*",'CHRISTMAS CALENDAR'!$Q$6:$Q$205,"No")))</f>
      </c>
      <c r="M63" s="16"/>
      <c r="N63" s="16"/>
      <c r="O63" s="16"/>
      <c r="P63" s="16"/>
      <c r="Q63" s="16"/>
    </row>
    <row r="64" spans="1:17" x14ac:dyDescent="0.25">
      <c r="A64" s="16"/>
      <c r="B64" s="59">
        <f>IFERROR(INDEX('MASTER BUDGET'!$D$6:$D$25,MATCH(LARGE('MASTER BUDGET'!$L$6:$L$25,5),'MASTER BUDGET'!$L$6:$L$25,0)),"")</f>
      </c>
      <c r="C64" s="59"/>
      <c r="D64" s="60">
        <f>IFERROR(INDEX('MASTER BUDGET'!$E$6:$E$25,MATCH(LARGE('MASTER BUDGET'!$L$6:$L$25,5),'MASTER BUDGET'!$L$6:$L$25,0)),0)</f>
      </c>
      <c r="E64" s="60">
        <f>IFERROR(INDEX('MASTER BUDGET'!$G$6:$G$25,MATCH(LARGE('MASTER BUDGET'!$L$6:$L$25,5),'MASTER BUDGET'!$L$6:$L$25,0)),0)</f>
      </c>
      <c r="F64" s="16"/>
      <c r="G64" s="16"/>
      <c r="H64" s="16"/>
      <c r="I64" s="16"/>
      <c r="J64" s="16"/>
      <c r="K64" s="16"/>
      <c r="L64" s="16"/>
      <c r="M64" s="16"/>
      <c r="N64" s="16"/>
      <c r="O64" s="16"/>
      <c r="P64" s="16"/>
      <c r="Q64" s="16"/>
    </row>
    <row r="65" spans="1:17" x14ac:dyDescent="0.25">
      <c r="A65" s="16"/>
      <c r="B65" s="59">
        <f>IFERROR(INDEX('MASTER BUDGET'!$D$6:$D$25,MATCH(LARGE('MASTER BUDGET'!$L$6:$L$25,6),'MASTER BUDGET'!$L$6:$L$25,0)),"")</f>
      </c>
      <c r="C65" s="59"/>
      <c r="D65" s="60">
        <f>IFERROR(INDEX('MASTER BUDGET'!$E$6:$E$25,MATCH(LARGE('MASTER BUDGET'!$L$6:$L$25,6),'MASTER BUDGET'!$L$6:$L$25,0)),0)</f>
      </c>
      <c r="E65" s="60">
        <f>IFERROR(INDEX('MASTER BUDGET'!$G$6:$G$25,MATCH(LARGE('MASTER BUDGET'!$L$6:$L$25,6),'MASTER BUDGET'!$L$6:$L$25,0)),0)</f>
      </c>
      <c r="F65" s="16"/>
      <c r="G65" s="16"/>
      <c r="H65" s="16"/>
      <c r="I65" s="16"/>
      <c r="J65" s="16"/>
      <c r="K65" s="16"/>
      <c r="L65" s="16"/>
      <c r="M65" s="16"/>
      <c r="N65" s="16"/>
      <c r="O65" s="16"/>
      <c r="P65" s="16"/>
      <c r="Q65" s="16"/>
    </row>
    <row r="66" spans="1:17" x14ac:dyDescent="0.25">
      <c r="A66" s="16"/>
      <c r="B66" s="59">
        <f>IFERROR(INDEX('MASTER BUDGET'!$D$6:$D$25,MATCH(LARGE('MASTER BUDGET'!$L$6:$L$25,7),'MASTER BUDGET'!$L$6:$L$25,0)),"")</f>
      </c>
      <c r="C66" s="59"/>
      <c r="D66" s="60">
        <f>IFERROR(INDEX('MASTER BUDGET'!$E$6:$E$25,MATCH(LARGE('MASTER BUDGET'!$L$6:$L$25,7),'MASTER BUDGET'!$L$6:$L$25,0)),0)</f>
      </c>
      <c r="E66" s="60">
        <f>IFERROR(INDEX('MASTER BUDGET'!$G$6:$G$25,MATCH(LARGE('MASTER BUDGET'!$L$6:$L$25,7),'MASTER BUDGET'!$L$6:$L$25,0)),0)</f>
      </c>
      <c r="F66" s="16"/>
      <c r="G66" s="16"/>
      <c r="H66" s="16"/>
      <c r="I66" s="16"/>
      <c r="J66" s="16"/>
      <c r="K66" s="16"/>
      <c r="L66" s="16"/>
      <c r="M66" s="16"/>
      <c r="N66" s="16"/>
      <c r="O66" s="16"/>
      <c r="P66" s="16"/>
      <c r="Q66" s="16"/>
    </row>
    <row r="67" spans="1:17" x14ac:dyDescent="0.25">
      <c r="A67" s="16"/>
      <c r="B67" s="59">
        <f>IFERROR(INDEX('MASTER BUDGET'!$D$6:$D$25,MATCH(LARGE('MASTER BUDGET'!$L$6:$L$25,8),'MASTER BUDGET'!$L$6:$L$25,0)),"")</f>
      </c>
      <c r="C67" s="59"/>
      <c r="D67" s="60">
        <f>IFERROR(INDEX('MASTER BUDGET'!$E$6:$E$25,MATCH(LARGE('MASTER BUDGET'!$L$6:$L$25,8),'MASTER BUDGET'!$L$6:$L$25,0)),0)</f>
      </c>
      <c r="E67" s="60">
        <f>IFERROR(INDEX('MASTER BUDGET'!$G$6:$G$25,MATCH(LARGE('MASTER BUDGET'!$L$6:$L$25,8),'MASTER BUDGET'!$L$6:$L$25,0)),0)</f>
      </c>
      <c r="F67" s="16"/>
      <c r="G67" s="16"/>
      <c r="H67" s="16"/>
      <c r="I67" s="16"/>
      <c r="J67" s="16"/>
      <c r="K67" s="16"/>
      <c r="L67" s="16"/>
      <c r="M67" s="16"/>
      <c r="N67" s="16"/>
      <c r="O67" s="16"/>
      <c r="P67" s="16"/>
      <c r="Q67" s="16"/>
    </row>
    <row r="68" spans="1:17" x14ac:dyDescent="0.25">
      <c r="A68" s="16"/>
      <c r="B68" s="59">
        <f>IFERROR(INDEX('MASTER BUDGET'!$D$6:$D$25,MATCH(LARGE('MASTER BUDGET'!$L$6:$L$25,9),'MASTER BUDGET'!$L$6:$L$25,0)),"")</f>
      </c>
      <c r="C68" s="59"/>
      <c r="D68" s="60">
        <f>IFERROR(INDEX('MASTER BUDGET'!$E$6:$E$25,MATCH(LARGE('MASTER BUDGET'!$L$6:$L$25,9),'MASTER BUDGET'!$L$6:$L$25,0)),0)</f>
      </c>
      <c r="E68" s="60">
        <f>IFERROR(INDEX('MASTER BUDGET'!$G$6:$G$25,MATCH(LARGE('MASTER BUDGET'!$L$6:$L$25,9),'MASTER BUDGET'!$L$6:$L$25,0)),0)</f>
      </c>
      <c r="F68" s="16"/>
      <c r="G68" s="16"/>
      <c r="H68" s="16"/>
      <c r="I68" s="16"/>
      <c r="J68" s="16"/>
      <c r="K68" s="16"/>
      <c r="L68" s="16"/>
      <c r="M68" s="16"/>
      <c r="N68" s="16"/>
      <c r="O68" s="16"/>
      <c r="P68" s="16"/>
      <c r="Q68" s="16"/>
    </row>
    <row r="69" spans="1:17" x14ac:dyDescent="0.25">
      <c r="A69" s="16"/>
      <c r="B69" s="59">
        <f>IFERROR(INDEX('MASTER BUDGET'!$D$6:$D$25,MATCH(LARGE('MASTER BUDGET'!$L$6:$L$25,10),'MASTER BUDGET'!$L$6:$L$25,0)),"")</f>
      </c>
      <c r="C69" s="59"/>
      <c r="D69" s="60">
        <f>IFERROR(INDEX('MASTER BUDGET'!$E$6:$E$25,MATCH(LARGE('MASTER BUDGET'!$L$6:$L$25,10),'MASTER BUDGET'!$L$6:$L$25,0)),0)</f>
      </c>
      <c r="E69" s="60">
        <f>IFERROR(INDEX('MASTER BUDGET'!$G$6:$G$25,MATCH(LARGE('MASTER BUDGET'!$L$6:$L$25,10),'MASTER BUDGET'!$L$6:$L$25,0)),0)</f>
      </c>
      <c r="F69" s="16"/>
      <c r="G69" s="16"/>
      <c r="H69" s="16"/>
      <c r="I69" s="16"/>
      <c r="J69" s="16"/>
      <c r="K69" s="16"/>
      <c r="L69" s="16"/>
      <c r="M69" s="16"/>
      <c r="N69" s="16"/>
      <c r="O69" s="16"/>
      <c r="P69" s="16"/>
      <c r="Q69" s="16"/>
    </row>
    <row r="70" spans="1:17" x14ac:dyDescent="0.25">
      <c r="A70" s="16"/>
      <c r="B70" s="16"/>
      <c r="C70" s="16"/>
      <c r="D70" s="16"/>
      <c r="E70" s="16"/>
      <c r="F70" s="16"/>
      <c r="G70" s="16"/>
      <c r="H70" s="16"/>
      <c r="I70" s="16"/>
      <c r="J70" s="16"/>
      <c r="K70" s="16"/>
      <c r="L70" s="16"/>
      <c r="M70" s="16"/>
      <c r="N70" s="16"/>
      <c r="O70" s="16"/>
      <c r="P70" s="16"/>
      <c r="Q70" s="16"/>
    </row>
    <row r="71" spans="1:17" x14ac:dyDescent="0.25">
      <c r="A71" s="16"/>
      <c r="B71" s="16"/>
      <c r="C71" s="16"/>
      <c r="D71" s="16"/>
      <c r="E71" s="16"/>
      <c r="F71" s="16"/>
      <c r="G71" s="16"/>
      <c r="H71" s="16"/>
      <c r="I71" s="16"/>
      <c r="J71" s="16"/>
      <c r="K71" s="16"/>
      <c r="L71" s="16"/>
      <c r="M71" s="16"/>
      <c r="N71" s="16"/>
      <c r="O71" s="16"/>
      <c r="P71" s="16"/>
      <c r="Q71" s="16"/>
    </row>
    <row r="72" spans="1:17" x14ac:dyDescent="0.25">
      <c r="A72" s="16"/>
      <c r="B72" s="16"/>
      <c r="C72" s="16"/>
      <c r="D72" s="16"/>
      <c r="E72" s="16"/>
      <c r="F72" s="16"/>
      <c r="G72" s="16"/>
      <c r="H72" s="16"/>
      <c r="I72" s="16"/>
      <c r="J72" s="16"/>
      <c r="K72" s="16"/>
      <c r="L72" s="16"/>
      <c r="M72" s="16"/>
      <c r="N72" s="16"/>
      <c r="O72" s="16"/>
      <c r="P72" s="16"/>
      <c r="Q72" s="16"/>
    </row>
  </sheetData>
  <mergeCells count="67">
    <mergeCell ref="B1:C1"/>
    <mergeCell ref="D1:F1"/>
    <mergeCell ref="G1:H1"/>
    <mergeCell ref="I1:J1"/>
    <mergeCell ref="K1:L1"/>
    <mergeCell ref="B6:D6"/>
    <mergeCell ref="F6:H6"/>
    <mergeCell ref="J6:L6"/>
    <mergeCell ref="N6:P6"/>
    <mergeCell ref="B7:D7"/>
    <mergeCell ref="F7:H7"/>
    <mergeCell ref="J7:L7"/>
    <mergeCell ref="N7:P7"/>
    <mergeCell ref="B9:D9"/>
    <mergeCell ref="F9:H9"/>
    <mergeCell ref="J9:L9"/>
    <mergeCell ref="N9:P9"/>
    <mergeCell ref="B11:D11"/>
    <mergeCell ref="F11:H11"/>
    <mergeCell ref="J11:L11"/>
    <mergeCell ref="N11:P11"/>
    <mergeCell ref="B12:D12"/>
    <mergeCell ref="F12:H12"/>
    <mergeCell ref="J12:L12"/>
    <mergeCell ref="N12:P12"/>
    <mergeCell ref="B14:D14"/>
    <mergeCell ref="F14:H14"/>
    <mergeCell ref="J14:L14"/>
    <mergeCell ref="N14:P14"/>
    <mergeCell ref="J17:K17"/>
    <mergeCell ref="L17:P17"/>
    <mergeCell ref="J18:K18"/>
    <mergeCell ref="L18:P18"/>
    <mergeCell ref="J19:K19"/>
    <mergeCell ref="L19:P19"/>
    <mergeCell ref="J20:K20"/>
    <mergeCell ref="L20:P20"/>
    <mergeCell ref="J21:K21"/>
    <mergeCell ref="L21:P21"/>
    <mergeCell ref="J24:K24"/>
    <mergeCell ref="L24:P24"/>
    <mergeCell ref="J25:K25"/>
    <mergeCell ref="L25:P25"/>
    <mergeCell ref="J26:K26"/>
    <mergeCell ref="L26:P26"/>
    <mergeCell ref="J27:K27"/>
    <mergeCell ref="L27:P27"/>
    <mergeCell ref="J28:K28"/>
    <mergeCell ref="L28:P28"/>
    <mergeCell ref="J29:K29"/>
    <mergeCell ref="L29:P29"/>
    <mergeCell ref="B59:C59"/>
    <mergeCell ref="J59:K59"/>
    <mergeCell ref="B60:C60"/>
    <mergeCell ref="J60:K60"/>
    <mergeCell ref="B61:C61"/>
    <mergeCell ref="J61:K61"/>
    <mergeCell ref="B62:C62"/>
    <mergeCell ref="J62:K62"/>
    <mergeCell ref="B63:C63"/>
    <mergeCell ref="J63:K63"/>
    <mergeCell ref="B64:C64"/>
    <mergeCell ref="B65:C65"/>
    <mergeCell ref="B66:C66"/>
    <mergeCell ref="B67:C67"/>
    <mergeCell ref="B68:C68"/>
    <mergeCell ref="B69:C69"/>
  </mergeCells>
  <conditionalFormatting sqref="B17:B28">
    <cfRule type="cellIs" dxfId="0" priority="1" operator="equal">
      <formula>0</formula>
    </cfRule>
  </conditionalFormatting>
  <hyperlinks>
    <hyperlink ref="D1" r:id="rId1" location="#'START HERE'!A1"/>
    <hyperlink ref="G1" r:id="rId2" location="#'CHRISTMAS CALENDAR'!A1"/>
    <hyperlink ref="I1" r:id="rId3" location="#'MASTER BUDGET'!A1"/>
    <hyperlink ref="K1" r:id="rId4" location="#'SHEET INDEX'!A1"/>
    <hyperlink ref="G17" r:id="rId5" location="#'MASTER BUDGET'!A1"/>
    <hyperlink ref="G18" r:id="rId6" location="#'MASTER BUDGET'!A1"/>
    <hyperlink ref="G19" r:id="rId7" location="#'GIFT PLANNER'!A1"/>
    <hyperlink ref="G20" r:id="rId8" location="#'GIFT PLANNER'!A1"/>
    <hyperlink ref="G21" r:id="rId9" location="#'ONLINE ORDERS'!A1"/>
    <hyperlink ref="G22" r:id="rId10" location="#'ONLINE ORDERS'!A1"/>
    <hyperlink ref="G23" r:id="rId11" location="#'ONLINE ORDERS'!A1"/>
    <hyperlink ref="G24" r:id="rId12" location="#'ONLINE ORDERS'!A1"/>
    <hyperlink ref="G25" r:id="rId13" location="#'RETURNS + EXCHANGES'!A1"/>
    <hyperlink ref="G26" r:id="rId14" location="#'CHRISTMAS CALENDAR'!A1"/>
    <hyperlink ref="G27" r:id="rId15" location="#'GROCERY LIST'!A1"/>
    <hyperlink ref="G28" r:id="rId16" location="#'QUALITY CHECK'!A1"/>
  </hyperlinks>
  <printOptions horizontalCentered="1"/>
  <pageMargins left="0.4" right="0.4" top="0.5" bottom="0.5" header="0.2" footer="0.2"/>
  <pageSetup orientation="portrait" fitToWidth="1" fitToHeight="2"/>
  <headerFooter>
    <oddFooter>&amp;LChristmas at a glance&amp;C&amp;P of &amp;N&amp;RThe Christmas Season Master Command Center™</oddFooter>
  </headerFooter>
  <drawing r:id="rId1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J38"/>
  <sheetViews>
    <sheetView workbookViewId="0" showGridLines="0" zoomScale="90">
      <pane xSplit="3" ySplit="14" topLeftCell="D15" activePane="bottomRight" state="frozen"/>
      <selection pane="bottomRight"/>
    </sheetView>
  </sheetViews>
  <sheetFormatPr defaultRowHeight="15" outlineLevelRow="0" outlineLevelCol="0" x14ac:dyDescent="55"/>
  <cols>
    <col min="1" max="1" width="2" customWidth="1"/>
    <col min="2" max="3" width="34" customWidth="1"/>
    <col min="4" max="4" width="36" customWidth="1"/>
    <col min="5" max="5" width="16" customWidth="1"/>
    <col min="6" max="6" width="11" customWidth="1"/>
    <col min="7" max="7" width="30" customWidth="1"/>
    <col min="8" max="8" width="34" customWidth="1"/>
    <col min="9" max="9" width="18" hidden="1" customWidth="1"/>
    <col min="10" max="10" width="2" customWidth="1"/>
  </cols>
  <sheetData>
    <row r="1" ht="21" customHeight="1" spans="1:10" x14ac:dyDescent="0.25">
      <c r="A1" s="62"/>
      <c r="B1" s="63" t="s">
        <v>8</v>
      </c>
      <c r="C1" s="63"/>
      <c r="D1" s="63" t="s">
        <v>9</v>
      </c>
      <c r="E1" s="63" t="s">
        <v>10</v>
      </c>
      <c r="F1" s="63" t="s">
        <v>11</v>
      </c>
      <c r="G1" s="63" t="s">
        <v>12</v>
      </c>
      <c r="H1" s="62"/>
      <c r="I1" s="62"/>
      <c r="J1" s="62"/>
    </row>
    <row r="2" ht="34" customHeight="1" spans="1:10" x14ac:dyDescent="0.25">
      <c r="A2" s="64"/>
      <c r="B2" s="65" t="s">
        <v>158</v>
      </c>
      <c r="C2" s="64"/>
      <c r="D2" s="64"/>
      <c r="E2" s="64"/>
      <c r="F2" s="64"/>
      <c r="G2" s="64"/>
      <c r="H2" s="64"/>
      <c r="I2" s="64"/>
      <c r="J2" s="64"/>
    </row>
    <row r="3" ht="18" customHeight="1" spans="1:10" x14ac:dyDescent="0.25">
      <c r="A3" s="64"/>
      <c r="B3" s="66" t="s">
        <v>159</v>
      </c>
      <c r="C3" s="64"/>
      <c r="D3" s="64"/>
      <c r="E3" s="64"/>
      <c r="F3" s="64"/>
      <c r="G3" s="64"/>
      <c r="H3" s="64"/>
      <c r="I3" s="64"/>
      <c r="J3" s="64"/>
    </row>
    <row r="4" ht="17" customHeight="1" spans="1:10" x14ac:dyDescent="0.25">
      <c r="A4" s="64"/>
      <c r="B4" s="67" t="s">
        <v>160</v>
      </c>
      <c r="C4" s="64"/>
      <c r="D4" s="64"/>
      <c r="E4" s="64"/>
      <c r="F4" s="64"/>
      <c r="G4" s="64"/>
      <c r="H4" s="64"/>
      <c r="I4" s="64"/>
      <c r="J4" s="64"/>
    </row>
    <row r="6" spans="2:8" x14ac:dyDescent="0.25">
      <c r="B6" s="68" t="s">
        <v>161</v>
      </c>
      <c r="C6" s="69"/>
      <c r="D6" s="69"/>
      <c r="E6" s="69"/>
      <c r="F6" s="69"/>
      <c r="G6" s="69"/>
      <c r="H6" s="69"/>
    </row>
    <row r="7" ht="22" customHeight="1" spans="2:6" x14ac:dyDescent="0.25">
      <c r="B7" s="70" t="s">
        <v>162</v>
      </c>
      <c r="C7" s="71" t="s">
        <v>163</v>
      </c>
      <c r="D7" s="71"/>
      <c r="E7" s="71"/>
      <c r="F7" s="71"/>
    </row>
    <row r="8" ht="22" customHeight="1" spans="2:6" x14ac:dyDescent="0.25">
      <c r="B8" s="70" t="s">
        <v>164</v>
      </c>
      <c r="C8" s="71" t="s">
        <v>165</v>
      </c>
      <c r="D8" s="71"/>
      <c r="E8" s="71"/>
      <c r="F8" s="71"/>
    </row>
    <row r="9" ht="22" customHeight="1" spans="2:6" x14ac:dyDescent="0.25">
      <c r="B9" s="70" t="s">
        <v>166</v>
      </c>
      <c r="C9" s="71" t="s">
        <v>167</v>
      </c>
      <c r="D9" s="71"/>
      <c r="E9" s="71"/>
      <c r="F9" s="71"/>
    </row>
    <row r="10" ht="22" customHeight="1" spans="2:6" x14ac:dyDescent="0.25">
      <c r="B10" s="70" t="s">
        <v>168</v>
      </c>
      <c r="C10" s="71" t="s">
        <v>169</v>
      </c>
      <c r="D10" s="71"/>
      <c r="E10" s="71"/>
      <c r="F10" s="71"/>
    </row>
    <row r="11" ht="22" customHeight="1" spans="2:6" x14ac:dyDescent="0.25">
      <c r="B11" s="70" t="s">
        <v>170</v>
      </c>
      <c r="C11" s="71" t="s">
        <v>171</v>
      </c>
      <c r="D11" s="71"/>
      <c r="E11" s="71"/>
      <c r="F11" s="71"/>
    </row>
    <row r="12" spans="2:2" x14ac:dyDescent="0.25">
      <c r="B12" s="72" t="s">
        <v>172</v>
      </c>
    </row>
    <row r="14" ht="32" customHeight="1" spans="1:10" x14ac:dyDescent="0.25">
      <c r="A14" s="73"/>
      <c r="B14" s="74" t="s">
        <v>173</v>
      </c>
      <c r="C14" s="74" t="s">
        <v>174</v>
      </c>
      <c r="D14" s="74" t="s">
        <v>175</v>
      </c>
      <c r="E14" s="74" t="s">
        <v>176</v>
      </c>
      <c r="F14" s="74" t="s">
        <v>177</v>
      </c>
      <c r="G14" s="74" t="s">
        <v>178</v>
      </c>
      <c r="H14" s="74" t="s">
        <v>179</v>
      </c>
      <c r="I14" s="74" t="s">
        <v>180</v>
      </c>
      <c r="J14" s="73"/>
    </row>
    <row r="15" ht="17" customHeight="1" spans="1:10" x14ac:dyDescent="0.25">
      <c r="A15" s="75"/>
      <c r="B15" s="76" t="s">
        <v>181</v>
      </c>
      <c r="C15" s="77" t="s">
        <v>182</v>
      </c>
      <c r="D15" s="77" t="s">
        <v>183</v>
      </c>
      <c r="E15" s="76" t="s">
        <v>184</v>
      </c>
      <c r="F15" s="76" t="s">
        <v>185</v>
      </c>
      <c r="G15" s="77"/>
      <c r="H15" s="77" t="s">
        <v>186</v>
      </c>
      <c r="I15" s="78">
        <f>IF($B15="",0,IF(COUNTIF('SEASON VISION'!$B$15:$B$38,$B15)&gt;1,1,0))</f>
      </c>
      <c r="J15" s="75"/>
    </row>
    <row r="16" ht="17" customHeight="1" spans="1:10" x14ac:dyDescent="0.25">
      <c r="A16" s="75"/>
      <c r="B16" s="76" t="s">
        <v>187</v>
      </c>
      <c r="C16" s="77" t="s">
        <v>188</v>
      </c>
      <c r="D16" s="77" t="s">
        <v>189</v>
      </c>
      <c r="E16" s="76" t="s">
        <v>184</v>
      </c>
      <c r="F16" s="76" t="s">
        <v>185</v>
      </c>
      <c r="G16" s="77"/>
      <c r="H16" s="77" t="s">
        <v>186</v>
      </c>
      <c r="I16" s="78">
        <f>IF($B16="",0,IF(COUNTIF('SEASON VISION'!$B$15:$B$38,$B16)&gt;1,1,0))</f>
      </c>
      <c r="J16" s="75"/>
    </row>
    <row r="17" ht="17" customHeight="1" spans="1:10" x14ac:dyDescent="0.25">
      <c r="A17" s="75"/>
      <c r="B17" s="76" t="s">
        <v>190</v>
      </c>
      <c r="C17" s="77" t="s">
        <v>191</v>
      </c>
      <c r="D17" s="77" t="s">
        <v>192</v>
      </c>
      <c r="E17" s="76" t="s">
        <v>193</v>
      </c>
      <c r="F17" s="76" t="s">
        <v>194</v>
      </c>
      <c r="G17" s="77"/>
      <c r="H17" s="77" t="s">
        <v>186</v>
      </c>
      <c r="I17" s="78">
        <f>IF($B17="",0,IF(COUNTIF('SEASON VISION'!$B$15:$B$38,$B17)&gt;1,1,0))</f>
      </c>
      <c r="J17" s="75"/>
    </row>
    <row r="18" ht="17" customHeight="1" spans="1:10" x14ac:dyDescent="0.25">
      <c r="A18" s="75"/>
      <c r="B18" s="79"/>
      <c r="C18" s="80"/>
      <c r="D18" s="80"/>
      <c r="E18" s="79"/>
      <c r="F18" s="79"/>
      <c r="G18" s="80"/>
      <c r="H18" s="80"/>
      <c r="I18" s="78">
        <f>IF($B18="",0,IF(COUNTIF('SEASON VISION'!$B$15:$B$38,$B18)&gt;1,1,0))</f>
      </c>
      <c r="J18" s="75"/>
    </row>
    <row r="19" ht="17" customHeight="1" spans="1:10" x14ac:dyDescent="0.25">
      <c r="A19" s="75"/>
      <c r="B19" s="79"/>
      <c r="C19" s="80"/>
      <c r="D19" s="80"/>
      <c r="E19" s="79"/>
      <c r="F19" s="79"/>
      <c r="G19" s="80"/>
      <c r="H19" s="80"/>
      <c r="I19" s="78">
        <f>IF($B19="",0,IF(COUNTIF('SEASON VISION'!$B$15:$B$38,$B19)&gt;1,1,0))</f>
      </c>
      <c r="J19" s="75"/>
    </row>
    <row r="20" ht="17" customHeight="1" spans="1:10" x14ac:dyDescent="0.25">
      <c r="A20" s="75"/>
      <c r="B20" s="79"/>
      <c r="C20" s="80"/>
      <c r="D20" s="80"/>
      <c r="E20" s="79"/>
      <c r="F20" s="79"/>
      <c r="G20" s="80"/>
      <c r="H20" s="80"/>
      <c r="I20" s="78">
        <f>IF($B20="",0,IF(COUNTIF('SEASON VISION'!$B$15:$B$38,$B20)&gt;1,1,0))</f>
      </c>
      <c r="J20" s="75"/>
    </row>
    <row r="21" ht="17" customHeight="1" spans="1:10" x14ac:dyDescent="0.25">
      <c r="A21" s="75"/>
      <c r="B21" s="79"/>
      <c r="C21" s="80"/>
      <c r="D21" s="80"/>
      <c r="E21" s="79"/>
      <c r="F21" s="79"/>
      <c r="G21" s="80"/>
      <c r="H21" s="80"/>
      <c r="I21" s="78">
        <f>IF($B21="",0,IF(COUNTIF('SEASON VISION'!$B$15:$B$38,$B21)&gt;1,1,0))</f>
      </c>
      <c r="J21" s="75"/>
    </row>
    <row r="22" ht="17" customHeight="1" spans="1:10" x14ac:dyDescent="0.25">
      <c r="A22" s="75"/>
      <c r="B22" s="79"/>
      <c r="C22" s="80"/>
      <c r="D22" s="80"/>
      <c r="E22" s="79"/>
      <c r="F22" s="79"/>
      <c r="G22" s="80"/>
      <c r="H22" s="80"/>
      <c r="I22" s="78">
        <f>IF($B22="",0,IF(COUNTIF('SEASON VISION'!$B$15:$B$38,$B22)&gt;1,1,0))</f>
      </c>
      <c r="J22" s="75"/>
    </row>
    <row r="23" ht="17" customHeight="1" spans="1:10" x14ac:dyDescent="0.25">
      <c r="A23" s="75"/>
      <c r="B23" s="79"/>
      <c r="C23" s="80"/>
      <c r="D23" s="80"/>
      <c r="E23" s="79"/>
      <c r="F23" s="79"/>
      <c r="G23" s="80"/>
      <c r="H23" s="80"/>
      <c r="I23" s="78">
        <f>IF($B23="",0,IF(COUNTIF('SEASON VISION'!$B$15:$B$38,$B23)&gt;1,1,0))</f>
      </c>
      <c r="J23" s="75"/>
    </row>
    <row r="24" ht="17" customHeight="1" spans="1:10" x14ac:dyDescent="0.25">
      <c r="A24" s="75"/>
      <c r="B24" s="79"/>
      <c r="C24" s="80"/>
      <c r="D24" s="80"/>
      <c r="E24" s="79"/>
      <c r="F24" s="79"/>
      <c r="G24" s="80"/>
      <c r="H24" s="80"/>
      <c r="I24" s="78">
        <f>IF($B24="",0,IF(COUNTIF('SEASON VISION'!$B$15:$B$38,$B24)&gt;1,1,0))</f>
      </c>
      <c r="J24" s="75"/>
    </row>
    <row r="25" ht="17" customHeight="1" spans="1:10" x14ac:dyDescent="0.25">
      <c r="A25" s="75"/>
      <c r="B25" s="79"/>
      <c r="C25" s="80"/>
      <c r="D25" s="80"/>
      <c r="E25" s="79"/>
      <c r="F25" s="79"/>
      <c r="G25" s="80"/>
      <c r="H25" s="80"/>
      <c r="I25" s="78">
        <f>IF($B25="",0,IF(COUNTIF('SEASON VISION'!$B$15:$B$38,$B25)&gt;1,1,0))</f>
      </c>
      <c r="J25" s="75"/>
    </row>
    <row r="26" ht="17" customHeight="1" spans="1:10" x14ac:dyDescent="0.25">
      <c r="A26" s="75"/>
      <c r="B26" s="79"/>
      <c r="C26" s="80"/>
      <c r="D26" s="80"/>
      <c r="E26" s="79"/>
      <c r="F26" s="79"/>
      <c r="G26" s="80"/>
      <c r="H26" s="80"/>
      <c r="I26" s="78">
        <f>IF($B26="",0,IF(COUNTIF('SEASON VISION'!$B$15:$B$38,$B26)&gt;1,1,0))</f>
      </c>
      <c r="J26" s="75"/>
    </row>
    <row r="27" ht="17" customHeight="1" spans="1:10" x14ac:dyDescent="0.25">
      <c r="A27" s="75"/>
      <c r="B27" s="79"/>
      <c r="C27" s="80"/>
      <c r="D27" s="80"/>
      <c r="E27" s="79"/>
      <c r="F27" s="79"/>
      <c r="G27" s="80"/>
      <c r="H27" s="80"/>
      <c r="I27" s="78">
        <f>IF($B27="",0,IF(COUNTIF('SEASON VISION'!$B$15:$B$38,$B27)&gt;1,1,0))</f>
      </c>
      <c r="J27" s="75"/>
    </row>
    <row r="28" ht="17" customHeight="1" spans="1:10" x14ac:dyDescent="0.25">
      <c r="A28" s="75"/>
      <c r="B28" s="79"/>
      <c r="C28" s="80"/>
      <c r="D28" s="80"/>
      <c r="E28" s="79"/>
      <c r="F28" s="79"/>
      <c r="G28" s="80"/>
      <c r="H28" s="80"/>
      <c r="I28" s="78">
        <f>IF($B28="",0,IF(COUNTIF('SEASON VISION'!$B$15:$B$38,$B28)&gt;1,1,0))</f>
      </c>
      <c r="J28" s="75"/>
    </row>
    <row r="29" ht="17" customHeight="1" spans="1:10" x14ac:dyDescent="0.25">
      <c r="A29" s="75"/>
      <c r="B29" s="79"/>
      <c r="C29" s="80"/>
      <c r="D29" s="80"/>
      <c r="E29" s="79"/>
      <c r="F29" s="79"/>
      <c r="G29" s="80"/>
      <c r="H29" s="80"/>
      <c r="I29" s="78">
        <f>IF($B29="",0,IF(COUNTIF('SEASON VISION'!$B$15:$B$38,$B29)&gt;1,1,0))</f>
      </c>
      <c r="J29" s="75"/>
    </row>
    <row r="30" ht="17" customHeight="1" spans="1:10" x14ac:dyDescent="0.25">
      <c r="A30" s="75"/>
      <c r="B30" s="79"/>
      <c r="C30" s="80"/>
      <c r="D30" s="80"/>
      <c r="E30" s="79"/>
      <c r="F30" s="79"/>
      <c r="G30" s="80"/>
      <c r="H30" s="80"/>
      <c r="I30" s="78">
        <f>IF($B30="",0,IF(COUNTIF('SEASON VISION'!$B$15:$B$38,$B30)&gt;1,1,0))</f>
      </c>
      <c r="J30" s="75"/>
    </row>
    <row r="31" ht="17" customHeight="1" spans="1:10" x14ac:dyDescent="0.25">
      <c r="A31" s="75"/>
      <c r="B31" s="79"/>
      <c r="C31" s="80"/>
      <c r="D31" s="80"/>
      <c r="E31" s="79"/>
      <c r="F31" s="79"/>
      <c r="G31" s="80"/>
      <c r="H31" s="80"/>
      <c r="I31" s="78">
        <f>IF($B31="",0,IF(COUNTIF('SEASON VISION'!$B$15:$B$38,$B31)&gt;1,1,0))</f>
      </c>
      <c r="J31" s="75"/>
    </row>
    <row r="32" ht="17" customHeight="1" spans="1:10" x14ac:dyDescent="0.25">
      <c r="A32" s="75"/>
      <c r="B32" s="79"/>
      <c r="C32" s="80"/>
      <c r="D32" s="80"/>
      <c r="E32" s="79"/>
      <c r="F32" s="79"/>
      <c r="G32" s="80"/>
      <c r="H32" s="80"/>
      <c r="I32" s="78">
        <f>IF($B32="",0,IF(COUNTIF('SEASON VISION'!$B$15:$B$38,$B32)&gt;1,1,0))</f>
      </c>
      <c r="J32" s="75"/>
    </row>
    <row r="33" ht="17" customHeight="1" spans="1:10" x14ac:dyDescent="0.25">
      <c r="A33" s="75"/>
      <c r="B33" s="79"/>
      <c r="C33" s="80"/>
      <c r="D33" s="80"/>
      <c r="E33" s="79"/>
      <c r="F33" s="79"/>
      <c r="G33" s="80"/>
      <c r="H33" s="80"/>
      <c r="I33" s="78">
        <f>IF($B33="",0,IF(COUNTIF('SEASON VISION'!$B$15:$B$38,$B33)&gt;1,1,0))</f>
      </c>
      <c r="J33" s="75"/>
    </row>
    <row r="34" ht="17" customHeight="1" spans="1:10" x14ac:dyDescent="0.25">
      <c r="A34" s="75"/>
      <c r="B34" s="79"/>
      <c r="C34" s="80"/>
      <c r="D34" s="80"/>
      <c r="E34" s="79"/>
      <c r="F34" s="79"/>
      <c r="G34" s="80"/>
      <c r="H34" s="80"/>
      <c r="I34" s="78">
        <f>IF($B34="",0,IF(COUNTIF('SEASON VISION'!$B$15:$B$38,$B34)&gt;1,1,0))</f>
      </c>
      <c r="J34" s="75"/>
    </row>
    <row r="35" ht="17" customHeight="1" spans="1:10" x14ac:dyDescent="0.25">
      <c r="A35" s="75"/>
      <c r="B35" s="79"/>
      <c r="C35" s="80"/>
      <c r="D35" s="80"/>
      <c r="E35" s="79"/>
      <c r="F35" s="79"/>
      <c r="G35" s="80"/>
      <c r="H35" s="80"/>
      <c r="I35" s="78">
        <f>IF($B35="",0,IF(COUNTIF('SEASON VISION'!$B$15:$B$38,$B35)&gt;1,1,0))</f>
      </c>
      <c r="J35" s="75"/>
    </row>
    <row r="36" ht="17" customHeight="1" spans="1:10" x14ac:dyDescent="0.25">
      <c r="A36" s="75"/>
      <c r="B36" s="79"/>
      <c r="C36" s="80"/>
      <c r="D36" s="80"/>
      <c r="E36" s="79"/>
      <c r="F36" s="79"/>
      <c r="G36" s="80"/>
      <c r="H36" s="80"/>
      <c r="I36" s="78">
        <f>IF($B36="",0,IF(COUNTIF('SEASON VISION'!$B$15:$B$38,$B36)&gt;1,1,0))</f>
      </c>
      <c r="J36" s="75"/>
    </row>
    <row r="37" ht="17" customHeight="1" spans="1:10" x14ac:dyDescent="0.25">
      <c r="A37" s="75"/>
      <c r="B37" s="79"/>
      <c r="C37" s="80"/>
      <c r="D37" s="80"/>
      <c r="E37" s="79"/>
      <c r="F37" s="79"/>
      <c r="G37" s="80"/>
      <c r="H37" s="80"/>
      <c r="I37" s="78">
        <f>IF($B37="",0,IF(COUNTIF('SEASON VISION'!$B$15:$B$38,$B37)&gt;1,1,0))</f>
      </c>
      <c r="J37" s="75"/>
    </row>
    <row r="38" ht="17" customHeight="1" spans="1:10" x14ac:dyDescent="0.25">
      <c r="A38" s="75"/>
      <c r="B38" s="79"/>
      <c r="C38" s="80"/>
      <c r="D38" s="80"/>
      <c r="E38" s="79"/>
      <c r="F38" s="79"/>
      <c r="G38" s="80"/>
      <c r="H38" s="80"/>
      <c r="I38" s="78">
        <f>IF($B38="",0,IF(COUNTIF('SEASON VISION'!$B$15:$B$38,$B38)&gt;1,1,0))</f>
      </c>
      <c r="J38" s="75"/>
    </row>
  </sheetData>
  <autoFilter ref="B14:I38"/>
  <mergeCells count="6">
    <mergeCell ref="B1:C1"/>
    <mergeCell ref="C7:F7"/>
    <mergeCell ref="C8:F8"/>
    <mergeCell ref="C9:F9"/>
    <mergeCell ref="C10:F10"/>
    <mergeCell ref="C11:F11"/>
  </mergeCells>
  <dataValidations count="1">
    <dataValidation type="list" allowBlank="1" showErrorMessage="1" errorStyle="warning" errorTitle="Not one of the usual values" error="This column normally uses a value from the YesNo list on LISTS. You can keep what you typed, or add it to the list so it appears in the dropdown." sqref="F15:F38">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&amp;LSEASON VISION&amp;C&amp;P of &amp;N&amp;RThe Christmas Season Master Command Center™</oddFooter>
  </headerFooter>
  <legacy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T108"/>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2" max="2" width="11" customWidth="1"/>
    <col min="3" max="3" width="20" customWidth="1"/>
    <col min="4" max="4" width="18" customWidth="1"/>
    <col min="5" max="5" width="13" customWidth="1"/>
    <col min="6" max="6" width="22" customWidth="1"/>
    <col min="7" max="7" width="18" customWidth="1"/>
    <col min="8" max="8" width="28" customWidth="1"/>
    <col min="9" max="10" width="24" customWidth="1"/>
    <col min="11" max="11" width="22" customWidth="1"/>
    <col min="12" max="12" width="20" customWidth="1"/>
    <col min="13" max="13" width="22" customWidth="1"/>
    <col min="14" max="14" width="16" customWidth="1"/>
    <col min="15" max="15" width="30" customWidth="1"/>
    <col min="16" max="16" width="24" customWidth="1"/>
    <col min="17" max="17" width="22" customWidth="1"/>
    <col min="18" max="18" width="34" customWidth="1"/>
    <col min="19" max="19" width="18" hidden="1" customWidth="1"/>
    <col min="20" max="20" width="2" customWidth="1"/>
  </cols>
  <sheetData>
    <row r="1" ht="21" customHeight="1" spans="1:20" x14ac:dyDescent="0.25">
      <c r="A1" s="62"/>
      <c r="B1" s="63" t="s">
        <v>8</v>
      </c>
      <c r="C1" s="63"/>
      <c r="D1" s="63" t="s">
        <v>9</v>
      </c>
      <c r="E1" s="63" t="s">
        <v>10</v>
      </c>
      <c r="F1" s="63" t="s">
        <v>11</v>
      </c>
      <c r="G1" s="63" t="s">
        <v>12</v>
      </c>
      <c r="H1" s="62"/>
      <c r="I1" s="62"/>
      <c r="J1" s="62"/>
      <c r="K1" s="62"/>
      <c r="L1" s="62"/>
      <c r="M1" s="62"/>
      <c r="N1" s="62"/>
      <c r="O1" s="62"/>
      <c r="P1" s="62"/>
      <c r="Q1" s="62"/>
      <c r="R1" s="62"/>
      <c r="S1" s="62"/>
      <c r="T1" s="62"/>
    </row>
    <row r="2" ht="34" customHeight="1" spans="1:20" x14ac:dyDescent="0.25">
      <c r="A2" s="64"/>
      <c r="B2" s="65" t="s">
        <v>195</v>
      </c>
      <c r="C2" s="64"/>
      <c r="D2" s="64"/>
      <c r="E2" s="64"/>
      <c r="F2" s="64"/>
      <c r="G2" s="64"/>
      <c r="H2" s="64"/>
      <c r="I2" s="64"/>
      <c r="J2" s="64"/>
      <c r="K2" s="64"/>
      <c r="L2" s="64"/>
      <c r="M2" s="64"/>
      <c r="N2" s="64"/>
      <c r="O2" s="64"/>
      <c r="P2" s="64"/>
      <c r="Q2" s="64"/>
      <c r="R2" s="64"/>
      <c r="S2" s="64"/>
      <c r="T2" s="64"/>
    </row>
    <row r="3" ht="18" customHeight="1" spans="1:20" x14ac:dyDescent="0.25">
      <c r="A3" s="64"/>
      <c r="B3" s="66" t="s">
        <v>196</v>
      </c>
      <c r="C3" s="64"/>
      <c r="D3" s="64"/>
      <c r="E3" s="64"/>
      <c r="F3" s="64"/>
      <c r="G3" s="64"/>
      <c r="H3" s="64"/>
      <c r="I3" s="64"/>
      <c r="J3" s="64"/>
      <c r="K3" s="64"/>
      <c r="L3" s="64"/>
      <c r="M3" s="64"/>
      <c r="N3" s="64"/>
      <c r="O3" s="64"/>
      <c r="P3" s="64"/>
      <c r="Q3" s="64"/>
      <c r="R3" s="64"/>
      <c r="S3" s="64"/>
      <c r="T3" s="64"/>
    </row>
    <row r="4" ht="17" customHeight="1" spans="1:20" x14ac:dyDescent="0.25">
      <c r="A4" s="64"/>
      <c r="B4" s="67" t="s">
        <v>160</v>
      </c>
      <c r="C4" s="64"/>
      <c r="D4" s="64"/>
      <c r="E4" s="64"/>
      <c r="F4" s="64"/>
      <c r="G4" s="64"/>
      <c r="H4" s="64"/>
      <c r="I4" s="64"/>
      <c r="J4" s="64"/>
      <c r="K4" s="64"/>
      <c r="L4" s="64"/>
      <c r="M4" s="64"/>
      <c r="N4" s="64"/>
      <c r="O4" s="64"/>
      <c r="P4" s="64"/>
      <c r="Q4" s="64"/>
      <c r="R4" s="64"/>
      <c r="S4" s="64"/>
      <c r="T4" s="64"/>
    </row>
    <row r="5" ht="32" customHeight="1" spans="1:20" x14ac:dyDescent="0.25">
      <c r="A5" s="73"/>
      <c r="B5" s="74" t="s">
        <v>197</v>
      </c>
      <c r="C5" s="74" t="s">
        <v>198</v>
      </c>
      <c r="D5" s="74" t="s">
        <v>199</v>
      </c>
      <c r="E5" s="74" t="s">
        <v>200</v>
      </c>
      <c r="F5" s="74" t="s">
        <v>201</v>
      </c>
      <c r="G5" s="74" t="s">
        <v>202</v>
      </c>
      <c r="H5" s="74" t="s">
        <v>203</v>
      </c>
      <c r="I5" s="74" t="s">
        <v>204</v>
      </c>
      <c r="J5" s="74" t="s">
        <v>205</v>
      </c>
      <c r="K5" s="74" t="s">
        <v>206</v>
      </c>
      <c r="L5" s="74" t="s">
        <v>207</v>
      </c>
      <c r="M5" s="74" t="s">
        <v>208</v>
      </c>
      <c r="N5" s="74" t="s">
        <v>209</v>
      </c>
      <c r="O5" s="74" t="s">
        <v>210</v>
      </c>
      <c r="P5" s="74" t="s">
        <v>211</v>
      </c>
      <c r="Q5" s="74" t="s">
        <v>212</v>
      </c>
      <c r="R5" s="74" t="s">
        <v>179</v>
      </c>
      <c r="S5" s="74" t="s">
        <v>180</v>
      </c>
      <c r="T5" s="73"/>
    </row>
    <row r="6" ht="17" customHeight="1" spans="1:20" x14ac:dyDescent="0.25">
      <c r="A6" s="75"/>
      <c r="B6" s="76" t="s">
        <v>213</v>
      </c>
      <c r="C6" s="76" t="s">
        <v>214</v>
      </c>
      <c r="D6" s="76" t="s">
        <v>215</v>
      </c>
      <c r="E6" s="81"/>
      <c r="F6" s="76" t="s">
        <v>216</v>
      </c>
      <c r="G6" s="76" t="s">
        <v>217</v>
      </c>
      <c r="H6" s="77" t="s">
        <v>218</v>
      </c>
      <c r="I6" s="76" t="s">
        <v>219</v>
      </c>
      <c r="J6" s="76" t="s">
        <v>220</v>
      </c>
      <c r="K6" s="76" t="s">
        <v>221</v>
      </c>
      <c r="L6" s="76" t="s">
        <v>222</v>
      </c>
      <c r="M6" s="76"/>
      <c r="N6" s="76" t="s">
        <v>223</v>
      </c>
      <c r="O6" s="77" t="s">
        <v>224</v>
      </c>
      <c r="P6" s="76" t="s">
        <v>225</v>
      </c>
      <c r="Q6" s="76" t="s">
        <v>226</v>
      </c>
      <c r="R6" s="77" t="s">
        <v>186</v>
      </c>
      <c r="S6" s="78">
        <f>IF($B6="",0,IF(COUNTIF('RECIPIENT PROFILES'!$B$6:$B$105,$B6)&gt;1,1,0))</f>
      </c>
      <c r="T6" s="75"/>
    </row>
    <row r="7" ht="17" customHeight="1" spans="1:20" x14ac:dyDescent="0.25">
      <c r="A7" s="75"/>
      <c r="B7" s="76" t="s">
        <v>227</v>
      </c>
      <c r="C7" s="76" t="s">
        <v>228</v>
      </c>
      <c r="D7" s="76" t="s">
        <v>229</v>
      </c>
      <c r="E7" s="81"/>
      <c r="F7" s="76" t="s">
        <v>230</v>
      </c>
      <c r="G7" s="76" t="s">
        <v>231</v>
      </c>
      <c r="H7" s="77" t="s">
        <v>232</v>
      </c>
      <c r="I7" s="76" t="s">
        <v>233</v>
      </c>
      <c r="J7" s="76"/>
      <c r="K7" s="76" t="s">
        <v>234</v>
      </c>
      <c r="L7" s="76" t="s">
        <v>235</v>
      </c>
      <c r="M7" s="76"/>
      <c r="N7" s="76" t="s">
        <v>223</v>
      </c>
      <c r="O7" s="77" t="s">
        <v>236</v>
      </c>
      <c r="P7" s="76" t="s">
        <v>237</v>
      </c>
      <c r="Q7" s="76" t="s">
        <v>238</v>
      </c>
      <c r="R7" s="77" t="s">
        <v>186</v>
      </c>
      <c r="S7" s="78">
        <f>IF($B7="",0,IF(COUNTIF('RECIPIENT PROFILES'!$B$6:$B$105,$B7)&gt;1,1,0))</f>
      </c>
      <c r="T7" s="75"/>
    </row>
    <row r="8" ht="17" customHeight="1" spans="1:20" x14ac:dyDescent="0.25">
      <c r="A8" s="75"/>
      <c r="B8" s="76" t="s">
        <v>239</v>
      </c>
      <c r="C8" s="76" t="s">
        <v>240</v>
      </c>
      <c r="D8" s="76" t="s">
        <v>241</v>
      </c>
      <c r="E8" s="81"/>
      <c r="F8" s="76"/>
      <c r="G8" s="76" t="s">
        <v>242</v>
      </c>
      <c r="H8" s="77" t="s">
        <v>243</v>
      </c>
      <c r="I8" s="76"/>
      <c r="J8" s="76" t="s">
        <v>244</v>
      </c>
      <c r="K8" s="76"/>
      <c r="L8" s="76"/>
      <c r="M8" s="76" t="s">
        <v>245</v>
      </c>
      <c r="N8" s="76" t="s">
        <v>246</v>
      </c>
      <c r="O8" s="77"/>
      <c r="P8" s="76"/>
      <c r="Q8" s="76"/>
      <c r="R8" s="77" t="s">
        <v>186</v>
      </c>
      <c r="S8" s="78">
        <f>IF($B8="",0,IF(COUNTIF('RECIPIENT PROFILES'!$B$6:$B$105,$B8)&gt;1,1,0))</f>
      </c>
      <c r="T8" s="75"/>
    </row>
    <row r="9" ht="17" customHeight="1" spans="1:20" x14ac:dyDescent="0.25">
      <c r="A9" s="75"/>
      <c r="B9" s="79"/>
      <c r="C9" s="79"/>
      <c r="D9" s="79"/>
      <c r="E9" s="82"/>
      <c r="F9" s="79"/>
      <c r="G9" s="79"/>
      <c r="H9" s="80"/>
      <c r="I9" s="79"/>
      <c r="J9" s="79"/>
      <c r="K9" s="79"/>
      <c r="L9" s="79"/>
      <c r="M9" s="79"/>
      <c r="N9" s="79"/>
      <c r="O9" s="80"/>
      <c r="P9" s="79"/>
      <c r="Q9" s="79"/>
      <c r="R9" s="80"/>
      <c r="S9" s="78">
        <f>IF($B9="",0,IF(COUNTIF('RECIPIENT PROFILES'!$B$6:$B$105,$B9)&gt;1,1,0))</f>
      </c>
      <c r="T9" s="75"/>
    </row>
    <row r="10" ht="17" customHeight="1" spans="1:20" x14ac:dyDescent="0.25">
      <c r="A10" s="75"/>
      <c r="B10" s="79"/>
      <c r="C10" s="79"/>
      <c r="D10" s="79"/>
      <c r="E10" s="82"/>
      <c r="F10" s="79"/>
      <c r="G10" s="79"/>
      <c r="H10" s="80"/>
      <c r="I10" s="79"/>
      <c r="J10" s="79"/>
      <c r="K10" s="79"/>
      <c r="L10" s="79"/>
      <c r="M10" s="79"/>
      <c r="N10" s="79"/>
      <c r="O10" s="80"/>
      <c r="P10" s="79"/>
      <c r="Q10" s="79"/>
      <c r="R10" s="80"/>
      <c r="S10" s="78">
        <f>IF($B10="",0,IF(COUNTIF('RECIPIENT PROFILES'!$B$6:$B$105,$B10)&gt;1,1,0))</f>
      </c>
      <c r="T10" s="75"/>
    </row>
    <row r="11" ht="17" customHeight="1" spans="1:20" x14ac:dyDescent="0.25">
      <c r="A11" s="75"/>
      <c r="B11" s="79"/>
      <c r="C11" s="79"/>
      <c r="D11" s="79"/>
      <c r="E11" s="82"/>
      <c r="F11" s="79"/>
      <c r="G11" s="79"/>
      <c r="H11" s="80"/>
      <c r="I11" s="79"/>
      <c r="J11" s="79"/>
      <c r="K11" s="79"/>
      <c r="L11" s="79"/>
      <c r="M11" s="79"/>
      <c r="N11" s="79"/>
      <c r="O11" s="80"/>
      <c r="P11" s="79"/>
      <c r="Q11" s="79"/>
      <c r="R11" s="80"/>
      <c r="S11" s="78">
        <f>IF($B11="",0,IF(COUNTIF('RECIPIENT PROFILES'!$B$6:$B$105,$B11)&gt;1,1,0))</f>
      </c>
      <c r="T11" s="75"/>
    </row>
    <row r="12" ht="17" customHeight="1" spans="1:20" x14ac:dyDescent="0.25">
      <c r="A12" s="75"/>
      <c r="B12" s="79"/>
      <c r="C12" s="79"/>
      <c r="D12" s="79"/>
      <c r="E12" s="82"/>
      <c r="F12" s="79"/>
      <c r="G12" s="79"/>
      <c r="H12" s="80"/>
      <c r="I12" s="79"/>
      <c r="J12" s="79"/>
      <c r="K12" s="79"/>
      <c r="L12" s="79"/>
      <c r="M12" s="79"/>
      <c r="N12" s="79"/>
      <c r="O12" s="80"/>
      <c r="P12" s="79"/>
      <c r="Q12" s="79"/>
      <c r="R12" s="80"/>
      <c r="S12" s="78">
        <f>IF($B12="",0,IF(COUNTIF('RECIPIENT PROFILES'!$B$6:$B$105,$B12)&gt;1,1,0))</f>
      </c>
      <c r="T12" s="75"/>
    </row>
    <row r="13" ht="17" customHeight="1" spans="1:20" x14ac:dyDescent="0.25">
      <c r="A13" s="75"/>
      <c r="B13" s="79"/>
      <c r="C13" s="79"/>
      <c r="D13" s="79"/>
      <c r="E13" s="82"/>
      <c r="F13" s="79"/>
      <c r="G13" s="79"/>
      <c r="H13" s="80"/>
      <c r="I13" s="79"/>
      <c r="J13" s="79"/>
      <c r="K13" s="79"/>
      <c r="L13" s="79"/>
      <c r="M13" s="79"/>
      <c r="N13" s="79"/>
      <c r="O13" s="80"/>
      <c r="P13" s="79"/>
      <c r="Q13" s="79"/>
      <c r="R13" s="80"/>
      <c r="S13" s="78">
        <f>IF($B13="",0,IF(COUNTIF('RECIPIENT PROFILES'!$B$6:$B$105,$B13)&gt;1,1,0))</f>
      </c>
      <c r="T13" s="75"/>
    </row>
    <row r="14" ht="17" customHeight="1" spans="1:20" x14ac:dyDescent="0.25">
      <c r="A14" s="75"/>
      <c r="B14" s="79"/>
      <c r="C14" s="79"/>
      <c r="D14" s="79"/>
      <c r="E14" s="82"/>
      <c r="F14" s="79"/>
      <c r="G14" s="79"/>
      <c r="H14" s="80"/>
      <c r="I14" s="79"/>
      <c r="J14" s="79"/>
      <c r="K14" s="79"/>
      <c r="L14" s="79"/>
      <c r="M14" s="79"/>
      <c r="N14" s="79"/>
      <c r="O14" s="80"/>
      <c r="P14" s="79"/>
      <c r="Q14" s="79"/>
      <c r="R14" s="80"/>
      <c r="S14" s="78">
        <f>IF($B14="",0,IF(COUNTIF('RECIPIENT PROFILES'!$B$6:$B$105,$B14)&gt;1,1,0))</f>
      </c>
      <c r="T14" s="75"/>
    </row>
    <row r="15" ht="17" customHeight="1" spans="1:20" x14ac:dyDescent="0.25">
      <c r="A15" s="75"/>
      <c r="B15" s="79"/>
      <c r="C15" s="79"/>
      <c r="D15" s="79"/>
      <c r="E15" s="82"/>
      <c r="F15" s="79"/>
      <c r="G15" s="79"/>
      <c r="H15" s="80"/>
      <c r="I15" s="79"/>
      <c r="J15" s="79"/>
      <c r="K15" s="79"/>
      <c r="L15" s="79"/>
      <c r="M15" s="79"/>
      <c r="N15" s="79"/>
      <c r="O15" s="80"/>
      <c r="P15" s="79"/>
      <c r="Q15" s="79"/>
      <c r="R15" s="80"/>
      <c r="S15" s="78">
        <f>IF($B15="",0,IF(COUNTIF('RECIPIENT PROFILES'!$B$6:$B$105,$B15)&gt;1,1,0))</f>
      </c>
      <c r="T15" s="75"/>
    </row>
    <row r="16" ht="17" customHeight="1" spans="1:20" x14ac:dyDescent="0.25">
      <c r="A16" s="75"/>
      <c r="B16" s="79"/>
      <c r="C16" s="79"/>
      <c r="D16" s="79"/>
      <c r="E16" s="82"/>
      <c r="F16" s="79"/>
      <c r="G16" s="79"/>
      <c r="H16" s="80"/>
      <c r="I16" s="79"/>
      <c r="J16" s="79"/>
      <c r="K16" s="79"/>
      <c r="L16" s="79"/>
      <c r="M16" s="79"/>
      <c r="N16" s="79"/>
      <c r="O16" s="80"/>
      <c r="P16" s="79"/>
      <c r="Q16" s="79"/>
      <c r="R16" s="80"/>
      <c r="S16" s="78">
        <f>IF($B16="",0,IF(COUNTIF('RECIPIENT PROFILES'!$B$6:$B$105,$B16)&gt;1,1,0))</f>
      </c>
      <c r="T16" s="75"/>
    </row>
    <row r="17" ht="17" customHeight="1" spans="1:20" x14ac:dyDescent="0.25">
      <c r="A17" s="75"/>
      <c r="B17" s="79"/>
      <c r="C17" s="79"/>
      <c r="D17" s="79"/>
      <c r="E17" s="82"/>
      <c r="F17" s="79"/>
      <c r="G17" s="79"/>
      <c r="H17" s="80"/>
      <c r="I17" s="79"/>
      <c r="J17" s="79"/>
      <c r="K17" s="79"/>
      <c r="L17" s="79"/>
      <c r="M17" s="79"/>
      <c r="N17" s="79"/>
      <c r="O17" s="80"/>
      <c r="P17" s="79"/>
      <c r="Q17" s="79"/>
      <c r="R17" s="80"/>
      <c r="S17" s="78">
        <f>IF($B17="",0,IF(COUNTIF('RECIPIENT PROFILES'!$B$6:$B$105,$B17)&gt;1,1,0))</f>
      </c>
      <c r="T17" s="75"/>
    </row>
    <row r="18" ht="17" customHeight="1" spans="1:20" x14ac:dyDescent="0.25">
      <c r="A18" s="75"/>
      <c r="B18" s="79"/>
      <c r="C18" s="79"/>
      <c r="D18" s="79"/>
      <c r="E18" s="82"/>
      <c r="F18" s="79"/>
      <c r="G18" s="79"/>
      <c r="H18" s="80"/>
      <c r="I18" s="79"/>
      <c r="J18" s="79"/>
      <c r="K18" s="79"/>
      <c r="L18" s="79"/>
      <c r="M18" s="79"/>
      <c r="N18" s="79"/>
      <c r="O18" s="80"/>
      <c r="P18" s="79"/>
      <c r="Q18" s="79"/>
      <c r="R18" s="80"/>
      <c r="S18" s="78">
        <f>IF($B18="",0,IF(COUNTIF('RECIPIENT PROFILES'!$B$6:$B$105,$B18)&gt;1,1,0))</f>
      </c>
      <c r="T18" s="75"/>
    </row>
    <row r="19" ht="17" customHeight="1" spans="1:20" x14ac:dyDescent="0.25">
      <c r="A19" s="75"/>
      <c r="B19" s="79"/>
      <c r="C19" s="79"/>
      <c r="D19" s="79"/>
      <c r="E19" s="82"/>
      <c r="F19" s="79"/>
      <c r="G19" s="79"/>
      <c r="H19" s="80"/>
      <c r="I19" s="79"/>
      <c r="J19" s="79"/>
      <c r="K19" s="79"/>
      <c r="L19" s="79"/>
      <c r="M19" s="79"/>
      <c r="N19" s="79"/>
      <c r="O19" s="80"/>
      <c r="P19" s="79"/>
      <c r="Q19" s="79"/>
      <c r="R19" s="80"/>
      <c r="S19" s="78">
        <f>IF($B19="",0,IF(COUNTIF('RECIPIENT PROFILES'!$B$6:$B$105,$B19)&gt;1,1,0))</f>
      </c>
      <c r="T19" s="75"/>
    </row>
    <row r="20" ht="17" customHeight="1" spans="1:20" x14ac:dyDescent="0.25">
      <c r="A20" s="75"/>
      <c r="B20" s="79"/>
      <c r="C20" s="79"/>
      <c r="D20" s="79"/>
      <c r="E20" s="82"/>
      <c r="F20" s="79"/>
      <c r="G20" s="79"/>
      <c r="H20" s="80"/>
      <c r="I20" s="79"/>
      <c r="J20" s="79"/>
      <c r="K20" s="79"/>
      <c r="L20" s="79"/>
      <c r="M20" s="79"/>
      <c r="N20" s="79"/>
      <c r="O20" s="80"/>
      <c r="P20" s="79"/>
      <c r="Q20" s="79"/>
      <c r="R20" s="80"/>
      <c r="S20" s="78">
        <f>IF($B20="",0,IF(COUNTIF('RECIPIENT PROFILES'!$B$6:$B$105,$B20)&gt;1,1,0))</f>
      </c>
      <c r="T20" s="75"/>
    </row>
    <row r="21" ht="17" customHeight="1" spans="1:20" x14ac:dyDescent="0.25">
      <c r="A21" s="75"/>
      <c r="B21" s="79"/>
      <c r="C21" s="79"/>
      <c r="D21" s="79"/>
      <c r="E21" s="82"/>
      <c r="F21" s="79"/>
      <c r="G21" s="79"/>
      <c r="H21" s="80"/>
      <c r="I21" s="79"/>
      <c r="J21" s="79"/>
      <c r="K21" s="79"/>
      <c r="L21" s="79"/>
      <c r="M21" s="79"/>
      <c r="N21" s="79"/>
      <c r="O21" s="80"/>
      <c r="P21" s="79"/>
      <c r="Q21" s="79"/>
      <c r="R21" s="80"/>
      <c r="S21" s="78">
        <f>IF($B21="",0,IF(COUNTIF('RECIPIENT PROFILES'!$B$6:$B$105,$B21)&gt;1,1,0))</f>
      </c>
      <c r="T21" s="75"/>
    </row>
    <row r="22" ht="17" customHeight="1" spans="1:20" x14ac:dyDescent="0.25">
      <c r="A22" s="75"/>
      <c r="B22" s="79"/>
      <c r="C22" s="79"/>
      <c r="D22" s="79"/>
      <c r="E22" s="82"/>
      <c r="F22" s="79"/>
      <c r="G22" s="79"/>
      <c r="H22" s="80"/>
      <c r="I22" s="79"/>
      <c r="J22" s="79"/>
      <c r="K22" s="79"/>
      <c r="L22" s="79"/>
      <c r="M22" s="79"/>
      <c r="N22" s="79"/>
      <c r="O22" s="80"/>
      <c r="P22" s="79"/>
      <c r="Q22" s="79"/>
      <c r="R22" s="80"/>
      <c r="S22" s="78">
        <f>IF($B22="",0,IF(COUNTIF('RECIPIENT PROFILES'!$B$6:$B$105,$B22)&gt;1,1,0))</f>
      </c>
      <c r="T22" s="75"/>
    </row>
    <row r="23" ht="17" customHeight="1" spans="1:20" x14ac:dyDescent="0.25">
      <c r="A23" s="75"/>
      <c r="B23" s="79"/>
      <c r="C23" s="79"/>
      <c r="D23" s="79"/>
      <c r="E23" s="82"/>
      <c r="F23" s="79"/>
      <c r="G23" s="79"/>
      <c r="H23" s="80"/>
      <c r="I23" s="79"/>
      <c r="J23" s="79"/>
      <c r="K23" s="79"/>
      <c r="L23" s="79"/>
      <c r="M23" s="79"/>
      <c r="N23" s="79"/>
      <c r="O23" s="80"/>
      <c r="P23" s="79"/>
      <c r="Q23" s="79"/>
      <c r="R23" s="80"/>
      <c r="S23" s="78">
        <f>IF($B23="",0,IF(COUNTIF('RECIPIENT PROFILES'!$B$6:$B$105,$B23)&gt;1,1,0))</f>
      </c>
      <c r="T23" s="75"/>
    </row>
    <row r="24" ht="17" customHeight="1" spans="1:20" x14ac:dyDescent="0.25">
      <c r="A24" s="75"/>
      <c r="B24" s="79"/>
      <c r="C24" s="79"/>
      <c r="D24" s="79"/>
      <c r="E24" s="82"/>
      <c r="F24" s="79"/>
      <c r="G24" s="79"/>
      <c r="H24" s="80"/>
      <c r="I24" s="79"/>
      <c r="J24" s="79"/>
      <c r="K24" s="79"/>
      <c r="L24" s="79"/>
      <c r="M24" s="79"/>
      <c r="N24" s="79"/>
      <c r="O24" s="80"/>
      <c r="P24" s="79"/>
      <c r="Q24" s="79"/>
      <c r="R24" s="80"/>
      <c r="S24" s="78">
        <f>IF($B24="",0,IF(COUNTIF('RECIPIENT PROFILES'!$B$6:$B$105,$B24)&gt;1,1,0))</f>
      </c>
      <c r="T24" s="75"/>
    </row>
    <row r="25" ht="17" customHeight="1" spans="1:20" x14ac:dyDescent="0.25">
      <c r="A25" s="75"/>
      <c r="B25" s="79"/>
      <c r="C25" s="79"/>
      <c r="D25" s="79"/>
      <c r="E25" s="82"/>
      <c r="F25" s="79"/>
      <c r="G25" s="79"/>
      <c r="H25" s="80"/>
      <c r="I25" s="79"/>
      <c r="J25" s="79"/>
      <c r="K25" s="79"/>
      <c r="L25" s="79"/>
      <c r="M25" s="79"/>
      <c r="N25" s="79"/>
      <c r="O25" s="80"/>
      <c r="P25" s="79"/>
      <c r="Q25" s="79"/>
      <c r="R25" s="80"/>
      <c r="S25" s="78">
        <f>IF($B25="",0,IF(COUNTIF('RECIPIENT PROFILES'!$B$6:$B$105,$B25)&gt;1,1,0))</f>
      </c>
      <c r="T25" s="75"/>
    </row>
    <row r="26" ht="17" customHeight="1" spans="1:20" x14ac:dyDescent="0.25">
      <c r="A26" s="75"/>
      <c r="B26" s="79"/>
      <c r="C26" s="79"/>
      <c r="D26" s="79"/>
      <c r="E26" s="82"/>
      <c r="F26" s="79"/>
      <c r="G26" s="79"/>
      <c r="H26" s="80"/>
      <c r="I26" s="79"/>
      <c r="J26" s="79"/>
      <c r="K26" s="79"/>
      <c r="L26" s="79"/>
      <c r="M26" s="79"/>
      <c r="N26" s="79"/>
      <c r="O26" s="80"/>
      <c r="P26" s="79"/>
      <c r="Q26" s="79"/>
      <c r="R26" s="80"/>
      <c r="S26" s="78">
        <f>IF($B26="",0,IF(COUNTIF('RECIPIENT PROFILES'!$B$6:$B$105,$B26)&gt;1,1,0))</f>
      </c>
      <c r="T26" s="75"/>
    </row>
    <row r="27" ht="17" customHeight="1" spans="1:20" x14ac:dyDescent="0.25">
      <c r="A27" s="75"/>
      <c r="B27" s="79"/>
      <c r="C27" s="79"/>
      <c r="D27" s="79"/>
      <c r="E27" s="82"/>
      <c r="F27" s="79"/>
      <c r="G27" s="79"/>
      <c r="H27" s="80"/>
      <c r="I27" s="79"/>
      <c r="J27" s="79"/>
      <c r="K27" s="79"/>
      <c r="L27" s="79"/>
      <c r="M27" s="79"/>
      <c r="N27" s="79"/>
      <c r="O27" s="80"/>
      <c r="P27" s="79"/>
      <c r="Q27" s="79"/>
      <c r="R27" s="80"/>
      <c r="S27" s="78">
        <f>IF($B27="",0,IF(COUNTIF('RECIPIENT PROFILES'!$B$6:$B$105,$B27)&gt;1,1,0))</f>
      </c>
      <c r="T27" s="75"/>
    </row>
    <row r="28" ht="17" customHeight="1" spans="1:20" x14ac:dyDescent="0.25">
      <c r="A28" s="75"/>
      <c r="B28" s="79"/>
      <c r="C28" s="79"/>
      <c r="D28" s="79"/>
      <c r="E28" s="82"/>
      <c r="F28" s="79"/>
      <c r="G28" s="79"/>
      <c r="H28" s="80"/>
      <c r="I28" s="79"/>
      <c r="J28" s="79"/>
      <c r="K28" s="79"/>
      <c r="L28" s="79"/>
      <c r="M28" s="79"/>
      <c r="N28" s="79"/>
      <c r="O28" s="80"/>
      <c r="P28" s="79"/>
      <c r="Q28" s="79"/>
      <c r="R28" s="80"/>
      <c r="S28" s="78">
        <f>IF($B28="",0,IF(COUNTIF('RECIPIENT PROFILES'!$B$6:$B$105,$B28)&gt;1,1,0))</f>
      </c>
      <c r="T28" s="75"/>
    </row>
    <row r="29" ht="17" customHeight="1" spans="1:20" x14ac:dyDescent="0.25">
      <c r="A29" s="75"/>
      <c r="B29" s="79"/>
      <c r="C29" s="79"/>
      <c r="D29" s="79"/>
      <c r="E29" s="82"/>
      <c r="F29" s="79"/>
      <c r="G29" s="79"/>
      <c r="H29" s="80"/>
      <c r="I29" s="79"/>
      <c r="J29" s="79"/>
      <c r="K29" s="79"/>
      <c r="L29" s="79"/>
      <c r="M29" s="79"/>
      <c r="N29" s="79"/>
      <c r="O29" s="80"/>
      <c r="P29" s="79"/>
      <c r="Q29" s="79"/>
      <c r="R29" s="80"/>
      <c r="S29" s="78">
        <f>IF($B29="",0,IF(COUNTIF('RECIPIENT PROFILES'!$B$6:$B$105,$B29)&gt;1,1,0))</f>
      </c>
      <c r="T29" s="75"/>
    </row>
    <row r="30" ht="17" customHeight="1" spans="1:20" x14ac:dyDescent="0.25">
      <c r="A30" s="75"/>
      <c r="B30" s="79"/>
      <c r="C30" s="79"/>
      <c r="D30" s="79"/>
      <c r="E30" s="82"/>
      <c r="F30" s="79"/>
      <c r="G30" s="79"/>
      <c r="H30" s="80"/>
      <c r="I30" s="79"/>
      <c r="J30" s="79"/>
      <c r="K30" s="79"/>
      <c r="L30" s="79"/>
      <c r="M30" s="79"/>
      <c r="N30" s="79"/>
      <c r="O30" s="80"/>
      <c r="P30" s="79"/>
      <c r="Q30" s="79"/>
      <c r="R30" s="80"/>
      <c r="S30" s="78">
        <f>IF($B30="",0,IF(COUNTIF('RECIPIENT PROFILES'!$B$6:$B$105,$B30)&gt;1,1,0))</f>
      </c>
      <c r="T30" s="75"/>
    </row>
    <row r="31" ht="17" customHeight="1" spans="1:20" x14ac:dyDescent="0.25">
      <c r="A31" s="75"/>
      <c r="B31" s="79"/>
      <c r="C31" s="79"/>
      <c r="D31" s="79"/>
      <c r="E31" s="82"/>
      <c r="F31" s="79"/>
      <c r="G31" s="79"/>
      <c r="H31" s="80"/>
      <c r="I31" s="79"/>
      <c r="J31" s="79"/>
      <c r="K31" s="79"/>
      <c r="L31" s="79"/>
      <c r="M31" s="79"/>
      <c r="N31" s="79"/>
      <c r="O31" s="80"/>
      <c r="P31" s="79"/>
      <c r="Q31" s="79"/>
      <c r="R31" s="80"/>
      <c r="S31" s="78">
        <f>IF($B31="",0,IF(COUNTIF('RECIPIENT PROFILES'!$B$6:$B$105,$B31)&gt;1,1,0))</f>
      </c>
      <c r="T31" s="75"/>
    </row>
    <row r="32" ht="17" customHeight="1" spans="1:20" x14ac:dyDescent="0.25">
      <c r="A32" s="75"/>
      <c r="B32" s="79"/>
      <c r="C32" s="79"/>
      <c r="D32" s="79"/>
      <c r="E32" s="82"/>
      <c r="F32" s="79"/>
      <c r="G32" s="79"/>
      <c r="H32" s="80"/>
      <c r="I32" s="79"/>
      <c r="J32" s="79"/>
      <c r="K32" s="79"/>
      <c r="L32" s="79"/>
      <c r="M32" s="79"/>
      <c r="N32" s="79"/>
      <c r="O32" s="80"/>
      <c r="P32" s="79"/>
      <c r="Q32" s="79"/>
      <c r="R32" s="80"/>
      <c r="S32" s="78">
        <f>IF($B32="",0,IF(COUNTIF('RECIPIENT PROFILES'!$B$6:$B$105,$B32)&gt;1,1,0))</f>
      </c>
      <c r="T32" s="75"/>
    </row>
    <row r="33" ht="17" customHeight="1" spans="1:20" x14ac:dyDescent="0.25">
      <c r="A33" s="75"/>
      <c r="B33" s="79"/>
      <c r="C33" s="79"/>
      <c r="D33" s="79"/>
      <c r="E33" s="82"/>
      <c r="F33" s="79"/>
      <c r="G33" s="79"/>
      <c r="H33" s="80"/>
      <c r="I33" s="79"/>
      <c r="J33" s="79"/>
      <c r="K33" s="79"/>
      <c r="L33" s="79"/>
      <c r="M33" s="79"/>
      <c r="N33" s="79"/>
      <c r="O33" s="80"/>
      <c r="P33" s="79"/>
      <c r="Q33" s="79"/>
      <c r="R33" s="80"/>
      <c r="S33" s="78">
        <f>IF($B33="",0,IF(COUNTIF('RECIPIENT PROFILES'!$B$6:$B$105,$B33)&gt;1,1,0))</f>
      </c>
      <c r="T33" s="75"/>
    </row>
    <row r="34" ht="17" customHeight="1" spans="1:20" x14ac:dyDescent="0.25">
      <c r="A34" s="75"/>
      <c r="B34" s="79"/>
      <c r="C34" s="79"/>
      <c r="D34" s="79"/>
      <c r="E34" s="82"/>
      <c r="F34" s="79"/>
      <c r="G34" s="79"/>
      <c r="H34" s="80"/>
      <c r="I34" s="79"/>
      <c r="J34" s="79"/>
      <c r="K34" s="79"/>
      <c r="L34" s="79"/>
      <c r="M34" s="79"/>
      <c r="N34" s="79"/>
      <c r="O34" s="80"/>
      <c r="P34" s="79"/>
      <c r="Q34" s="79"/>
      <c r="R34" s="80"/>
      <c r="S34" s="78">
        <f>IF($B34="",0,IF(COUNTIF('RECIPIENT PROFILES'!$B$6:$B$105,$B34)&gt;1,1,0))</f>
      </c>
      <c r="T34" s="75"/>
    </row>
    <row r="35" ht="17" customHeight="1" spans="1:20" x14ac:dyDescent="0.25">
      <c r="A35" s="75"/>
      <c r="B35" s="79"/>
      <c r="C35" s="79"/>
      <c r="D35" s="79"/>
      <c r="E35" s="82"/>
      <c r="F35" s="79"/>
      <c r="G35" s="79"/>
      <c r="H35" s="80"/>
      <c r="I35" s="79"/>
      <c r="J35" s="79"/>
      <c r="K35" s="79"/>
      <c r="L35" s="79"/>
      <c r="M35" s="79"/>
      <c r="N35" s="79"/>
      <c r="O35" s="80"/>
      <c r="P35" s="79"/>
      <c r="Q35" s="79"/>
      <c r="R35" s="80"/>
      <c r="S35" s="78">
        <f>IF($B35="",0,IF(COUNTIF('RECIPIENT PROFILES'!$B$6:$B$105,$B35)&gt;1,1,0))</f>
      </c>
      <c r="T35" s="75"/>
    </row>
    <row r="36" ht="17" customHeight="1" spans="1:20" x14ac:dyDescent="0.25">
      <c r="A36" s="75"/>
      <c r="B36" s="79"/>
      <c r="C36" s="79"/>
      <c r="D36" s="79"/>
      <c r="E36" s="82"/>
      <c r="F36" s="79"/>
      <c r="G36" s="79"/>
      <c r="H36" s="80"/>
      <c r="I36" s="79"/>
      <c r="J36" s="79"/>
      <c r="K36" s="79"/>
      <c r="L36" s="79"/>
      <c r="M36" s="79"/>
      <c r="N36" s="79"/>
      <c r="O36" s="80"/>
      <c r="P36" s="79"/>
      <c r="Q36" s="79"/>
      <c r="R36" s="80"/>
      <c r="S36" s="78">
        <f>IF($B36="",0,IF(COUNTIF('RECIPIENT PROFILES'!$B$6:$B$105,$B36)&gt;1,1,0))</f>
      </c>
      <c r="T36" s="75"/>
    </row>
    <row r="37" ht="17" customHeight="1" spans="1:20" x14ac:dyDescent="0.25">
      <c r="A37" s="75"/>
      <c r="B37" s="79"/>
      <c r="C37" s="79"/>
      <c r="D37" s="79"/>
      <c r="E37" s="82"/>
      <c r="F37" s="79"/>
      <c r="G37" s="79"/>
      <c r="H37" s="80"/>
      <c r="I37" s="79"/>
      <c r="J37" s="79"/>
      <c r="K37" s="79"/>
      <c r="L37" s="79"/>
      <c r="M37" s="79"/>
      <c r="N37" s="79"/>
      <c r="O37" s="80"/>
      <c r="P37" s="79"/>
      <c r="Q37" s="79"/>
      <c r="R37" s="80"/>
      <c r="S37" s="78">
        <f>IF($B37="",0,IF(COUNTIF('RECIPIENT PROFILES'!$B$6:$B$105,$B37)&gt;1,1,0))</f>
      </c>
      <c r="T37" s="75"/>
    </row>
    <row r="38" ht="17" customHeight="1" spans="1:20" x14ac:dyDescent="0.25">
      <c r="A38" s="75"/>
      <c r="B38" s="79"/>
      <c r="C38" s="79"/>
      <c r="D38" s="79"/>
      <c r="E38" s="82"/>
      <c r="F38" s="79"/>
      <c r="G38" s="79"/>
      <c r="H38" s="80"/>
      <c r="I38" s="79"/>
      <c r="J38" s="79"/>
      <c r="K38" s="79"/>
      <c r="L38" s="79"/>
      <c r="M38" s="79"/>
      <c r="N38" s="79"/>
      <c r="O38" s="80"/>
      <c r="P38" s="79"/>
      <c r="Q38" s="79"/>
      <c r="R38" s="80"/>
      <c r="S38" s="78">
        <f>IF($B38="",0,IF(COUNTIF('RECIPIENT PROFILES'!$B$6:$B$105,$B38)&gt;1,1,0))</f>
      </c>
      <c r="T38" s="75"/>
    </row>
    <row r="39" ht="17" customHeight="1" spans="1:20" x14ac:dyDescent="0.25">
      <c r="A39" s="75"/>
      <c r="B39" s="79"/>
      <c r="C39" s="79"/>
      <c r="D39" s="79"/>
      <c r="E39" s="82"/>
      <c r="F39" s="79"/>
      <c r="G39" s="79"/>
      <c r="H39" s="80"/>
      <c r="I39" s="79"/>
      <c r="J39" s="79"/>
      <c r="K39" s="79"/>
      <c r="L39" s="79"/>
      <c r="M39" s="79"/>
      <c r="N39" s="79"/>
      <c r="O39" s="80"/>
      <c r="P39" s="79"/>
      <c r="Q39" s="79"/>
      <c r="R39" s="80"/>
      <c r="S39" s="78">
        <f>IF($B39="",0,IF(COUNTIF('RECIPIENT PROFILES'!$B$6:$B$105,$B39)&gt;1,1,0))</f>
      </c>
      <c r="T39" s="75"/>
    </row>
    <row r="40" ht="17" customHeight="1" spans="1:20" x14ac:dyDescent="0.25">
      <c r="A40" s="75"/>
      <c r="B40" s="79"/>
      <c r="C40" s="79"/>
      <c r="D40" s="79"/>
      <c r="E40" s="82"/>
      <c r="F40" s="79"/>
      <c r="G40" s="79"/>
      <c r="H40" s="80"/>
      <c r="I40" s="79"/>
      <c r="J40" s="79"/>
      <c r="K40" s="79"/>
      <c r="L40" s="79"/>
      <c r="M40" s="79"/>
      <c r="N40" s="79"/>
      <c r="O40" s="80"/>
      <c r="P40" s="79"/>
      <c r="Q40" s="79"/>
      <c r="R40" s="80"/>
      <c r="S40" s="78">
        <f>IF($B40="",0,IF(COUNTIF('RECIPIENT PROFILES'!$B$6:$B$105,$B40)&gt;1,1,0))</f>
      </c>
      <c r="T40" s="75"/>
    </row>
    <row r="41" ht="17" customHeight="1" spans="1:20" x14ac:dyDescent="0.25">
      <c r="A41" s="75"/>
      <c r="B41" s="79"/>
      <c r="C41" s="79"/>
      <c r="D41" s="79"/>
      <c r="E41" s="82"/>
      <c r="F41" s="79"/>
      <c r="G41" s="79"/>
      <c r="H41" s="80"/>
      <c r="I41" s="79"/>
      <c r="J41" s="79"/>
      <c r="K41" s="79"/>
      <c r="L41" s="79"/>
      <c r="M41" s="79"/>
      <c r="N41" s="79"/>
      <c r="O41" s="80"/>
      <c r="P41" s="79"/>
      <c r="Q41" s="79"/>
      <c r="R41" s="80"/>
      <c r="S41" s="78">
        <f>IF($B41="",0,IF(COUNTIF('RECIPIENT PROFILES'!$B$6:$B$105,$B41)&gt;1,1,0))</f>
      </c>
      <c r="T41" s="75"/>
    </row>
    <row r="42" ht="17" customHeight="1" spans="1:20" x14ac:dyDescent="0.25">
      <c r="A42" s="75"/>
      <c r="B42" s="79"/>
      <c r="C42" s="79"/>
      <c r="D42" s="79"/>
      <c r="E42" s="82"/>
      <c r="F42" s="79"/>
      <c r="G42" s="79"/>
      <c r="H42" s="80"/>
      <c r="I42" s="79"/>
      <c r="J42" s="79"/>
      <c r="K42" s="79"/>
      <c r="L42" s="79"/>
      <c r="M42" s="79"/>
      <c r="N42" s="79"/>
      <c r="O42" s="80"/>
      <c r="P42" s="79"/>
      <c r="Q42" s="79"/>
      <c r="R42" s="80"/>
      <c r="S42" s="78">
        <f>IF($B42="",0,IF(COUNTIF('RECIPIENT PROFILES'!$B$6:$B$105,$B42)&gt;1,1,0))</f>
      </c>
      <c r="T42" s="75"/>
    </row>
    <row r="43" ht="17" customHeight="1" spans="1:20" x14ac:dyDescent="0.25">
      <c r="A43" s="75"/>
      <c r="B43" s="79"/>
      <c r="C43" s="79"/>
      <c r="D43" s="79"/>
      <c r="E43" s="82"/>
      <c r="F43" s="79"/>
      <c r="G43" s="79"/>
      <c r="H43" s="80"/>
      <c r="I43" s="79"/>
      <c r="J43" s="79"/>
      <c r="K43" s="79"/>
      <c r="L43" s="79"/>
      <c r="M43" s="79"/>
      <c r="N43" s="79"/>
      <c r="O43" s="80"/>
      <c r="P43" s="79"/>
      <c r="Q43" s="79"/>
      <c r="R43" s="80"/>
      <c r="S43" s="78">
        <f>IF($B43="",0,IF(COUNTIF('RECIPIENT PROFILES'!$B$6:$B$105,$B43)&gt;1,1,0))</f>
      </c>
      <c r="T43" s="75"/>
    </row>
    <row r="44" ht="17" customHeight="1" spans="1:20" x14ac:dyDescent="0.25">
      <c r="A44" s="75"/>
      <c r="B44" s="79"/>
      <c r="C44" s="79"/>
      <c r="D44" s="79"/>
      <c r="E44" s="82"/>
      <c r="F44" s="79"/>
      <c r="G44" s="79"/>
      <c r="H44" s="80"/>
      <c r="I44" s="79"/>
      <c r="J44" s="79"/>
      <c r="K44" s="79"/>
      <c r="L44" s="79"/>
      <c r="M44" s="79"/>
      <c r="N44" s="79"/>
      <c r="O44" s="80"/>
      <c r="P44" s="79"/>
      <c r="Q44" s="79"/>
      <c r="R44" s="80"/>
      <c r="S44" s="78">
        <f>IF($B44="",0,IF(COUNTIF('RECIPIENT PROFILES'!$B$6:$B$105,$B44)&gt;1,1,0))</f>
      </c>
      <c r="T44" s="75"/>
    </row>
    <row r="45" ht="17" customHeight="1" spans="1:20" x14ac:dyDescent="0.25">
      <c r="A45" s="75"/>
      <c r="B45" s="79"/>
      <c r="C45" s="79"/>
      <c r="D45" s="79"/>
      <c r="E45" s="82"/>
      <c r="F45" s="79"/>
      <c r="G45" s="79"/>
      <c r="H45" s="80"/>
      <c r="I45" s="79"/>
      <c r="J45" s="79"/>
      <c r="K45" s="79"/>
      <c r="L45" s="79"/>
      <c r="M45" s="79"/>
      <c r="N45" s="79"/>
      <c r="O45" s="80"/>
      <c r="P45" s="79"/>
      <c r="Q45" s="79"/>
      <c r="R45" s="80"/>
      <c r="S45" s="78">
        <f>IF($B45="",0,IF(COUNTIF('RECIPIENT PROFILES'!$B$6:$B$105,$B45)&gt;1,1,0))</f>
      </c>
      <c r="T45" s="75"/>
    </row>
    <row r="46" ht="17" customHeight="1" spans="1:20" x14ac:dyDescent="0.25">
      <c r="A46" s="75"/>
      <c r="B46" s="79"/>
      <c r="C46" s="79"/>
      <c r="D46" s="79"/>
      <c r="E46" s="82"/>
      <c r="F46" s="79"/>
      <c r="G46" s="79"/>
      <c r="H46" s="80"/>
      <c r="I46" s="79"/>
      <c r="J46" s="79"/>
      <c r="K46" s="79"/>
      <c r="L46" s="79"/>
      <c r="M46" s="79"/>
      <c r="N46" s="79"/>
      <c r="O46" s="80"/>
      <c r="P46" s="79"/>
      <c r="Q46" s="79"/>
      <c r="R46" s="80"/>
      <c r="S46" s="78">
        <f>IF($B46="",0,IF(COUNTIF('RECIPIENT PROFILES'!$B$6:$B$105,$B46)&gt;1,1,0))</f>
      </c>
      <c r="T46" s="75"/>
    </row>
    <row r="47" ht="17" customHeight="1" spans="1:20" x14ac:dyDescent="0.25">
      <c r="A47" s="75"/>
      <c r="B47" s="79"/>
      <c r="C47" s="79"/>
      <c r="D47" s="79"/>
      <c r="E47" s="82"/>
      <c r="F47" s="79"/>
      <c r="G47" s="79"/>
      <c r="H47" s="80"/>
      <c r="I47" s="79"/>
      <c r="J47" s="79"/>
      <c r="K47" s="79"/>
      <c r="L47" s="79"/>
      <c r="M47" s="79"/>
      <c r="N47" s="79"/>
      <c r="O47" s="80"/>
      <c r="P47" s="79"/>
      <c r="Q47" s="79"/>
      <c r="R47" s="80"/>
      <c r="S47" s="78">
        <f>IF($B47="",0,IF(COUNTIF('RECIPIENT PROFILES'!$B$6:$B$105,$B47)&gt;1,1,0))</f>
      </c>
      <c r="T47" s="75"/>
    </row>
    <row r="48" ht="17" customHeight="1" spans="1:20" x14ac:dyDescent="0.25">
      <c r="A48" s="75"/>
      <c r="B48" s="79"/>
      <c r="C48" s="79"/>
      <c r="D48" s="79"/>
      <c r="E48" s="82"/>
      <c r="F48" s="79"/>
      <c r="G48" s="79"/>
      <c r="H48" s="80"/>
      <c r="I48" s="79"/>
      <c r="J48" s="79"/>
      <c r="K48" s="79"/>
      <c r="L48" s="79"/>
      <c r="M48" s="79"/>
      <c r="N48" s="79"/>
      <c r="O48" s="80"/>
      <c r="P48" s="79"/>
      <c r="Q48" s="79"/>
      <c r="R48" s="80"/>
      <c r="S48" s="78">
        <f>IF($B48="",0,IF(COUNTIF('RECIPIENT PROFILES'!$B$6:$B$105,$B48)&gt;1,1,0))</f>
      </c>
      <c r="T48" s="75"/>
    </row>
    <row r="49" ht="17" customHeight="1" spans="1:20" x14ac:dyDescent="0.25">
      <c r="A49" s="75"/>
      <c r="B49" s="79"/>
      <c r="C49" s="79"/>
      <c r="D49" s="79"/>
      <c r="E49" s="82"/>
      <c r="F49" s="79"/>
      <c r="G49" s="79"/>
      <c r="H49" s="80"/>
      <c r="I49" s="79"/>
      <c r="J49" s="79"/>
      <c r="K49" s="79"/>
      <c r="L49" s="79"/>
      <c r="M49" s="79"/>
      <c r="N49" s="79"/>
      <c r="O49" s="80"/>
      <c r="P49" s="79"/>
      <c r="Q49" s="79"/>
      <c r="R49" s="80"/>
      <c r="S49" s="78">
        <f>IF($B49="",0,IF(COUNTIF('RECIPIENT PROFILES'!$B$6:$B$105,$B49)&gt;1,1,0))</f>
      </c>
      <c r="T49" s="75"/>
    </row>
    <row r="50" ht="17" customHeight="1" spans="1:20" x14ac:dyDescent="0.25">
      <c r="A50" s="75"/>
      <c r="B50" s="79"/>
      <c r="C50" s="79"/>
      <c r="D50" s="79"/>
      <c r="E50" s="82"/>
      <c r="F50" s="79"/>
      <c r="G50" s="79"/>
      <c r="H50" s="80"/>
      <c r="I50" s="79"/>
      <c r="J50" s="79"/>
      <c r="K50" s="79"/>
      <c r="L50" s="79"/>
      <c r="M50" s="79"/>
      <c r="N50" s="79"/>
      <c r="O50" s="80"/>
      <c r="P50" s="79"/>
      <c r="Q50" s="79"/>
      <c r="R50" s="80"/>
      <c r="S50" s="78">
        <f>IF($B50="",0,IF(COUNTIF('RECIPIENT PROFILES'!$B$6:$B$105,$B50)&gt;1,1,0))</f>
      </c>
      <c r="T50" s="75"/>
    </row>
    <row r="51" ht="17" customHeight="1" spans="1:20" x14ac:dyDescent="0.25">
      <c r="A51" s="75"/>
      <c r="B51" s="79"/>
      <c r="C51" s="79"/>
      <c r="D51" s="79"/>
      <c r="E51" s="82"/>
      <c r="F51" s="79"/>
      <c r="G51" s="79"/>
      <c r="H51" s="80"/>
      <c r="I51" s="79"/>
      <c r="J51" s="79"/>
      <c r="K51" s="79"/>
      <c r="L51" s="79"/>
      <c r="M51" s="79"/>
      <c r="N51" s="79"/>
      <c r="O51" s="80"/>
      <c r="P51" s="79"/>
      <c r="Q51" s="79"/>
      <c r="R51" s="80"/>
      <c r="S51" s="78">
        <f>IF($B51="",0,IF(COUNTIF('RECIPIENT PROFILES'!$B$6:$B$105,$B51)&gt;1,1,0))</f>
      </c>
      <c r="T51" s="75"/>
    </row>
    <row r="52" ht="17" customHeight="1" spans="1:20" x14ac:dyDescent="0.25">
      <c r="A52" s="75"/>
      <c r="B52" s="79"/>
      <c r="C52" s="79"/>
      <c r="D52" s="79"/>
      <c r="E52" s="82"/>
      <c r="F52" s="79"/>
      <c r="G52" s="79"/>
      <c r="H52" s="80"/>
      <c r="I52" s="79"/>
      <c r="J52" s="79"/>
      <c r="K52" s="79"/>
      <c r="L52" s="79"/>
      <c r="M52" s="79"/>
      <c r="N52" s="79"/>
      <c r="O52" s="80"/>
      <c r="P52" s="79"/>
      <c r="Q52" s="79"/>
      <c r="R52" s="80"/>
      <c r="S52" s="78">
        <f>IF($B52="",0,IF(COUNTIF('RECIPIENT PROFILES'!$B$6:$B$105,$B52)&gt;1,1,0))</f>
      </c>
      <c r="T52" s="75"/>
    </row>
    <row r="53" ht="17" customHeight="1" spans="1:20" x14ac:dyDescent="0.25">
      <c r="A53" s="75"/>
      <c r="B53" s="79"/>
      <c r="C53" s="79"/>
      <c r="D53" s="79"/>
      <c r="E53" s="82"/>
      <c r="F53" s="79"/>
      <c r="G53" s="79"/>
      <c r="H53" s="80"/>
      <c r="I53" s="79"/>
      <c r="J53" s="79"/>
      <c r="K53" s="79"/>
      <c r="L53" s="79"/>
      <c r="M53" s="79"/>
      <c r="N53" s="79"/>
      <c r="O53" s="80"/>
      <c r="P53" s="79"/>
      <c r="Q53" s="79"/>
      <c r="R53" s="80"/>
      <c r="S53" s="78">
        <f>IF($B53="",0,IF(COUNTIF('RECIPIENT PROFILES'!$B$6:$B$105,$B53)&gt;1,1,0))</f>
      </c>
      <c r="T53" s="75"/>
    </row>
    <row r="54" ht="17" customHeight="1" spans="1:20" x14ac:dyDescent="0.25">
      <c r="A54" s="75"/>
      <c r="B54" s="79"/>
      <c r="C54" s="79"/>
      <c r="D54" s="79"/>
      <c r="E54" s="82"/>
      <c r="F54" s="79"/>
      <c r="G54" s="79"/>
      <c r="H54" s="80"/>
      <c r="I54" s="79"/>
      <c r="J54" s="79"/>
      <c r="K54" s="79"/>
      <c r="L54" s="79"/>
      <c r="M54" s="79"/>
      <c r="N54" s="79"/>
      <c r="O54" s="80"/>
      <c r="P54" s="79"/>
      <c r="Q54" s="79"/>
      <c r="R54" s="80"/>
      <c r="S54" s="78">
        <f>IF($B54="",0,IF(COUNTIF('RECIPIENT PROFILES'!$B$6:$B$105,$B54)&gt;1,1,0))</f>
      </c>
      <c r="T54" s="75"/>
    </row>
    <row r="55" ht="17" customHeight="1" spans="1:20" x14ac:dyDescent="0.25">
      <c r="A55" s="75"/>
      <c r="B55" s="79"/>
      <c r="C55" s="79"/>
      <c r="D55" s="79"/>
      <c r="E55" s="82"/>
      <c r="F55" s="79"/>
      <c r="G55" s="79"/>
      <c r="H55" s="80"/>
      <c r="I55" s="79"/>
      <c r="J55" s="79"/>
      <c r="K55" s="79"/>
      <c r="L55" s="79"/>
      <c r="M55" s="79"/>
      <c r="N55" s="79"/>
      <c r="O55" s="80"/>
      <c r="P55" s="79"/>
      <c r="Q55" s="79"/>
      <c r="R55" s="80"/>
      <c r="S55" s="78">
        <f>IF($B55="",0,IF(COUNTIF('RECIPIENT PROFILES'!$B$6:$B$105,$B55)&gt;1,1,0))</f>
      </c>
      <c r="T55" s="75"/>
    </row>
    <row r="56" ht="17" customHeight="1" spans="1:20" x14ac:dyDescent="0.25">
      <c r="A56" s="75"/>
      <c r="B56" s="79"/>
      <c r="C56" s="79"/>
      <c r="D56" s="79"/>
      <c r="E56" s="82"/>
      <c r="F56" s="79"/>
      <c r="G56" s="79"/>
      <c r="H56" s="80"/>
      <c r="I56" s="79"/>
      <c r="J56" s="79"/>
      <c r="K56" s="79"/>
      <c r="L56" s="79"/>
      <c r="M56" s="79"/>
      <c r="N56" s="79"/>
      <c r="O56" s="80"/>
      <c r="P56" s="79"/>
      <c r="Q56" s="79"/>
      <c r="R56" s="80"/>
      <c r="S56" s="78">
        <f>IF($B56="",0,IF(COUNTIF('RECIPIENT PROFILES'!$B$6:$B$105,$B56)&gt;1,1,0))</f>
      </c>
      <c r="T56" s="75"/>
    </row>
    <row r="57" ht="17" customHeight="1" spans="1:20" x14ac:dyDescent="0.25">
      <c r="A57" s="75"/>
      <c r="B57" s="79"/>
      <c r="C57" s="79"/>
      <c r="D57" s="79"/>
      <c r="E57" s="82"/>
      <c r="F57" s="79"/>
      <c r="G57" s="79"/>
      <c r="H57" s="80"/>
      <c r="I57" s="79"/>
      <c r="J57" s="79"/>
      <c r="K57" s="79"/>
      <c r="L57" s="79"/>
      <c r="M57" s="79"/>
      <c r="N57" s="79"/>
      <c r="O57" s="80"/>
      <c r="P57" s="79"/>
      <c r="Q57" s="79"/>
      <c r="R57" s="80"/>
      <c r="S57" s="78">
        <f>IF($B57="",0,IF(COUNTIF('RECIPIENT PROFILES'!$B$6:$B$105,$B57)&gt;1,1,0))</f>
      </c>
      <c r="T57" s="75"/>
    </row>
    <row r="58" ht="17" customHeight="1" spans="1:20" x14ac:dyDescent="0.25">
      <c r="A58" s="75"/>
      <c r="B58" s="79"/>
      <c r="C58" s="79"/>
      <c r="D58" s="79"/>
      <c r="E58" s="82"/>
      <c r="F58" s="79"/>
      <c r="G58" s="79"/>
      <c r="H58" s="80"/>
      <c r="I58" s="79"/>
      <c r="J58" s="79"/>
      <c r="K58" s="79"/>
      <c r="L58" s="79"/>
      <c r="M58" s="79"/>
      <c r="N58" s="79"/>
      <c r="O58" s="80"/>
      <c r="P58" s="79"/>
      <c r="Q58" s="79"/>
      <c r="R58" s="80"/>
      <c r="S58" s="78">
        <f>IF($B58="",0,IF(COUNTIF('RECIPIENT PROFILES'!$B$6:$B$105,$B58)&gt;1,1,0))</f>
      </c>
      <c r="T58" s="75"/>
    </row>
    <row r="59" ht="17" customHeight="1" spans="1:20" x14ac:dyDescent="0.25">
      <c r="A59" s="75"/>
      <c r="B59" s="79"/>
      <c r="C59" s="79"/>
      <c r="D59" s="79"/>
      <c r="E59" s="82"/>
      <c r="F59" s="79"/>
      <c r="G59" s="79"/>
      <c r="H59" s="80"/>
      <c r="I59" s="79"/>
      <c r="J59" s="79"/>
      <c r="K59" s="79"/>
      <c r="L59" s="79"/>
      <c r="M59" s="79"/>
      <c r="N59" s="79"/>
      <c r="O59" s="80"/>
      <c r="P59" s="79"/>
      <c r="Q59" s="79"/>
      <c r="R59" s="80"/>
      <c r="S59" s="78">
        <f>IF($B59="",0,IF(COUNTIF('RECIPIENT PROFILES'!$B$6:$B$105,$B59)&gt;1,1,0))</f>
      </c>
      <c r="T59" s="75"/>
    </row>
    <row r="60" ht="17" customHeight="1" spans="1:20" x14ac:dyDescent="0.25">
      <c r="A60" s="75"/>
      <c r="B60" s="79"/>
      <c r="C60" s="79"/>
      <c r="D60" s="79"/>
      <c r="E60" s="82"/>
      <c r="F60" s="79"/>
      <c r="G60" s="79"/>
      <c r="H60" s="80"/>
      <c r="I60" s="79"/>
      <c r="J60" s="79"/>
      <c r="K60" s="79"/>
      <c r="L60" s="79"/>
      <c r="M60" s="79"/>
      <c r="N60" s="79"/>
      <c r="O60" s="80"/>
      <c r="P60" s="79"/>
      <c r="Q60" s="79"/>
      <c r="R60" s="80"/>
      <c r="S60" s="78">
        <f>IF($B60="",0,IF(COUNTIF('RECIPIENT PROFILES'!$B$6:$B$105,$B60)&gt;1,1,0))</f>
      </c>
      <c r="T60" s="75"/>
    </row>
    <row r="61" ht="17" customHeight="1" spans="1:20" x14ac:dyDescent="0.25">
      <c r="A61" s="75"/>
      <c r="B61" s="79"/>
      <c r="C61" s="79"/>
      <c r="D61" s="79"/>
      <c r="E61" s="82"/>
      <c r="F61" s="79"/>
      <c r="G61" s="79"/>
      <c r="H61" s="80"/>
      <c r="I61" s="79"/>
      <c r="J61" s="79"/>
      <c r="K61" s="79"/>
      <c r="L61" s="79"/>
      <c r="M61" s="79"/>
      <c r="N61" s="79"/>
      <c r="O61" s="80"/>
      <c r="P61" s="79"/>
      <c r="Q61" s="79"/>
      <c r="R61" s="80"/>
      <c r="S61" s="78">
        <f>IF($B61="",0,IF(COUNTIF('RECIPIENT PROFILES'!$B$6:$B$105,$B61)&gt;1,1,0))</f>
      </c>
      <c r="T61" s="75"/>
    </row>
    <row r="62" ht="17" customHeight="1" spans="1:20" x14ac:dyDescent="0.25">
      <c r="A62" s="75"/>
      <c r="B62" s="79"/>
      <c r="C62" s="79"/>
      <c r="D62" s="79"/>
      <c r="E62" s="82"/>
      <c r="F62" s="79"/>
      <c r="G62" s="79"/>
      <c r="H62" s="80"/>
      <c r="I62" s="79"/>
      <c r="J62" s="79"/>
      <c r="K62" s="79"/>
      <c r="L62" s="79"/>
      <c r="M62" s="79"/>
      <c r="N62" s="79"/>
      <c r="O62" s="80"/>
      <c r="P62" s="79"/>
      <c r="Q62" s="79"/>
      <c r="R62" s="80"/>
      <c r="S62" s="78">
        <f>IF($B62="",0,IF(COUNTIF('RECIPIENT PROFILES'!$B$6:$B$105,$B62)&gt;1,1,0))</f>
      </c>
      <c r="T62" s="75"/>
    </row>
    <row r="63" ht="17" customHeight="1" spans="1:20" x14ac:dyDescent="0.25">
      <c r="A63" s="75"/>
      <c r="B63" s="79"/>
      <c r="C63" s="79"/>
      <c r="D63" s="79"/>
      <c r="E63" s="82"/>
      <c r="F63" s="79"/>
      <c r="G63" s="79"/>
      <c r="H63" s="80"/>
      <c r="I63" s="79"/>
      <c r="J63" s="79"/>
      <c r="K63" s="79"/>
      <c r="L63" s="79"/>
      <c r="M63" s="79"/>
      <c r="N63" s="79"/>
      <c r="O63" s="80"/>
      <c r="P63" s="79"/>
      <c r="Q63" s="79"/>
      <c r="R63" s="80"/>
      <c r="S63" s="78">
        <f>IF($B63="",0,IF(COUNTIF('RECIPIENT PROFILES'!$B$6:$B$105,$B63)&gt;1,1,0))</f>
      </c>
      <c r="T63" s="75"/>
    </row>
    <row r="64" ht="17" customHeight="1" spans="1:20" x14ac:dyDescent="0.25">
      <c r="A64" s="75"/>
      <c r="B64" s="79"/>
      <c r="C64" s="79"/>
      <c r="D64" s="79"/>
      <c r="E64" s="82"/>
      <c r="F64" s="79"/>
      <c r="G64" s="79"/>
      <c r="H64" s="80"/>
      <c r="I64" s="79"/>
      <c r="J64" s="79"/>
      <c r="K64" s="79"/>
      <c r="L64" s="79"/>
      <c r="M64" s="79"/>
      <c r="N64" s="79"/>
      <c r="O64" s="80"/>
      <c r="P64" s="79"/>
      <c r="Q64" s="79"/>
      <c r="R64" s="80"/>
      <c r="S64" s="78">
        <f>IF($B64="",0,IF(COUNTIF('RECIPIENT PROFILES'!$B$6:$B$105,$B64)&gt;1,1,0))</f>
      </c>
      <c r="T64" s="75"/>
    </row>
    <row r="65" ht="17" customHeight="1" spans="1:20" x14ac:dyDescent="0.25">
      <c r="A65" s="75"/>
      <c r="B65" s="79"/>
      <c r="C65" s="79"/>
      <c r="D65" s="79"/>
      <c r="E65" s="82"/>
      <c r="F65" s="79"/>
      <c r="G65" s="79"/>
      <c r="H65" s="80"/>
      <c r="I65" s="79"/>
      <c r="J65" s="79"/>
      <c r="K65" s="79"/>
      <c r="L65" s="79"/>
      <c r="M65" s="79"/>
      <c r="N65" s="79"/>
      <c r="O65" s="80"/>
      <c r="P65" s="79"/>
      <c r="Q65" s="79"/>
      <c r="R65" s="80"/>
      <c r="S65" s="78">
        <f>IF($B65="",0,IF(COUNTIF('RECIPIENT PROFILES'!$B$6:$B$105,$B65)&gt;1,1,0))</f>
      </c>
      <c r="T65" s="75"/>
    </row>
    <row r="66" ht="17" customHeight="1" spans="1:20" x14ac:dyDescent="0.25">
      <c r="A66" s="75"/>
      <c r="B66" s="79"/>
      <c r="C66" s="79"/>
      <c r="D66" s="79"/>
      <c r="E66" s="82"/>
      <c r="F66" s="79"/>
      <c r="G66" s="79"/>
      <c r="H66" s="80"/>
      <c r="I66" s="79"/>
      <c r="J66" s="79"/>
      <c r="K66" s="79"/>
      <c r="L66" s="79"/>
      <c r="M66" s="79"/>
      <c r="N66" s="79"/>
      <c r="O66" s="80"/>
      <c r="P66" s="79"/>
      <c r="Q66" s="79"/>
      <c r="R66" s="80"/>
      <c r="S66" s="78">
        <f>IF($B66="",0,IF(COUNTIF('RECIPIENT PROFILES'!$B$6:$B$105,$B66)&gt;1,1,0))</f>
      </c>
      <c r="T66" s="75"/>
    </row>
    <row r="67" ht="17" customHeight="1" spans="1:20" x14ac:dyDescent="0.25">
      <c r="A67" s="75"/>
      <c r="B67" s="79"/>
      <c r="C67" s="79"/>
      <c r="D67" s="79"/>
      <c r="E67" s="82"/>
      <c r="F67" s="79"/>
      <c r="G67" s="79"/>
      <c r="H67" s="80"/>
      <c r="I67" s="79"/>
      <c r="J67" s="79"/>
      <c r="K67" s="79"/>
      <c r="L67" s="79"/>
      <c r="M67" s="79"/>
      <c r="N67" s="79"/>
      <c r="O67" s="80"/>
      <c r="P67" s="79"/>
      <c r="Q67" s="79"/>
      <c r="R67" s="80"/>
      <c r="S67" s="78">
        <f>IF($B67="",0,IF(COUNTIF('RECIPIENT PROFILES'!$B$6:$B$105,$B67)&gt;1,1,0))</f>
      </c>
      <c r="T67" s="75"/>
    </row>
    <row r="68" ht="17" customHeight="1" spans="1:20" x14ac:dyDescent="0.25">
      <c r="A68" s="75"/>
      <c r="B68" s="79"/>
      <c r="C68" s="79"/>
      <c r="D68" s="79"/>
      <c r="E68" s="82"/>
      <c r="F68" s="79"/>
      <c r="G68" s="79"/>
      <c r="H68" s="80"/>
      <c r="I68" s="79"/>
      <c r="J68" s="79"/>
      <c r="K68" s="79"/>
      <c r="L68" s="79"/>
      <c r="M68" s="79"/>
      <c r="N68" s="79"/>
      <c r="O68" s="80"/>
      <c r="P68" s="79"/>
      <c r="Q68" s="79"/>
      <c r="R68" s="80"/>
      <c r="S68" s="78">
        <f>IF($B68="",0,IF(COUNTIF('RECIPIENT PROFILES'!$B$6:$B$105,$B68)&gt;1,1,0))</f>
      </c>
      <c r="T68" s="75"/>
    </row>
    <row r="69" ht="17" customHeight="1" spans="1:20" x14ac:dyDescent="0.25">
      <c r="A69" s="75"/>
      <c r="B69" s="79"/>
      <c r="C69" s="79"/>
      <c r="D69" s="79"/>
      <c r="E69" s="82"/>
      <c r="F69" s="79"/>
      <c r="G69" s="79"/>
      <c r="H69" s="80"/>
      <c r="I69" s="79"/>
      <c r="J69" s="79"/>
      <c r="K69" s="79"/>
      <c r="L69" s="79"/>
      <c r="M69" s="79"/>
      <c r="N69" s="79"/>
      <c r="O69" s="80"/>
      <c r="P69" s="79"/>
      <c r="Q69" s="79"/>
      <c r="R69" s="80"/>
      <c r="S69" s="78">
        <f>IF($B69="",0,IF(COUNTIF('RECIPIENT PROFILES'!$B$6:$B$105,$B69)&gt;1,1,0))</f>
      </c>
      <c r="T69" s="75"/>
    </row>
    <row r="70" ht="17" customHeight="1" spans="1:20" x14ac:dyDescent="0.25">
      <c r="A70" s="75"/>
      <c r="B70" s="79"/>
      <c r="C70" s="79"/>
      <c r="D70" s="79"/>
      <c r="E70" s="82"/>
      <c r="F70" s="79"/>
      <c r="G70" s="79"/>
      <c r="H70" s="80"/>
      <c r="I70" s="79"/>
      <c r="J70" s="79"/>
      <c r="K70" s="79"/>
      <c r="L70" s="79"/>
      <c r="M70" s="79"/>
      <c r="N70" s="79"/>
      <c r="O70" s="80"/>
      <c r="P70" s="79"/>
      <c r="Q70" s="79"/>
      <c r="R70" s="80"/>
      <c r="S70" s="78">
        <f>IF($B70="",0,IF(COUNTIF('RECIPIENT PROFILES'!$B$6:$B$105,$B70)&gt;1,1,0))</f>
      </c>
      <c r="T70" s="75"/>
    </row>
    <row r="71" ht="17" customHeight="1" spans="1:20" x14ac:dyDescent="0.25">
      <c r="A71" s="75"/>
      <c r="B71" s="79"/>
      <c r="C71" s="79"/>
      <c r="D71" s="79"/>
      <c r="E71" s="82"/>
      <c r="F71" s="79"/>
      <c r="G71" s="79"/>
      <c r="H71" s="80"/>
      <c r="I71" s="79"/>
      <c r="J71" s="79"/>
      <c r="K71" s="79"/>
      <c r="L71" s="79"/>
      <c r="M71" s="79"/>
      <c r="N71" s="79"/>
      <c r="O71" s="80"/>
      <c r="P71" s="79"/>
      <c r="Q71" s="79"/>
      <c r="R71" s="80"/>
      <c r="S71" s="78">
        <f>IF($B71="",0,IF(COUNTIF('RECIPIENT PROFILES'!$B$6:$B$105,$B71)&gt;1,1,0))</f>
      </c>
      <c r="T71" s="75"/>
    </row>
    <row r="72" ht="17" customHeight="1" spans="1:20" x14ac:dyDescent="0.25">
      <c r="A72" s="75"/>
      <c r="B72" s="79"/>
      <c r="C72" s="79"/>
      <c r="D72" s="79"/>
      <c r="E72" s="82"/>
      <c r="F72" s="79"/>
      <c r="G72" s="79"/>
      <c r="H72" s="80"/>
      <c r="I72" s="79"/>
      <c r="J72" s="79"/>
      <c r="K72" s="79"/>
      <c r="L72" s="79"/>
      <c r="M72" s="79"/>
      <c r="N72" s="79"/>
      <c r="O72" s="80"/>
      <c r="P72" s="79"/>
      <c r="Q72" s="79"/>
      <c r="R72" s="80"/>
      <c r="S72" s="78">
        <f>IF($B72="",0,IF(COUNTIF('RECIPIENT PROFILES'!$B$6:$B$105,$B72)&gt;1,1,0))</f>
      </c>
      <c r="T72" s="75"/>
    </row>
    <row r="73" ht="17" customHeight="1" spans="1:20" x14ac:dyDescent="0.25">
      <c r="A73" s="75"/>
      <c r="B73" s="79"/>
      <c r="C73" s="79"/>
      <c r="D73" s="79"/>
      <c r="E73" s="82"/>
      <c r="F73" s="79"/>
      <c r="G73" s="79"/>
      <c r="H73" s="80"/>
      <c r="I73" s="79"/>
      <c r="J73" s="79"/>
      <c r="K73" s="79"/>
      <c r="L73" s="79"/>
      <c r="M73" s="79"/>
      <c r="N73" s="79"/>
      <c r="O73" s="80"/>
      <c r="P73" s="79"/>
      <c r="Q73" s="79"/>
      <c r="R73" s="80"/>
      <c r="S73" s="78">
        <f>IF($B73="",0,IF(COUNTIF('RECIPIENT PROFILES'!$B$6:$B$105,$B73)&gt;1,1,0))</f>
      </c>
      <c r="T73" s="75"/>
    </row>
    <row r="74" ht="17" customHeight="1" spans="1:20" x14ac:dyDescent="0.25">
      <c r="A74" s="75"/>
      <c r="B74" s="79"/>
      <c r="C74" s="79"/>
      <c r="D74" s="79"/>
      <c r="E74" s="82"/>
      <c r="F74" s="79"/>
      <c r="G74" s="79"/>
      <c r="H74" s="80"/>
      <c r="I74" s="79"/>
      <c r="J74" s="79"/>
      <c r="K74" s="79"/>
      <c r="L74" s="79"/>
      <c r="M74" s="79"/>
      <c r="N74" s="79"/>
      <c r="O74" s="80"/>
      <c r="P74" s="79"/>
      <c r="Q74" s="79"/>
      <c r="R74" s="80"/>
      <c r="S74" s="78">
        <f>IF($B74="",0,IF(COUNTIF('RECIPIENT PROFILES'!$B$6:$B$105,$B74)&gt;1,1,0))</f>
      </c>
      <c r="T74" s="75"/>
    </row>
    <row r="75" ht="17" customHeight="1" spans="1:20" x14ac:dyDescent="0.25">
      <c r="A75" s="75"/>
      <c r="B75" s="79"/>
      <c r="C75" s="79"/>
      <c r="D75" s="79"/>
      <c r="E75" s="82"/>
      <c r="F75" s="79"/>
      <c r="G75" s="79"/>
      <c r="H75" s="80"/>
      <c r="I75" s="79"/>
      <c r="J75" s="79"/>
      <c r="K75" s="79"/>
      <c r="L75" s="79"/>
      <c r="M75" s="79"/>
      <c r="N75" s="79"/>
      <c r="O75" s="80"/>
      <c r="P75" s="79"/>
      <c r="Q75" s="79"/>
      <c r="R75" s="80"/>
      <c r="S75" s="78">
        <f>IF($B75="",0,IF(COUNTIF('RECIPIENT PROFILES'!$B$6:$B$105,$B75)&gt;1,1,0))</f>
      </c>
      <c r="T75" s="75"/>
    </row>
    <row r="76" ht="17" customHeight="1" spans="1:20" x14ac:dyDescent="0.25">
      <c r="A76" s="75"/>
      <c r="B76" s="79"/>
      <c r="C76" s="79"/>
      <c r="D76" s="79"/>
      <c r="E76" s="82"/>
      <c r="F76" s="79"/>
      <c r="G76" s="79"/>
      <c r="H76" s="80"/>
      <c r="I76" s="79"/>
      <c r="J76" s="79"/>
      <c r="K76" s="79"/>
      <c r="L76" s="79"/>
      <c r="M76" s="79"/>
      <c r="N76" s="79"/>
      <c r="O76" s="80"/>
      <c r="P76" s="79"/>
      <c r="Q76" s="79"/>
      <c r="R76" s="80"/>
      <c r="S76" s="78">
        <f>IF($B76="",0,IF(COUNTIF('RECIPIENT PROFILES'!$B$6:$B$105,$B76)&gt;1,1,0))</f>
      </c>
      <c r="T76" s="75"/>
    </row>
    <row r="77" ht="17" customHeight="1" spans="1:20" x14ac:dyDescent="0.25">
      <c r="A77" s="75"/>
      <c r="B77" s="79"/>
      <c r="C77" s="79"/>
      <c r="D77" s="79"/>
      <c r="E77" s="82"/>
      <c r="F77" s="79"/>
      <c r="G77" s="79"/>
      <c r="H77" s="80"/>
      <c r="I77" s="79"/>
      <c r="J77" s="79"/>
      <c r="K77" s="79"/>
      <c r="L77" s="79"/>
      <c r="M77" s="79"/>
      <c r="N77" s="79"/>
      <c r="O77" s="80"/>
      <c r="P77" s="79"/>
      <c r="Q77" s="79"/>
      <c r="R77" s="80"/>
      <c r="S77" s="78">
        <f>IF($B77="",0,IF(COUNTIF('RECIPIENT PROFILES'!$B$6:$B$105,$B77)&gt;1,1,0))</f>
      </c>
      <c r="T77" s="75"/>
    </row>
    <row r="78" ht="17" customHeight="1" spans="1:20" x14ac:dyDescent="0.25">
      <c r="A78" s="75"/>
      <c r="B78" s="79"/>
      <c r="C78" s="79"/>
      <c r="D78" s="79"/>
      <c r="E78" s="82"/>
      <c r="F78" s="79"/>
      <c r="G78" s="79"/>
      <c r="H78" s="80"/>
      <c r="I78" s="79"/>
      <c r="J78" s="79"/>
      <c r="K78" s="79"/>
      <c r="L78" s="79"/>
      <c r="M78" s="79"/>
      <c r="N78" s="79"/>
      <c r="O78" s="80"/>
      <c r="P78" s="79"/>
      <c r="Q78" s="79"/>
      <c r="R78" s="80"/>
      <c r="S78" s="78">
        <f>IF($B78="",0,IF(COUNTIF('RECIPIENT PROFILES'!$B$6:$B$105,$B78)&gt;1,1,0))</f>
      </c>
      <c r="T78" s="75"/>
    </row>
    <row r="79" ht="17" customHeight="1" spans="1:20" x14ac:dyDescent="0.25">
      <c r="A79" s="75"/>
      <c r="B79" s="79"/>
      <c r="C79" s="79"/>
      <c r="D79" s="79"/>
      <c r="E79" s="82"/>
      <c r="F79" s="79"/>
      <c r="G79" s="79"/>
      <c r="H79" s="80"/>
      <c r="I79" s="79"/>
      <c r="J79" s="79"/>
      <c r="K79" s="79"/>
      <c r="L79" s="79"/>
      <c r="M79" s="79"/>
      <c r="N79" s="79"/>
      <c r="O79" s="80"/>
      <c r="P79" s="79"/>
      <c r="Q79" s="79"/>
      <c r="R79" s="80"/>
      <c r="S79" s="78">
        <f>IF($B79="",0,IF(COUNTIF('RECIPIENT PROFILES'!$B$6:$B$105,$B79)&gt;1,1,0))</f>
      </c>
      <c r="T79" s="75"/>
    </row>
    <row r="80" ht="17" customHeight="1" spans="1:20" x14ac:dyDescent="0.25">
      <c r="A80" s="75"/>
      <c r="B80" s="79"/>
      <c r="C80" s="79"/>
      <c r="D80" s="79"/>
      <c r="E80" s="82"/>
      <c r="F80" s="79"/>
      <c r="G80" s="79"/>
      <c r="H80" s="80"/>
      <c r="I80" s="79"/>
      <c r="J80" s="79"/>
      <c r="K80" s="79"/>
      <c r="L80" s="79"/>
      <c r="M80" s="79"/>
      <c r="N80" s="79"/>
      <c r="O80" s="80"/>
      <c r="P80" s="79"/>
      <c r="Q80" s="79"/>
      <c r="R80" s="80"/>
      <c r="S80" s="78">
        <f>IF($B80="",0,IF(COUNTIF('RECIPIENT PROFILES'!$B$6:$B$105,$B80)&gt;1,1,0))</f>
      </c>
      <c r="T80" s="75"/>
    </row>
    <row r="81" ht="17" customHeight="1" spans="1:20" x14ac:dyDescent="0.25">
      <c r="A81" s="75"/>
      <c r="B81" s="79"/>
      <c r="C81" s="79"/>
      <c r="D81" s="79"/>
      <c r="E81" s="82"/>
      <c r="F81" s="79"/>
      <c r="G81" s="79"/>
      <c r="H81" s="80"/>
      <c r="I81" s="79"/>
      <c r="J81" s="79"/>
      <c r="K81" s="79"/>
      <c r="L81" s="79"/>
      <c r="M81" s="79"/>
      <c r="N81" s="79"/>
      <c r="O81" s="80"/>
      <c r="P81" s="79"/>
      <c r="Q81" s="79"/>
      <c r="R81" s="80"/>
      <c r="S81" s="78">
        <f>IF($B81="",0,IF(COUNTIF('RECIPIENT PROFILES'!$B$6:$B$105,$B81)&gt;1,1,0))</f>
      </c>
      <c r="T81" s="75"/>
    </row>
    <row r="82" ht="17" customHeight="1" spans="1:20" x14ac:dyDescent="0.25">
      <c r="A82" s="75"/>
      <c r="B82" s="79"/>
      <c r="C82" s="79"/>
      <c r="D82" s="79"/>
      <c r="E82" s="82"/>
      <c r="F82" s="79"/>
      <c r="G82" s="79"/>
      <c r="H82" s="80"/>
      <c r="I82" s="79"/>
      <c r="J82" s="79"/>
      <c r="K82" s="79"/>
      <c r="L82" s="79"/>
      <c r="M82" s="79"/>
      <c r="N82" s="79"/>
      <c r="O82" s="80"/>
      <c r="P82" s="79"/>
      <c r="Q82" s="79"/>
      <c r="R82" s="80"/>
      <c r="S82" s="78">
        <f>IF($B82="",0,IF(COUNTIF('RECIPIENT PROFILES'!$B$6:$B$105,$B82)&gt;1,1,0))</f>
      </c>
      <c r="T82" s="75"/>
    </row>
    <row r="83" ht="17" customHeight="1" spans="1:20" x14ac:dyDescent="0.25">
      <c r="A83" s="75"/>
      <c r="B83" s="79"/>
      <c r="C83" s="79"/>
      <c r="D83" s="79"/>
      <c r="E83" s="82"/>
      <c r="F83" s="79"/>
      <c r="G83" s="79"/>
      <c r="H83" s="80"/>
      <c r="I83" s="79"/>
      <c r="J83" s="79"/>
      <c r="K83" s="79"/>
      <c r="L83" s="79"/>
      <c r="M83" s="79"/>
      <c r="N83" s="79"/>
      <c r="O83" s="80"/>
      <c r="P83" s="79"/>
      <c r="Q83" s="79"/>
      <c r="R83" s="80"/>
      <c r="S83" s="78">
        <f>IF($B83="",0,IF(COUNTIF('RECIPIENT PROFILES'!$B$6:$B$105,$B83)&gt;1,1,0))</f>
      </c>
      <c r="T83" s="75"/>
    </row>
    <row r="84" ht="17" customHeight="1" spans="1:20" x14ac:dyDescent="0.25">
      <c r="A84" s="75"/>
      <c r="B84" s="79"/>
      <c r="C84" s="79"/>
      <c r="D84" s="79"/>
      <c r="E84" s="82"/>
      <c r="F84" s="79"/>
      <c r="G84" s="79"/>
      <c r="H84" s="80"/>
      <c r="I84" s="79"/>
      <c r="J84" s="79"/>
      <c r="K84" s="79"/>
      <c r="L84" s="79"/>
      <c r="M84" s="79"/>
      <c r="N84" s="79"/>
      <c r="O84" s="80"/>
      <c r="P84" s="79"/>
      <c r="Q84" s="79"/>
      <c r="R84" s="80"/>
      <c r="S84" s="78">
        <f>IF($B84="",0,IF(COUNTIF('RECIPIENT PROFILES'!$B$6:$B$105,$B84)&gt;1,1,0))</f>
      </c>
      <c r="T84" s="75"/>
    </row>
    <row r="85" ht="17" customHeight="1" spans="1:20" x14ac:dyDescent="0.25">
      <c r="A85" s="75"/>
      <c r="B85" s="79"/>
      <c r="C85" s="79"/>
      <c r="D85" s="79"/>
      <c r="E85" s="82"/>
      <c r="F85" s="79"/>
      <c r="G85" s="79"/>
      <c r="H85" s="80"/>
      <c r="I85" s="79"/>
      <c r="J85" s="79"/>
      <c r="K85" s="79"/>
      <c r="L85" s="79"/>
      <c r="M85" s="79"/>
      <c r="N85" s="79"/>
      <c r="O85" s="80"/>
      <c r="P85" s="79"/>
      <c r="Q85" s="79"/>
      <c r="R85" s="80"/>
      <c r="S85" s="78">
        <f>IF($B85="",0,IF(COUNTIF('RECIPIENT PROFILES'!$B$6:$B$105,$B85)&gt;1,1,0))</f>
      </c>
      <c r="T85" s="75"/>
    </row>
    <row r="86" ht="17" customHeight="1" spans="1:20" x14ac:dyDescent="0.25">
      <c r="A86" s="75"/>
      <c r="B86" s="79"/>
      <c r="C86" s="79"/>
      <c r="D86" s="79"/>
      <c r="E86" s="82"/>
      <c r="F86" s="79"/>
      <c r="G86" s="79"/>
      <c r="H86" s="80"/>
      <c r="I86" s="79"/>
      <c r="J86" s="79"/>
      <c r="K86" s="79"/>
      <c r="L86" s="79"/>
      <c r="M86" s="79"/>
      <c r="N86" s="79"/>
      <c r="O86" s="80"/>
      <c r="P86" s="79"/>
      <c r="Q86" s="79"/>
      <c r="R86" s="80"/>
      <c r="S86" s="78">
        <f>IF($B86="",0,IF(COUNTIF('RECIPIENT PROFILES'!$B$6:$B$105,$B86)&gt;1,1,0))</f>
      </c>
      <c r="T86" s="75"/>
    </row>
    <row r="87" ht="17" customHeight="1" spans="1:20" x14ac:dyDescent="0.25">
      <c r="A87" s="75"/>
      <c r="B87" s="79"/>
      <c r="C87" s="79"/>
      <c r="D87" s="79"/>
      <c r="E87" s="82"/>
      <c r="F87" s="79"/>
      <c r="G87" s="79"/>
      <c r="H87" s="80"/>
      <c r="I87" s="79"/>
      <c r="J87" s="79"/>
      <c r="K87" s="79"/>
      <c r="L87" s="79"/>
      <c r="M87" s="79"/>
      <c r="N87" s="79"/>
      <c r="O87" s="80"/>
      <c r="P87" s="79"/>
      <c r="Q87" s="79"/>
      <c r="R87" s="80"/>
      <c r="S87" s="78">
        <f>IF($B87="",0,IF(COUNTIF('RECIPIENT PROFILES'!$B$6:$B$105,$B87)&gt;1,1,0))</f>
      </c>
      <c r="T87" s="75"/>
    </row>
    <row r="88" ht="17" customHeight="1" spans="1:20" x14ac:dyDescent="0.25">
      <c r="A88" s="75"/>
      <c r="B88" s="79"/>
      <c r="C88" s="79"/>
      <c r="D88" s="79"/>
      <c r="E88" s="82"/>
      <c r="F88" s="79"/>
      <c r="G88" s="79"/>
      <c r="H88" s="80"/>
      <c r="I88" s="79"/>
      <c r="J88" s="79"/>
      <c r="K88" s="79"/>
      <c r="L88" s="79"/>
      <c r="M88" s="79"/>
      <c r="N88" s="79"/>
      <c r="O88" s="80"/>
      <c r="P88" s="79"/>
      <c r="Q88" s="79"/>
      <c r="R88" s="80"/>
      <c r="S88" s="78">
        <f>IF($B88="",0,IF(COUNTIF('RECIPIENT PROFILES'!$B$6:$B$105,$B88)&gt;1,1,0))</f>
      </c>
      <c r="T88" s="75"/>
    </row>
    <row r="89" ht="17" customHeight="1" spans="1:20" x14ac:dyDescent="0.25">
      <c r="A89" s="75"/>
      <c r="B89" s="79"/>
      <c r="C89" s="79"/>
      <c r="D89" s="79"/>
      <c r="E89" s="82"/>
      <c r="F89" s="79"/>
      <c r="G89" s="79"/>
      <c r="H89" s="80"/>
      <c r="I89" s="79"/>
      <c r="J89" s="79"/>
      <c r="K89" s="79"/>
      <c r="L89" s="79"/>
      <c r="M89" s="79"/>
      <c r="N89" s="79"/>
      <c r="O89" s="80"/>
      <c r="P89" s="79"/>
      <c r="Q89" s="79"/>
      <c r="R89" s="80"/>
      <c r="S89" s="78">
        <f>IF($B89="",0,IF(COUNTIF('RECIPIENT PROFILES'!$B$6:$B$105,$B89)&gt;1,1,0))</f>
      </c>
      <c r="T89" s="75"/>
    </row>
    <row r="90" ht="17" customHeight="1" spans="1:20" x14ac:dyDescent="0.25">
      <c r="A90" s="75"/>
      <c r="B90" s="79"/>
      <c r="C90" s="79"/>
      <c r="D90" s="79"/>
      <c r="E90" s="82"/>
      <c r="F90" s="79"/>
      <c r="G90" s="79"/>
      <c r="H90" s="80"/>
      <c r="I90" s="79"/>
      <c r="J90" s="79"/>
      <c r="K90" s="79"/>
      <c r="L90" s="79"/>
      <c r="M90" s="79"/>
      <c r="N90" s="79"/>
      <c r="O90" s="80"/>
      <c r="P90" s="79"/>
      <c r="Q90" s="79"/>
      <c r="R90" s="80"/>
      <c r="S90" s="78">
        <f>IF($B90="",0,IF(COUNTIF('RECIPIENT PROFILES'!$B$6:$B$105,$B90)&gt;1,1,0))</f>
      </c>
      <c r="T90" s="75"/>
    </row>
    <row r="91" ht="17" customHeight="1" spans="1:20" x14ac:dyDescent="0.25">
      <c r="A91" s="75"/>
      <c r="B91" s="79"/>
      <c r="C91" s="79"/>
      <c r="D91" s="79"/>
      <c r="E91" s="82"/>
      <c r="F91" s="79"/>
      <c r="G91" s="79"/>
      <c r="H91" s="80"/>
      <c r="I91" s="79"/>
      <c r="J91" s="79"/>
      <c r="K91" s="79"/>
      <c r="L91" s="79"/>
      <c r="M91" s="79"/>
      <c r="N91" s="79"/>
      <c r="O91" s="80"/>
      <c r="P91" s="79"/>
      <c r="Q91" s="79"/>
      <c r="R91" s="80"/>
      <c r="S91" s="78">
        <f>IF($B91="",0,IF(COUNTIF('RECIPIENT PROFILES'!$B$6:$B$105,$B91)&gt;1,1,0))</f>
      </c>
      <c r="T91" s="75"/>
    </row>
    <row r="92" ht="17" customHeight="1" spans="1:20" x14ac:dyDescent="0.25">
      <c r="A92" s="75"/>
      <c r="B92" s="79"/>
      <c r="C92" s="79"/>
      <c r="D92" s="79"/>
      <c r="E92" s="82"/>
      <c r="F92" s="79"/>
      <c r="G92" s="79"/>
      <c r="H92" s="80"/>
      <c r="I92" s="79"/>
      <c r="J92" s="79"/>
      <c r="K92" s="79"/>
      <c r="L92" s="79"/>
      <c r="M92" s="79"/>
      <c r="N92" s="79"/>
      <c r="O92" s="80"/>
      <c r="P92" s="79"/>
      <c r="Q92" s="79"/>
      <c r="R92" s="80"/>
      <c r="S92" s="78">
        <f>IF($B92="",0,IF(COUNTIF('RECIPIENT PROFILES'!$B$6:$B$105,$B92)&gt;1,1,0))</f>
      </c>
      <c r="T92" s="75"/>
    </row>
    <row r="93" ht="17" customHeight="1" spans="1:20" x14ac:dyDescent="0.25">
      <c r="A93" s="75"/>
      <c r="B93" s="79"/>
      <c r="C93" s="79"/>
      <c r="D93" s="79"/>
      <c r="E93" s="82"/>
      <c r="F93" s="79"/>
      <c r="G93" s="79"/>
      <c r="H93" s="80"/>
      <c r="I93" s="79"/>
      <c r="J93" s="79"/>
      <c r="K93" s="79"/>
      <c r="L93" s="79"/>
      <c r="M93" s="79"/>
      <c r="N93" s="79"/>
      <c r="O93" s="80"/>
      <c r="P93" s="79"/>
      <c r="Q93" s="79"/>
      <c r="R93" s="80"/>
      <c r="S93" s="78">
        <f>IF($B93="",0,IF(COUNTIF('RECIPIENT PROFILES'!$B$6:$B$105,$B93)&gt;1,1,0))</f>
      </c>
      <c r="T93" s="75"/>
    </row>
    <row r="94" ht="17" customHeight="1" spans="1:20" x14ac:dyDescent="0.25">
      <c r="A94" s="75"/>
      <c r="B94" s="79"/>
      <c r="C94" s="79"/>
      <c r="D94" s="79"/>
      <c r="E94" s="82"/>
      <c r="F94" s="79"/>
      <c r="G94" s="79"/>
      <c r="H94" s="80"/>
      <c r="I94" s="79"/>
      <c r="J94" s="79"/>
      <c r="K94" s="79"/>
      <c r="L94" s="79"/>
      <c r="M94" s="79"/>
      <c r="N94" s="79"/>
      <c r="O94" s="80"/>
      <c r="P94" s="79"/>
      <c r="Q94" s="79"/>
      <c r="R94" s="80"/>
      <c r="S94" s="78">
        <f>IF($B94="",0,IF(COUNTIF('RECIPIENT PROFILES'!$B$6:$B$105,$B94)&gt;1,1,0))</f>
      </c>
      <c r="T94" s="75"/>
    </row>
    <row r="95" ht="17" customHeight="1" spans="1:20" x14ac:dyDescent="0.25">
      <c r="A95" s="75"/>
      <c r="B95" s="79"/>
      <c r="C95" s="79"/>
      <c r="D95" s="79"/>
      <c r="E95" s="82"/>
      <c r="F95" s="79"/>
      <c r="G95" s="79"/>
      <c r="H95" s="80"/>
      <c r="I95" s="79"/>
      <c r="J95" s="79"/>
      <c r="K95" s="79"/>
      <c r="L95" s="79"/>
      <c r="M95" s="79"/>
      <c r="N95" s="79"/>
      <c r="O95" s="80"/>
      <c r="P95" s="79"/>
      <c r="Q95" s="79"/>
      <c r="R95" s="80"/>
      <c r="S95" s="78">
        <f>IF($B95="",0,IF(COUNTIF('RECIPIENT PROFILES'!$B$6:$B$105,$B95)&gt;1,1,0))</f>
      </c>
      <c r="T95" s="75"/>
    </row>
    <row r="96" ht="17" customHeight="1" spans="1:20" x14ac:dyDescent="0.25">
      <c r="A96" s="75"/>
      <c r="B96" s="79"/>
      <c r="C96" s="79"/>
      <c r="D96" s="79"/>
      <c r="E96" s="82"/>
      <c r="F96" s="79"/>
      <c r="G96" s="79"/>
      <c r="H96" s="80"/>
      <c r="I96" s="79"/>
      <c r="J96" s="79"/>
      <c r="K96" s="79"/>
      <c r="L96" s="79"/>
      <c r="M96" s="79"/>
      <c r="N96" s="79"/>
      <c r="O96" s="80"/>
      <c r="P96" s="79"/>
      <c r="Q96" s="79"/>
      <c r="R96" s="80"/>
      <c r="S96" s="78">
        <f>IF($B96="",0,IF(COUNTIF('RECIPIENT PROFILES'!$B$6:$B$105,$B96)&gt;1,1,0))</f>
      </c>
      <c r="T96" s="75"/>
    </row>
    <row r="97" ht="17" customHeight="1" spans="1:20" x14ac:dyDescent="0.25">
      <c r="A97" s="75"/>
      <c r="B97" s="79"/>
      <c r="C97" s="79"/>
      <c r="D97" s="79"/>
      <c r="E97" s="82"/>
      <c r="F97" s="79"/>
      <c r="G97" s="79"/>
      <c r="H97" s="80"/>
      <c r="I97" s="79"/>
      <c r="J97" s="79"/>
      <c r="K97" s="79"/>
      <c r="L97" s="79"/>
      <c r="M97" s="79"/>
      <c r="N97" s="79"/>
      <c r="O97" s="80"/>
      <c r="P97" s="79"/>
      <c r="Q97" s="79"/>
      <c r="R97" s="80"/>
      <c r="S97" s="78">
        <f>IF($B97="",0,IF(COUNTIF('RECIPIENT PROFILES'!$B$6:$B$105,$B97)&gt;1,1,0))</f>
      </c>
      <c r="T97" s="75"/>
    </row>
    <row r="98" ht="17" customHeight="1" spans="1:20" x14ac:dyDescent="0.25">
      <c r="A98" s="75"/>
      <c r="B98" s="79"/>
      <c r="C98" s="79"/>
      <c r="D98" s="79"/>
      <c r="E98" s="82"/>
      <c r="F98" s="79"/>
      <c r="G98" s="79"/>
      <c r="H98" s="80"/>
      <c r="I98" s="79"/>
      <c r="J98" s="79"/>
      <c r="K98" s="79"/>
      <c r="L98" s="79"/>
      <c r="M98" s="79"/>
      <c r="N98" s="79"/>
      <c r="O98" s="80"/>
      <c r="P98" s="79"/>
      <c r="Q98" s="79"/>
      <c r="R98" s="80"/>
      <c r="S98" s="78">
        <f>IF($B98="",0,IF(COUNTIF('RECIPIENT PROFILES'!$B$6:$B$105,$B98)&gt;1,1,0))</f>
      </c>
      <c r="T98" s="75"/>
    </row>
    <row r="99" ht="17" customHeight="1" spans="1:20" x14ac:dyDescent="0.25">
      <c r="A99" s="75"/>
      <c r="B99" s="79"/>
      <c r="C99" s="79"/>
      <c r="D99" s="79"/>
      <c r="E99" s="82"/>
      <c r="F99" s="79"/>
      <c r="G99" s="79"/>
      <c r="H99" s="80"/>
      <c r="I99" s="79"/>
      <c r="J99" s="79"/>
      <c r="K99" s="79"/>
      <c r="L99" s="79"/>
      <c r="M99" s="79"/>
      <c r="N99" s="79"/>
      <c r="O99" s="80"/>
      <c r="P99" s="79"/>
      <c r="Q99" s="79"/>
      <c r="R99" s="80"/>
      <c r="S99" s="78">
        <f>IF($B99="",0,IF(COUNTIF('RECIPIENT PROFILES'!$B$6:$B$105,$B99)&gt;1,1,0))</f>
      </c>
      <c r="T99" s="75"/>
    </row>
    <row r="100" ht="17" customHeight="1" spans="1:20" x14ac:dyDescent="0.25">
      <c r="A100" s="75"/>
      <c r="B100" s="79"/>
      <c r="C100" s="79"/>
      <c r="D100" s="79"/>
      <c r="E100" s="82"/>
      <c r="F100" s="79"/>
      <c r="G100" s="79"/>
      <c r="H100" s="80"/>
      <c r="I100" s="79"/>
      <c r="J100" s="79"/>
      <c r="K100" s="79"/>
      <c r="L100" s="79"/>
      <c r="M100" s="79"/>
      <c r="N100" s="79"/>
      <c r="O100" s="80"/>
      <c r="P100" s="79"/>
      <c r="Q100" s="79"/>
      <c r="R100" s="80"/>
      <c r="S100" s="78">
        <f>IF($B100="",0,IF(COUNTIF('RECIPIENT PROFILES'!$B$6:$B$105,$B100)&gt;1,1,0))</f>
      </c>
      <c r="T100" s="75"/>
    </row>
    <row r="101" ht="17" customHeight="1" spans="1:20" x14ac:dyDescent="0.25">
      <c r="A101" s="75"/>
      <c r="B101" s="79"/>
      <c r="C101" s="79"/>
      <c r="D101" s="79"/>
      <c r="E101" s="82"/>
      <c r="F101" s="79"/>
      <c r="G101" s="79"/>
      <c r="H101" s="80"/>
      <c r="I101" s="79"/>
      <c r="J101" s="79"/>
      <c r="K101" s="79"/>
      <c r="L101" s="79"/>
      <c r="M101" s="79"/>
      <c r="N101" s="79"/>
      <c r="O101" s="80"/>
      <c r="P101" s="79"/>
      <c r="Q101" s="79"/>
      <c r="R101" s="80"/>
      <c r="S101" s="78">
        <f>IF($B101="",0,IF(COUNTIF('RECIPIENT PROFILES'!$B$6:$B$105,$B101)&gt;1,1,0))</f>
      </c>
      <c r="T101" s="75"/>
    </row>
    <row r="102" ht="17" customHeight="1" spans="1:20" x14ac:dyDescent="0.25">
      <c r="A102" s="75"/>
      <c r="B102" s="79"/>
      <c r="C102" s="79"/>
      <c r="D102" s="79"/>
      <c r="E102" s="82"/>
      <c r="F102" s="79"/>
      <c r="G102" s="79"/>
      <c r="H102" s="80"/>
      <c r="I102" s="79"/>
      <c r="J102" s="79"/>
      <c r="K102" s="79"/>
      <c r="L102" s="79"/>
      <c r="M102" s="79"/>
      <c r="N102" s="79"/>
      <c r="O102" s="80"/>
      <c r="P102" s="79"/>
      <c r="Q102" s="79"/>
      <c r="R102" s="80"/>
      <c r="S102" s="78">
        <f>IF($B102="",0,IF(COUNTIF('RECIPIENT PROFILES'!$B$6:$B$105,$B102)&gt;1,1,0))</f>
      </c>
      <c r="T102" s="75"/>
    </row>
    <row r="103" ht="17" customHeight="1" spans="1:20" x14ac:dyDescent="0.25">
      <c r="A103" s="75"/>
      <c r="B103" s="79"/>
      <c r="C103" s="79"/>
      <c r="D103" s="79"/>
      <c r="E103" s="82"/>
      <c r="F103" s="79"/>
      <c r="G103" s="79"/>
      <c r="H103" s="80"/>
      <c r="I103" s="79"/>
      <c r="J103" s="79"/>
      <c r="K103" s="79"/>
      <c r="L103" s="79"/>
      <c r="M103" s="79"/>
      <c r="N103" s="79"/>
      <c r="O103" s="80"/>
      <c r="P103" s="79"/>
      <c r="Q103" s="79"/>
      <c r="R103" s="80"/>
      <c r="S103" s="78">
        <f>IF($B103="",0,IF(COUNTIF('RECIPIENT PROFILES'!$B$6:$B$105,$B103)&gt;1,1,0))</f>
      </c>
      <c r="T103" s="75"/>
    </row>
    <row r="104" ht="17" customHeight="1" spans="1:20" x14ac:dyDescent="0.25">
      <c r="A104" s="75"/>
      <c r="B104" s="79"/>
      <c r="C104" s="79"/>
      <c r="D104" s="79"/>
      <c r="E104" s="82"/>
      <c r="F104" s="79"/>
      <c r="G104" s="79"/>
      <c r="H104" s="80"/>
      <c r="I104" s="79"/>
      <c r="J104" s="79"/>
      <c r="K104" s="79"/>
      <c r="L104" s="79"/>
      <c r="M104" s="79"/>
      <c r="N104" s="79"/>
      <c r="O104" s="80"/>
      <c r="P104" s="79"/>
      <c r="Q104" s="79"/>
      <c r="R104" s="80"/>
      <c r="S104" s="78">
        <f>IF($B104="",0,IF(COUNTIF('RECIPIENT PROFILES'!$B$6:$B$105,$B104)&gt;1,1,0))</f>
      </c>
      <c r="T104" s="75"/>
    </row>
    <row r="105" ht="17" customHeight="1" spans="1:20" x14ac:dyDescent="0.25">
      <c r="A105" s="75"/>
      <c r="B105" s="79"/>
      <c r="C105" s="79"/>
      <c r="D105" s="79"/>
      <c r="E105" s="82"/>
      <c r="F105" s="79"/>
      <c r="G105" s="79"/>
      <c r="H105" s="80"/>
      <c r="I105" s="79"/>
      <c r="J105" s="79"/>
      <c r="K105" s="79"/>
      <c r="L105" s="79"/>
      <c r="M105" s="79"/>
      <c r="N105" s="79"/>
      <c r="O105" s="80"/>
      <c r="P105" s="79"/>
      <c r="Q105" s="79"/>
      <c r="R105" s="80"/>
      <c r="S105" s="78">
        <f>IF($B105="",0,IF(COUNTIF('RECIPIENT PROFILES'!$B$6:$B$105,$B105)&gt;1,1,0))</f>
      </c>
      <c r="T105" s="75"/>
    </row>
    <row r="108" spans="2:2" x14ac:dyDescent="0.25">
      <c r="B108" s="83" t="s">
        <v>247</v>
      </c>
    </row>
  </sheetData>
  <autoFilter ref="B5:S105"/>
  <mergeCells count="1">
    <mergeCell ref="B1:C1"/>
  </mergeCells>
  <dataValidations count="3">
    <dataValidation type="list" allowBlank="1" showErrorMessage="1" errorStyle="warning" errorTitle="Not one of the usual values" error="This column normally uses a value from the Relationship list on LISTS. You can keep what you typed, or add it to the list so it appears in the dropdown." sqref="D6:D105">
      <formula1>=List_Relationship</formula1>
    </dataValidation>
    <dataValidation type="custom" allowBlank="1" showErrorMessage="1" errorStyle="warning" errorTitle="That is not a date yet" error="Type a real date, so the workbook can count days with it. &quot;Before Christmas&quot; cannot be sorted." sqref="E6:E105">
      <formula1>=OR(E6="",ISNUMBER(E6))</formula1>
    </dataValidation>
    <dataValidation type="list" allowBlank="1" showErrorMessage="1" errorStyle="warning" errorTitle="Not one of the usual values" error="This column normally uses a value from the AddressStatus list on LISTS. You can keep what you typed, or add it to the list so it appears in the dropdown." sqref="N6:N105">
      <formula1>=List_AddressStatus</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&amp;LRECIPIENT PROFILES&amp;C&amp;P of &amp;N&amp;RThe Christmas Season Master Command Center™</oddFooter>
  </headerFooter>
  <legacy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R105"/>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2" max="2" width="11" customWidth="1"/>
    <col min="3" max="3" width="20" customWidth="1"/>
    <col min="4" max="4" width="18" customWidth="1"/>
    <col min="5" max="13" width="13" customWidth="1"/>
    <col min="14" max="14" width="15" customWidth="1"/>
    <col min="15" max="15" width="11" customWidth="1"/>
    <col min="16" max="16" width="30" customWidth="1"/>
    <col min="17" max="17" width="18" hidden="1" customWidth="1"/>
    <col min="18" max="18" width="2" customWidth="1"/>
  </cols>
  <sheetData>
    <row r="1" ht="21" customHeight="1" spans="1:18" x14ac:dyDescent="0.25">
      <c r="A1" s="62"/>
      <c r="B1" s="63" t="s">
        <v>8</v>
      </c>
      <c r="C1" s="63"/>
      <c r="D1" s="63" t="s">
        <v>9</v>
      </c>
      <c r="E1" s="63" t="s">
        <v>10</v>
      </c>
      <c r="F1" s="63" t="s">
        <v>11</v>
      </c>
      <c r="G1" s="63" t="s">
        <v>12</v>
      </c>
      <c r="H1" s="62"/>
      <c r="I1" s="62"/>
      <c r="J1" s="62"/>
      <c r="K1" s="62"/>
      <c r="L1" s="62"/>
      <c r="M1" s="62"/>
      <c r="N1" s="62"/>
      <c r="O1" s="62"/>
      <c r="P1" s="62"/>
      <c r="Q1" s="62"/>
      <c r="R1" s="62"/>
    </row>
    <row r="2" ht="34" customHeight="1" spans="1:18" x14ac:dyDescent="0.25">
      <c r="A2" s="64"/>
      <c r="B2" s="65" t="s">
        <v>248</v>
      </c>
      <c r="C2" s="64"/>
      <c r="D2" s="64"/>
      <c r="E2" s="64"/>
      <c r="F2" s="64"/>
      <c r="G2" s="64"/>
      <c r="H2" s="64"/>
      <c r="I2" s="64"/>
      <c r="J2" s="64"/>
      <c r="K2" s="64"/>
      <c r="L2" s="64"/>
      <c r="M2" s="64"/>
      <c r="N2" s="64"/>
      <c r="O2" s="64"/>
      <c r="P2" s="64"/>
      <c r="Q2" s="64"/>
      <c r="R2" s="64"/>
    </row>
    <row r="3" ht="18" customHeight="1" spans="1:18" x14ac:dyDescent="0.25">
      <c r="A3" s="64"/>
      <c r="B3" s="66" t="s">
        <v>249</v>
      </c>
      <c r="C3" s="64"/>
      <c r="D3" s="64"/>
      <c r="E3" s="64"/>
      <c r="F3" s="64"/>
      <c r="G3" s="64"/>
      <c r="H3" s="64"/>
      <c r="I3" s="64"/>
      <c r="J3" s="64"/>
      <c r="K3" s="64"/>
      <c r="L3" s="64"/>
      <c r="M3" s="64"/>
      <c r="N3" s="64"/>
      <c r="O3" s="64"/>
      <c r="P3" s="64"/>
      <c r="Q3" s="64"/>
      <c r="R3" s="64"/>
    </row>
    <row r="4" ht="17" customHeight="1" spans="1:18" x14ac:dyDescent="0.25">
      <c r="A4" s="64"/>
      <c r="B4" s="67" t="s">
        <v>160</v>
      </c>
      <c r="C4" s="64"/>
      <c r="D4" s="64"/>
      <c r="E4" s="64"/>
      <c r="F4" s="64"/>
      <c r="G4" s="64"/>
      <c r="H4" s="64"/>
      <c r="I4" s="64"/>
      <c r="J4" s="64"/>
      <c r="K4" s="64"/>
      <c r="L4" s="64"/>
      <c r="M4" s="64"/>
      <c r="N4" s="64"/>
      <c r="O4" s="64"/>
      <c r="P4" s="64"/>
      <c r="Q4" s="64"/>
      <c r="R4" s="64"/>
    </row>
    <row r="5" ht="32" customHeight="1" spans="1:18" x14ac:dyDescent="0.25">
      <c r="A5" s="73"/>
      <c r="B5" s="74" t="s">
        <v>197</v>
      </c>
      <c r="C5" s="74" t="s">
        <v>198</v>
      </c>
      <c r="D5" s="74" t="s">
        <v>250</v>
      </c>
      <c r="E5" s="74" t="s">
        <v>251</v>
      </c>
      <c r="F5" s="74" t="s">
        <v>252</v>
      </c>
      <c r="G5" s="74" t="s">
        <v>253</v>
      </c>
      <c r="H5" s="74" t="s">
        <v>254</v>
      </c>
      <c r="I5" s="74" t="s">
        <v>255</v>
      </c>
      <c r="J5" s="74" t="s">
        <v>256</v>
      </c>
      <c r="K5" s="74" t="s">
        <v>257</v>
      </c>
      <c r="L5" s="74" t="s">
        <v>258</v>
      </c>
      <c r="M5" s="74" t="s">
        <v>259</v>
      </c>
      <c r="N5" s="74" t="s">
        <v>260</v>
      </c>
      <c r="O5" s="74" t="s">
        <v>261</v>
      </c>
      <c r="P5" s="74" t="s">
        <v>179</v>
      </c>
      <c r="Q5" s="74" t="s">
        <v>180</v>
      </c>
      <c r="R5" s="73"/>
    </row>
    <row r="6" ht="17" customHeight="1" spans="1:18" x14ac:dyDescent="0.25">
      <c r="A6" s="75"/>
      <c r="B6" s="76" t="s">
        <v>213</v>
      </c>
      <c r="C6" s="76" t="s">
        <v>214</v>
      </c>
      <c r="D6" s="76" t="s">
        <v>262</v>
      </c>
      <c r="E6" s="84">
        <v>400</v>
      </c>
      <c r="F6" s="84">
        <v>60</v>
      </c>
      <c r="G6" s="85">
        <f>IF($B6="","",$E6+$F6)</f>
      </c>
      <c r="H6" s="85">
        <f>IF($B6="","",SUMIFS('GIFT PLANNER'!$Q$6:$Q$205,'GIFT PLANNER'!$C$6:$C$205,$B6,'GIFT PLANNER'!$E$6:$E$205,"Yes"))</f>
      </c>
      <c r="I6" s="85">
        <f>IF($B6="","",SUMIFS('GIFT PLANNER'!$R$6:$R$205,'GIFT PLANNER'!$C$6:$C$205,$B6,'GIFT PLANNER'!$E$6:$E$205,"Yes"))</f>
      </c>
      <c r="J6" s="85">
        <f>IF($B6="","",SUMIFS('STOCKING STUFFERS'!$J$6:$J$155,'STOCKING STUFFERS'!$C$6:$C$155,$B6))</f>
      </c>
      <c r="K6" s="85">
        <f>IF($B6="","",SUMIFS('STOCKING STUFFERS'!$K$6:$K$155,'STOCKING STUFFERS'!$C$6:$C$155,$B6))</f>
      </c>
      <c r="L6" s="85">
        <f>IF($B6="","",$I6+$K6)</f>
      </c>
      <c r="M6" s="85">
        <f>IF($B6="","",$G6-$L6)</f>
      </c>
      <c r="N6" s="78">
        <f>IF($B6="","",IF(AND($G6=0,$L6=0),"NOT SET",IF($L6&gt;$G6,"OVER BUDGET",IF($L6=$G6,"AT BUDGET",IF(AND($G6&gt;0,$L6/$G6&gt;=Set_WarnThreshold),"NEAR LIMIT","ON TRACK")))))</f>
      </c>
      <c r="O6" s="76" t="s">
        <v>185</v>
      </c>
      <c r="P6" s="77" t="s">
        <v>186</v>
      </c>
      <c r="Q6" s="78">
        <f>IF($B6="",0,IF(COUNTIF('PEOPLE + BUDGETS'!$B$6:$B$105,$B6)&gt;1,1,0))</f>
      </c>
      <c r="R6" s="75"/>
    </row>
    <row r="7" ht="17" customHeight="1" spans="1:18" x14ac:dyDescent="0.25">
      <c r="A7" s="75"/>
      <c r="B7" s="76" t="s">
        <v>227</v>
      </c>
      <c r="C7" s="76" t="s">
        <v>228</v>
      </c>
      <c r="D7" s="76" t="s">
        <v>262</v>
      </c>
      <c r="E7" s="84">
        <v>500</v>
      </c>
      <c r="F7" s="84">
        <v>60</v>
      </c>
      <c r="G7" s="85">
        <f>IF($B7="","",$E7+$F7)</f>
      </c>
      <c r="H7" s="85">
        <f>IF($B7="","",SUMIFS('GIFT PLANNER'!$Q$6:$Q$205,'GIFT PLANNER'!$C$6:$C$205,$B7,'GIFT PLANNER'!$E$6:$E$205,"Yes"))</f>
      </c>
      <c r="I7" s="85">
        <f>IF($B7="","",SUMIFS('GIFT PLANNER'!$R$6:$R$205,'GIFT PLANNER'!$C$6:$C$205,$B7,'GIFT PLANNER'!$E$6:$E$205,"Yes"))</f>
      </c>
      <c r="J7" s="85">
        <f>IF($B7="","",SUMIFS('STOCKING STUFFERS'!$J$6:$J$155,'STOCKING STUFFERS'!$C$6:$C$155,$B7))</f>
      </c>
      <c r="K7" s="85">
        <f>IF($B7="","",SUMIFS('STOCKING STUFFERS'!$K$6:$K$155,'STOCKING STUFFERS'!$C$6:$C$155,$B7))</f>
      </c>
      <c r="L7" s="85">
        <f>IF($B7="","",$I7+$K7)</f>
      </c>
      <c r="M7" s="85">
        <f>IF($B7="","",$G7-$L7)</f>
      </c>
      <c r="N7" s="78">
        <f>IF($B7="","",IF(AND($G7=0,$L7=0),"NOT SET",IF($L7&gt;$G7,"OVER BUDGET",IF($L7=$G7,"AT BUDGET",IF(AND($G7&gt;0,$L7/$G7&gt;=Set_WarnThreshold),"NEAR LIMIT","ON TRACK")))))</f>
      </c>
      <c r="O7" s="76" t="s">
        <v>185</v>
      </c>
      <c r="P7" s="77" t="s">
        <v>186</v>
      </c>
      <c r="Q7" s="78">
        <f>IF($B7="",0,IF(COUNTIF('PEOPLE + BUDGETS'!$B$6:$B$105,$B7)&gt;1,1,0))</f>
      </c>
      <c r="R7" s="75"/>
    </row>
    <row r="8" ht="17" customHeight="1" spans="1:18" x14ac:dyDescent="0.25">
      <c r="A8" s="75"/>
      <c r="B8" s="76" t="s">
        <v>239</v>
      </c>
      <c r="C8" s="76" t="s">
        <v>240</v>
      </c>
      <c r="D8" s="76" t="s">
        <v>263</v>
      </c>
      <c r="E8" s="84">
        <v>120</v>
      </c>
      <c r="F8" s="84">
        <v>0</v>
      </c>
      <c r="G8" s="85">
        <f>IF($B8="","",$E8+$F8)</f>
      </c>
      <c r="H8" s="85">
        <f>IF($B8="","",SUMIFS('GIFT PLANNER'!$Q$6:$Q$205,'GIFT PLANNER'!$C$6:$C$205,$B8,'GIFT PLANNER'!$E$6:$E$205,"Yes"))</f>
      </c>
      <c r="I8" s="85">
        <f>IF($B8="","",SUMIFS('GIFT PLANNER'!$R$6:$R$205,'GIFT PLANNER'!$C$6:$C$205,$B8,'GIFT PLANNER'!$E$6:$E$205,"Yes"))</f>
      </c>
      <c r="J8" s="85">
        <f>IF($B8="","",SUMIFS('STOCKING STUFFERS'!$J$6:$J$155,'STOCKING STUFFERS'!$C$6:$C$155,$B8))</f>
      </c>
      <c r="K8" s="85">
        <f>IF($B8="","",SUMIFS('STOCKING STUFFERS'!$K$6:$K$155,'STOCKING STUFFERS'!$C$6:$C$155,$B8))</f>
      </c>
      <c r="L8" s="85">
        <f>IF($B8="","",$I8+$K8)</f>
      </c>
      <c r="M8" s="85">
        <f>IF($B8="","",$G8-$L8)</f>
      </c>
      <c r="N8" s="78">
        <f>IF($B8="","",IF(AND($G8=0,$L8=0),"NOT SET",IF($L8&gt;$G8,"OVER BUDGET",IF($L8=$G8,"AT BUDGET",IF(AND($G8&gt;0,$L8/$G8&gt;=Set_WarnThreshold),"NEAR LIMIT","ON TRACK")))))</f>
      </c>
      <c r="O8" s="76" t="s">
        <v>185</v>
      </c>
      <c r="P8" s="77" t="s">
        <v>186</v>
      </c>
      <c r="Q8" s="78">
        <f>IF($B8="",0,IF(COUNTIF('PEOPLE + BUDGETS'!$B$6:$B$105,$B8)&gt;1,1,0))</f>
      </c>
      <c r="R8" s="75"/>
    </row>
    <row r="9" ht="17" customHeight="1" spans="1:18" x14ac:dyDescent="0.25">
      <c r="A9" s="75"/>
      <c r="B9" s="79"/>
      <c r="C9" s="79"/>
      <c r="D9" s="79"/>
      <c r="E9" s="86"/>
      <c r="F9" s="86"/>
      <c r="G9" s="85">
        <f>IF($B9="","",$E9+$F9)</f>
      </c>
      <c r="H9" s="85">
        <f>IF($B9="","",SUMIFS('GIFT PLANNER'!$Q$6:$Q$205,'GIFT PLANNER'!$C$6:$C$205,$B9,'GIFT PLANNER'!$E$6:$E$205,"Yes"))</f>
      </c>
      <c r="I9" s="85">
        <f>IF($B9="","",SUMIFS('GIFT PLANNER'!$R$6:$R$205,'GIFT PLANNER'!$C$6:$C$205,$B9,'GIFT PLANNER'!$E$6:$E$205,"Yes"))</f>
      </c>
      <c r="J9" s="85">
        <f>IF($B9="","",SUMIFS('STOCKING STUFFERS'!$J$6:$J$155,'STOCKING STUFFERS'!$C$6:$C$155,$B9))</f>
      </c>
      <c r="K9" s="85">
        <f>IF($B9="","",SUMIFS('STOCKING STUFFERS'!$K$6:$K$155,'STOCKING STUFFERS'!$C$6:$C$155,$B9))</f>
      </c>
      <c r="L9" s="85">
        <f>IF($B9="","",$I9+$K9)</f>
      </c>
      <c r="M9" s="85">
        <f>IF($B9="","",$G9-$L9)</f>
      </c>
      <c r="N9" s="78">
        <f>IF($B9="","",IF(AND($G9=0,$L9=0),"NOT SET",IF($L9&gt;$G9,"OVER BUDGET",IF($L9=$G9,"AT BUDGET",IF(AND($G9&gt;0,$L9/$G9&gt;=Set_WarnThreshold),"NEAR LIMIT","ON TRACK")))))</f>
      </c>
      <c r="O9" s="79"/>
      <c r="P9" s="80"/>
      <c r="Q9" s="78">
        <f>IF($B9="",0,IF(COUNTIF('PEOPLE + BUDGETS'!$B$6:$B$105,$B9)&gt;1,1,0))</f>
      </c>
      <c r="R9" s="75"/>
    </row>
    <row r="10" ht="17" customHeight="1" spans="1:18" x14ac:dyDescent="0.25">
      <c r="A10" s="75"/>
      <c r="B10" s="79"/>
      <c r="C10" s="79"/>
      <c r="D10" s="79"/>
      <c r="E10" s="86"/>
      <c r="F10" s="86"/>
      <c r="G10" s="85">
        <f>IF($B10="","",$E10+$F10)</f>
      </c>
      <c r="H10" s="85">
        <f>IF($B10="","",SUMIFS('GIFT PLANNER'!$Q$6:$Q$205,'GIFT PLANNER'!$C$6:$C$205,$B10,'GIFT PLANNER'!$E$6:$E$205,"Yes"))</f>
      </c>
      <c r="I10" s="85">
        <f>IF($B10="","",SUMIFS('GIFT PLANNER'!$R$6:$R$205,'GIFT PLANNER'!$C$6:$C$205,$B10,'GIFT PLANNER'!$E$6:$E$205,"Yes"))</f>
      </c>
      <c r="J10" s="85">
        <f>IF($B10="","",SUMIFS('STOCKING STUFFERS'!$J$6:$J$155,'STOCKING STUFFERS'!$C$6:$C$155,$B10))</f>
      </c>
      <c r="K10" s="85">
        <f>IF($B10="","",SUMIFS('STOCKING STUFFERS'!$K$6:$K$155,'STOCKING STUFFERS'!$C$6:$C$155,$B10))</f>
      </c>
      <c r="L10" s="85">
        <f>IF($B10="","",$I10+$K10)</f>
      </c>
      <c r="M10" s="85">
        <f>IF($B10="","",$G10-$L10)</f>
      </c>
      <c r="N10" s="78">
        <f>IF($B10="","",IF(AND($G10=0,$L10=0),"NOT SET",IF($L10&gt;$G10,"OVER BUDGET",IF($L10=$G10,"AT BUDGET",IF(AND($G10&gt;0,$L10/$G10&gt;=Set_WarnThreshold),"NEAR LIMIT","ON TRACK")))))</f>
      </c>
      <c r="O10" s="79"/>
      <c r="P10" s="80"/>
      <c r="Q10" s="78">
        <f>IF($B10="",0,IF(COUNTIF('PEOPLE + BUDGETS'!$B$6:$B$105,$B10)&gt;1,1,0))</f>
      </c>
      <c r="R10" s="75"/>
    </row>
    <row r="11" ht="17" customHeight="1" spans="1:18" x14ac:dyDescent="0.25">
      <c r="A11" s="75"/>
      <c r="B11" s="79"/>
      <c r="C11" s="79"/>
      <c r="D11" s="79"/>
      <c r="E11" s="86"/>
      <c r="F11" s="86"/>
      <c r="G11" s="85">
        <f>IF($B11="","",$E11+$F11)</f>
      </c>
      <c r="H11" s="85">
        <f>IF($B11="","",SUMIFS('GIFT PLANNER'!$Q$6:$Q$205,'GIFT PLANNER'!$C$6:$C$205,$B11,'GIFT PLANNER'!$E$6:$E$205,"Yes"))</f>
      </c>
      <c r="I11" s="85">
        <f>IF($B11="","",SUMIFS('GIFT PLANNER'!$R$6:$R$205,'GIFT PLANNER'!$C$6:$C$205,$B11,'GIFT PLANNER'!$E$6:$E$205,"Yes"))</f>
      </c>
      <c r="J11" s="85">
        <f>IF($B11="","",SUMIFS('STOCKING STUFFERS'!$J$6:$J$155,'STOCKING STUFFERS'!$C$6:$C$155,$B11))</f>
      </c>
      <c r="K11" s="85">
        <f>IF($B11="","",SUMIFS('STOCKING STUFFERS'!$K$6:$K$155,'STOCKING STUFFERS'!$C$6:$C$155,$B11))</f>
      </c>
      <c r="L11" s="85">
        <f>IF($B11="","",$I11+$K11)</f>
      </c>
      <c r="M11" s="85">
        <f>IF($B11="","",$G11-$L11)</f>
      </c>
      <c r="N11" s="78">
        <f>IF($B11="","",IF(AND($G11=0,$L11=0),"NOT SET",IF($L11&gt;$G11,"OVER BUDGET",IF($L11=$G11,"AT BUDGET",IF(AND($G11&gt;0,$L11/$G11&gt;=Set_WarnThreshold),"NEAR LIMIT","ON TRACK")))))</f>
      </c>
      <c r="O11" s="79"/>
      <c r="P11" s="80"/>
      <c r="Q11" s="78">
        <f>IF($B11="",0,IF(COUNTIF('PEOPLE + BUDGETS'!$B$6:$B$105,$B11)&gt;1,1,0))</f>
      </c>
      <c r="R11" s="75"/>
    </row>
    <row r="12" ht="17" customHeight="1" spans="1:18" x14ac:dyDescent="0.25">
      <c r="A12" s="75"/>
      <c r="B12" s="79"/>
      <c r="C12" s="79"/>
      <c r="D12" s="79"/>
      <c r="E12" s="86"/>
      <c r="F12" s="86"/>
      <c r="G12" s="85">
        <f>IF($B12="","",$E12+$F12)</f>
      </c>
      <c r="H12" s="85">
        <f>IF($B12="","",SUMIFS('GIFT PLANNER'!$Q$6:$Q$205,'GIFT PLANNER'!$C$6:$C$205,$B12,'GIFT PLANNER'!$E$6:$E$205,"Yes"))</f>
      </c>
      <c r="I12" s="85">
        <f>IF($B12="","",SUMIFS('GIFT PLANNER'!$R$6:$R$205,'GIFT PLANNER'!$C$6:$C$205,$B12,'GIFT PLANNER'!$E$6:$E$205,"Yes"))</f>
      </c>
      <c r="J12" s="85">
        <f>IF($B12="","",SUMIFS('STOCKING STUFFERS'!$J$6:$J$155,'STOCKING STUFFERS'!$C$6:$C$155,$B12))</f>
      </c>
      <c r="K12" s="85">
        <f>IF($B12="","",SUMIFS('STOCKING STUFFERS'!$K$6:$K$155,'STOCKING STUFFERS'!$C$6:$C$155,$B12))</f>
      </c>
      <c r="L12" s="85">
        <f>IF($B12="","",$I12+$K12)</f>
      </c>
      <c r="M12" s="85">
        <f>IF($B12="","",$G12-$L12)</f>
      </c>
      <c r="N12" s="78">
        <f>IF($B12="","",IF(AND($G12=0,$L12=0),"NOT SET",IF($L12&gt;$G12,"OVER BUDGET",IF($L12=$G12,"AT BUDGET",IF(AND($G12&gt;0,$L12/$G12&gt;=Set_WarnThreshold),"NEAR LIMIT","ON TRACK")))))</f>
      </c>
      <c r="O12" s="79"/>
      <c r="P12" s="80"/>
      <c r="Q12" s="78">
        <f>IF($B12="",0,IF(COUNTIF('PEOPLE + BUDGETS'!$B$6:$B$105,$B12)&gt;1,1,0))</f>
      </c>
      <c r="R12" s="75"/>
    </row>
    <row r="13" ht="17" customHeight="1" spans="1:18" x14ac:dyDescent="0.25">
      <c r="A13" s="75"/>
      <c r="B13" s="79"/>
      <c r="C13" s="79"/>
      <c r="D13" s="79"/>
      <c r="E13" s="86"/>
      <c r="F13" s="86"/>
      <c r="G13" s="85">
        <f>IF($B13="","",$E13+$F13)</f>
      </c>
      <c r="H13" s="85">
        <f>IF($B13="","",SUMIFS('GIFT PLANNER'!$Q$6:$Q$205,'GIFT PLANNER'!$C$6:$C$205,$B13,'GIFT PLANNER'!$E$6:$E$205,"Yes"))</f>
      </c>
      <c r="I13" s="85">
        <f>IF($B13="","",SUMIFS('GIFT PLANNER'!$R$6:$R$205,'GIFT PLANNER'!$C$6:$C$205,$B13,'GIFT PLANNER'!$E$6:$E$205,"Yes"))</f>
      </c>
      <c r="J13" s="85">
        <f>IF($B13="","",SUMIFS('STOCKING STUFFERS'!$J$6:$J$155,'STOCKING STUFFERS'!$C$6:$C$155,$B13))</f>
      </c>
      <c r="K13" s="85">
        <f>IF($B13="","",SUMIFS('STOCKING STUFFERS'!$K$6:$K$155,'STOCKING STUFFERS'!$C$6:$C$155,$B13))</f>
      </c>
      <c r="L13" s="85">
        <f>IF($B13="","",$I13+$K13)</f>
      </c>
      <c r="M13" s="85">
        <f>IF($B13="","",$G13-$L13)</f>
      </c>
      <c r="N13" s="78">
        <f>IF($B13="","",IF(AND($G13=0,$L13=0),"NOT SET",IF($L13&gt;$G13,"OVER BUDGET",IF($L13=$G13,"AT BUDGET",IF(AND($G13&gt;0,$L13/$G13&gt;=Set_WarnThreshold),"NEAR LIMIT","ON TRACK")))))</f>
      </c>
      <c r="O13" s="79"/>
      <c r="P13" s="80"/>
      <c r="Q13" s="78">
        <f>IF($B13="",0,IF(COUNTIF('PEOPLE + BUDGETS'!$B$6:$B$105,$B13)&gt;1,1,0))</f>
      </c>
      <c r="R13" s="75"/>
    </row>
    <row r="14" ht="17" customHeight="1" spans="1:18" x14ac:dyDescent="0.25">
      <c r="A14" s="75"/>
      <c r="B14" s="79"/>
      <c r="C14" s="79"/>
      <c r="D14" s="79"/>
      <c r="E14" s="86"/>
      <c r="F14" s="86"/>
      <c r="G14" s="85">
        <f>IF($B14="","",$E14+$F14)</f>
      </c>
      <c r="H14" s="85">
        <f>IF($B14="","",SUMIFS('GIFT PLANNER'!$Q$6:$Q$205,'GIFT PLANNER'!$C$6:$C$205,$B14,'GIFT PLANNER'!$E$6:$E$205,"Yes"))</f>
      </c>
      <c r="I14" s="85">
        <f>IF($B14="","",SUMIFS('GIFT PLANNER'!$R$6:$R$205,'GIFT PLANNER'!$C$6:$C$205,$B14,'GIFT PLANNER'!$E$6:$E$205,"Yes"))</f>
      </c>
      <c r="J14" s="85">
        <f>IF($B14="","",SUMIFS('STOCKING STUFFERS'!$J$6:$J$155,'STOCKING STUFFERS'!$C$6:$C$155,$B14))</f>
      </c>
      <c r="K14" s="85">
        <f>IF($B14="","",SUMIFS('STOCKING STUFFERS'!$K$6:$K$155,'STOCKING STUFFERS'!$C$6:$C$155,$B14))</f>
      </c>
      <c r="L14" s="85">
        <f>IF($B14="","",$I14+$K14)</f>
      </c>
      <c r="M14" s="85">
        <f>IF($B14="","",$G14-$L14)</f>
      </c>
      <c r="N14" s="78">
        <f>IF($B14="","",IF(AND($G14=0,$L14=0),"NOT SET",IF($L14&gt;$G14,"OVER BUDGET",IF($L14=$G14,"AT BUDGET",IF(AND($G14&gt;0,$L14/$G14&gt;=Set_WarnThreshold),"NEAR LIMIT","ON TRACK")))))</f>
      </c>
      <c r="O14" s="79"/>
      <c r="P14" s="80"/>
      <c r="Q14" s="78">
        <f>IF($B14="",0,IF(COUNTIF('PEOPLE + BUDGETS'!$B$6:$B$105,$B14)&gt;1,1,0))</f>
      </c>
      <c r="R14" s="75"/>
    </row>
    <row r="15" ht="17" customHeight="1" spans="1:18" x14ac:dyDescent="0.25">
      <c r="A15" s="75"/>
      <c r="B15" s="79"/>
      <c r="C15" s="79"/>
      <c r="D15" s="79"/>
      <c r="E15" s="86"/>
      <c r="F15" s="86"/>
      <c r="G15" s="85">
        <f>IF($B15="","",$E15+$F15)</f>
      </c>
      <c r="H15" s="85">
        <f>IF($B15="","",SUMIFS('GIFT PLANNER'!$Q$6:$Q$205,'GIFT PLANNER'!$C$6:$C$205,$B15,'GIFT PLANNER'!$E$6:$E$205,"Yes"))</f>
      </c>
      <c r="I15" s="85">
        <f>IF($B15="","",SUMIFS('GIFT PLANNER'!$R$6:$R$205,'GIFT PLANNER'!$C$6:$C$205,$B15,'GIFT PLANNER'!$E$6:$E$205,"Yes"))</f>
      </c>
      <c r="J15" s="85">
        <f>IF($B15="","",SUMIFS('STOCKING STUFFERS'!$J$6:$J$155,'STOCKING STUFFERS'!$C$6:$C$155,$B15))</f>
      </c>
      <c r="K15" s="85">
        <f>IF($B15="","",SUMIFS('STOCKING STUFFERS'!$K$6:$K$155,'STOCKING STUFFERS'!$C$6:$C$155,$B15))</f>
      </c>
      <c r="L15" s="85">
        <f>IF($B15="","",$I15+$K15)</f>
      </c>
      <c r="M15" s="85">
        <f>IF($B15="","",$G15-$L15)</f>
      </c>
      <c r="N15" s="78">
        <f>IF($B15="","",IF(AND($G15=0,$L15=0),"NOT SET",IF($L15&gt;$G15,"OVER BUDGET",IF($L15=$G15,"AT BUDGET",IF(AND($G15&gt;0,$L15/$G15&gt;=Set_WarnThreshold),"NEAR LIMIT","ON TRACK")))))</f>
      </c>
      <c r="O15" s="79"/>
      <c r="P15" s="80"/>
      <c r="Q15" s="78">
        <f>IF($B15="",0,IF(COUNTIF('PEOPLE + BUDGETS'!$B$6:$B$105,$B15)&gt;1,1,0))</f>
      </c>
      <c r="R15" s="75"/>
    </row>
    <row r="16" ht="17" customHeight="1" spans="1:18" x14ac:dyDescent="0.25">
      <c r="A16" s="75"/>
      <c r="B16" s="79"/>
      <c r="C16" s="79"/>
      <c r="D16" s="79"/>
      <c r="E16" s="86"/>
      <c r="F16" s="86"/>
      <c r="G16" s="85">
        <f>IF($B16="","",$E16+$F16)</f>
      </c>
      <c r="H16" s="85">
        <f>IF($B16="","",SUMIFS('GIFT PLANNER'!$Q$6:$Q$205,'GIFT PLANNER'!$C$6:$C$205,$B16,'GIFT PLANNER'!$E$6:$E$205,"Yes"))</f>
      </c>
      <c r="I16" s="85">
        <f>IF($B16="","",SUMIFS('GIFT PLANNER'!$R$6:$R$205,'GIFT PLANNER'!$C$6:$C$205,$B16,'GIFT PLANNER'!$E$6:$E$205,"Yes"))</f>
      </c>
      <c r="J16" s="85">
        <f>IF($B16="","",SUMIFS('STOCKING STUFFERS'!$J$6:$J$155,'STOCKING STUFFERS'!$C$6:$C$155,$B16))</f>
      </c>
      <c r="K16" s="85">
        <f>IF($B16="","",SUMIFS('STOCKING STUFFERS'!$K$6:$K$155,'STOCKING STUFFERS'!$C$6:$C$155,$B16))</f>
      </c>
      <c r="L16" s="85">
        <f>IF($B16="","",$I16+$K16)</f>
      </c>
      <c r="M16" s="85">
        <f>IF($B16="","",$G16-$L16)</f>
      </c>
      <c r="N16" s="78">
        <f>IF($B16="","",IF(AND($G16=0,$L16=0),"NOT SET",IF($L16&gt;$G16,"OVER BUDGET",IF($L16=$G16,"AT BUDGET",IF(AND($G16&gt;0,$L16/$G16&gt;=Set_WarnThreshold),"NEAR LIMIT","ON TRACK")))))</f>
      </c>
      <c r="O16" s="79"/>
      <c r="P16" s="80"/>
      <c r="Q16" s="78">
        <f>IF($B16="",0,IF(COUNTIF('PEOPLE + BUDGETS'!$B$6:$B$105,$B16)&gt;1,1,0))</f>
      </c>
      <c r="R16" s="75"/>
    </row>
    <row r="17" ht="17" customHeight="1" spans="1:18" x14ac:dyDescent="0.25">
      <c r="A17" s="75"/>
      <c r="B17" s="79"/>
      <c r="C17" s="79"/>
      <c r="D17" s="79"/>
      <c r="E17" s="86"/>
      <c r="F17" s="86"/>
      <c r="G17" s="85">
        <f>IF($B17="","",$E17+$F17)</f>
      </c>
      <c r="H17" s="85">
        <f>IF($B17="","",SUMIFS('GIFT PLANNER'!$Q$6:$Q$205,'GIFT PLANNER'!$C$6:$C$205,$B17,'GIFT PLANNER'!$E$6:$E$205,"Yes"))</f>
      </c>
      <c r="I17" s="85">
        <f>IF($B17="","",SUMIFS('GIFT PLANNER'!$R$6:$R$205,'GIFT PLANNER'!$C$6:$C$205,$B17,'GIFT PLANNER'!$E$6:$E$205,"Yes"))</f>
      </c>
      <c r="J17" s="85">
        <f>IF($B17="","",SUMIFS('STOCKING STUFFERS'!$J$6:$J$155,'STOCKING STUFFERS'!$C$6:$C$155,$B17))</f>
      </c>
      <c r="K17" s="85">
        <f>IF($B17="","",SUMIFS('STOCKING STUFFERS'!$K$6:$K$155,'STOCKING STUFFERS'!$C$6:$C$155,$B17))</f>
      </c>
      <c r="L17" s="85">
        <f>IF($B17="","",$I17+$K17)</f>
      </c>
      <c r="M17" s="85">
        <f>IF($B17="","",$G17-$L17)</f>
      </c>
      <c r="N17" s="78">
        <f>IF($B17="","",IF(AND($G17=0,$L17=0),"NOT SET",IF($L17&gt;$G17,"OVER BUDGET",IF($L17=$G17,"AT BUDGET",IF(AND($G17&gt;0,$L17/$G17&gt;=Set_WarnThreshold),"NEAR LIMIT","ON TRACK")))))</f>
      </c>
      <c r="O17" s="79"/>
      <c r="P17" s="80"/>
      <c r="Q17" s="78">
        <f>IF($B17="",0,IF(COUNTIF('PEOPLE + BUDGETS'!$B$6:$B$105,$B17)&gt;1,1,0))</f>
      </c>
      <c r="R17" s="75"/>
    </row>
    <row r="18" ht="17" customHeight="1" spans="1:18" x14ac:dyDescent="0.25">
      <c r="A18" s="75"/>
      <c r="B18" s="79"/>
      <c r="C18" s="79"/>
      <c r="D18" s="79"/>
      <c r="E18" s="86"/>
      <c r="F18" s="86"/>
      <c r="G18" s="85">
        <f>IF($B18="","",$E18+$F18)</f>
      </c>
      <c r="H18" s="85">
        <f>IF($B18="","",SUMIFS('GIFT PLANNER'!$Q$6:$Q$205,'GIFT PLANNER'!$C$6:$C$205,$B18,'GIFT PLANNER'!$E$6:$E$205,"Yes"))</f>
      </c>
      <c r="I18" s="85">
        <f>IF($B18="","",SUMIFS('GIFT PLANNER'!$R$6:$R$205,'GIFT PLANNER'!$C$6:$C$205,$B18,'GIFT PLANNER'!$E$6:$E$205,"Yes"))</f>
      </c>
      <c r="J18" s="85">
        <f>IF($B18="","",SUMIFS('STOCKING STUFFERS'!$J$6:$J$155,'STOCKING STUFFERS'!$C$6:$C$155,$B18))</f>
      </c>
      <c r="K18" s="85">
        <f>IF($B18="","",SUMIFS('STOCKING STUFFERS'!$K$6:$K$155,'STOCKING STUFFERS'!$C$6:$C$155,$B18))</f>
      </c>
      <c r="L18" s="85">
        <f>IF($B18="","",$I18+$K18)</f>
      </c>
      <c r="M18" s="85">
        <f>IF($B18="","",$G18-$L18)</f>
      </c>
      <c r="N18" s="78">
        <f>IF($B18="","",IF(AND($G18=0,$L18=0),"NOT SET",IF($L18&gt;$G18,"OVER BUDGET",IF($L18=$G18,"AT BUDGET",IF(AND($G18&gt;0,$L18/$G18&gt;=Set_WarnThreshold),"NEAR LIMIT","ON TRACK")))))</f>
      </c>
      <c r="O18" s="79"/>
      <c r="P18" s="80"/>
      <c r="Q18" s="78">
        <f>IF($B18="",0,IF(COUNTIF('PEOPLE + BUDGETS'!$B$6:$B$105,$B18)&gt;1,1,0))</f>
      </c>
      <c r="R18" s="75"/>
    </row>
    <row r="19" ht="17" customHeight="1" spans="1:18" x14ac:dyDescent="0.25">
      <c r="A19" s="75"/>
      <c r="B19" s="79"/>
      <c r="C19" s="79"/>
      <c r="D19" s="79"/>
      <c r="E19" s="86"/>
      <c r="F19" s="86"/>
      <c r="G19" s="85">
        <f>IF($B19="","",$E19+$F19)</f>
      </c>
      <c r="H19" s="85">
        <f>IF($B19="","",SUMIFS('GIFT PLANNER'!$Q$6:$Q$205,'GIFT PLANNER'!$C$6:$C$205,$B19,'GIFT PLANNER'!$E$6:$E$205,"Yes"))</f>
      </c>
      <c r="I19" s="85">
        <f>IF($B19="","",SUMIFS('GIFT PLANNER'!$R$6:$R$205,'GIFT PLANNER'!$C$6:$C$205,$B19,'GIFT PLANNER'!$E$6:$E$205,"Yes"))</f>
      </c>
      <c r="J19" s="85">
        <f>IF($B19="","",SUMIFS('STOCKING STUFFERS'!$J$6:$J$155,'STOCKING STUFFERS'!$C$6:$C$155,$B19))</f>
      </c>
      <c r="K19" s="85">
        <f>IF($B19="","",SUMIFS('STOCKING STUFFERS'!$K$6:$K$155,'STOCKING STUFFERS'!$C$6:$C$155,$B19))</f>
      </c>
      <c r="L19" s="85">
        <f>IF($B19="","",$I19+$K19)</f>
      </c>
      <c r="M19" s="85">
        <f>IF($B19="","",$G19-$L19)</f>
      </c>
      <c r="N19" s="78">
        <f>IF($B19="","",IF(AND($G19=0,$L19=0),"NOT SET",IF($L19&gt;$G19,"OVER BUDGET",IF($L19=$G19,"AT BUDGET",IF(AND($G19&gt;0,$L19/$G19&gt;=Set_WarnThreshold),"NEAR LIMIT","ON TRACK")))))</f>
      </c>
      <c r="O19" s="79"/>
      <c r="P19" s="80"/>
      <c r="Q19" s="78">
        <f>IF($B19="",0,IF(COUNTIF('PEOPLE + BUDGETS'!$B$6:$B$105,$B19)&gt;1,1,0))</f>
      </c>
      <c r="R19" s="75"/>
    </row>
    <row r="20" ht="17" customHeight="1" spans="1:18" x14ac:dyDescent="0.25">
      <c r="A20" s="75"/>
      <c r="B20" s="79"/>
      <c r="C20" s="79"/>
      <c r="D20" s="79"/>
      <c r="E20" s="86"/>
      <c r="F20" s="86"/>
      <c r="G20" s="85">
        <f>IF($B20="","",$E20+$F20)</f>
      </c>
      <c r="H20" s="85">
        <f>IF($B20="","",SUMIFS('GIFT PLANNER'!$Q$6:$Q$205,'GIFT PLANNER'!$C$6:$C$205,$B20,'GIFT PLANNER'!$E$6:$E$205,"Yes"))</f>
      </c>
      <c r="I20" s="85">
        <f>IF($B20="","",SUMIFS('GIFT PLANNER'!$R$6:$R$205,'GIFT PLANNER'!$C$6:$C$205,$B20,'GIFT PLANNER'!$E$6:$E$205,"Yes"))</f>
      </c>
      <c r="J20" s="85">
        <f>IF($B20="","",SUMIFS('STOCKING STUFFERS'!$J$6:$J$155,'STOCKING STUFFERS'!$C$6:$C$155,$B20))</f>
      </c>
      <c r="K20" s="85">
        <f>IF($B20="","",SUMIFS('STOCKING STUFFERS'!$K$6:$K$155,'STOCKING STUFFERS'!$C$6:$C$155,$B20))</f>
      </c>
      <c r="L20" s="85">
        <f>IF($B20="","",$I20+$K20)</f>
      </c>
      <c r="M20" s="85">
        <f>IF($B20="","",$G20-$L20)</f>
      </c>
      <c r="N20" s="78">
        <f>IF($B20="","",IF(AND($G20=0,$L20=0),"NOT SET",IF($L20&gt;$G20,"OVER BUDGET",IF($L20=$G20,"AT BUDGET",IF(AND($G20&gt;0,$L20/$G20&gt;=Set_WarnThreshold),"NEAR LIMIT","ON TRACK")))))</f>
      </c>
      <c r="O20" s="79"/>
      <c r="P20" s="80"/>
      <c r="Q20" s="78">
        <f>IF($B20="",0,IF(COUNTIF('PEOPLE + BUDGETS'!$B$6:$B$105,$B20)&gt;1,1,0))</f>
      </c>
      <c r="R20" s="75"/>
    </row>
    <row r="21" ht="17" customHeight="1" spans="1:18" x14ac:dyDescent="0.25">
      <c r="A21" s="75"/>
      <c r="B21" s="79"/>
      <c r="C21" s="79"/>
      <c r="D21" s="79"/>
      <c r="E21" s="86"/>
      <c r="F21" s="86"/>
      <c r="G21" s="85">
        <f>IF($B21="","",$E21+$F21)</f>
      </c>
      <c r="H21" s="85">
        <f>IF($B21="","",SUMIFS('GIFT PLANNER'!$Q$6:$Q$205,'GIFT PLANNER'!$C$6:$C$205,$B21,'GIFT PLANNER'!$E$6:$E$205,"Yes"))</f>
      </c>
      <c r="I21" s="85">
        <f>IF($B21="","",SUMIFS('GIFT PLANNER'!$R$6:$R$205,'GIFT PLANNER'!$C$6:$C$205,$B21,'GIFT PLANNER'!$E$6:$E$205,"Yes"))</f>
      </c>
      <c r="J21" s="85">
        <f>IF($B21="","",SUMIFS('STOCKING STUFFERS'!$J$6:$J$155,'STOCKING STUFFERS'!$C$6:$C$155,$B21))</f>
      </c>
      <c r="K21" s="85">
        <f>IF($B21="","",SUMIFS('STOCKING STUFFERS'!$K$6:$K$155,'STOCKING STUFFERS'!$C$6:$C$155,$B21))</f>
      </c>
      <c r="L21" s="85">
        <f>IF($B21="","",$I21+$K21)</f>
      </c>
      <c r="M21" s="85">
        <f>IF($B21="","",$G21-$L21)</f>
      </c>
      <c r="N21" s="78">
        <f>IF($B21="","",IF(AND($G21=0,$L21=0),"NOT SET",IF($L21&gt;$G21,"OVER BUDGET",IF($L21=$G21,"AT BUDGET",IF(AND($G21&gt;0,$L21/$G21&gt;=Set_WarnThreshold),"NEAR LIMIT","ON TRACK")))))</f>
      </c>
      <c r="O21" s="79"/>
      <c r="P21" s="80"/>
      <c r="Q21" s="78">
        <f>IF($B21="",0,IF(COUNTIF('PEOPLE + BUDGETS'!$B$6:$B$105,$B21)&gt;1,1,0))</f>
      </c>
      <c r="R21" s="75"/>
    </row>
    <row r="22" ht="17" customHeight="1" spans="1:18" x14ac:dyDescent="0.25">
      <c r="A22" s="75"/>
      <c r="B22" s="79"/>
      <c r="C22" s="79"/>
      <c r="D22" s="79"/>
      <c r="E22" s="86"/>
      <c r="F22" s="86"/>
      <c r="G22" s="85">
        <f>IF($B22="","",$E22+$F22)</f>
      </c>
      <c r="H22" s="85">
        <f>IF($B22="","",SUMIFS('GIFT PLANNER'!$Q$6:$Q$205,'GIFT PLANNER'!$C$6:$C$205,$B22,'GIFT PLANNER'!$E$6:$E$205,"Yes"))</f>
      </c>
      <c r="I22" s="85">
        <f>IF($B22="","",SUMIFS('GIFT PLANNER'!$R$6:$R$205,'GIFT PLANNER'!$C$6:$C$205,$B22,'GIFT PLANNER'!$E$6:$E$205,"Yes"))</f>
      </c>
      <c r="J22" s="85">
        <f>IF($B22="","",SUMIFS('STOCKING STUFFERS'!$J$6:$J$155,'STOCKING STUFFERS'!$C$6:$C$155,$B22))</f>
      </c>
      <c r="K22" s="85">
        <f>IF($B22="","",SUMIFS('STOCKING STUFFERS'!$K$6:$K$155,'STOCKING STUFFERS'!$C$6:$C$155,$B22))</f>
      </c>
      <c r="L22" s="85">
        <f>IF($B22="","",$I22+$K22)</f>
      </c>
      <c r="M22" s="85">
        <f>IF($B22="","",$G22-$L22)</f>
      </c>
      <c r="N22" s="78">
        <f>IF($B22="","",IF(AND($G22=0,$L22=0),"NOT SET",IF($L22&gt;$G22,"OVER BUDGET",IF($L22=$G22,"AT BUDGET",IF(AND($G22&gt;0,$L22/$G22&gt;=Set_WarnThreshold),"NEAR LIMIT","ON TRACK")))))</f>
      </c>
      <c r="O22" s="79"/>
      <c r="P22" s="80"/>
      <c r="Q22" s="78">
        <f>IF($B22="",0,IF(COUNTIF('PEOPLE + BUDGETS'!$B$6:$B$105,$B22)&gt;1,1,0))</f>
      </c>
      <c r="R22" s="75"/>
    </row>
    <row r="23" ht="17" customHeight="1" spans="1:18" x14ac:dyDescent="0.25">
      <c r="A23" s="75"/>
      <c r="B23" s="79"/>
      <c r="C23" s="79"/>
      <c r="D23" s="79"/>
      <c r="E23" s="86"/>
      <c r="F23" s="86"/>
      <c r="G23" s="85">
        <f>IF($B23="","",$E23+$F23)</f>
      </c>
      <c r="H23" s="85">
        <f>IF($B23="","",SUMIFS('GIFT PLANNER'!$Q$6:$Q$205,'GIFT PLANNER'!$C$6:$C$205,$B23,'GIFT PLANNER'!$E$6:$E$205,"Yes"))</f>
      </c>
      <c r="I23" s="85">
        <f>IF($B23="","",SUMIFS('GIFT PLANNER'!$R$6:$R$205,'GIFT PLANNER'!$C$6:$C$205,$B23,'GIFT PLANNER'!$E$6:$E$205,"Yes"))</f>
      </c>
      <c r="J23" s="85">
        <f>IF($B23="","",SUMIFS('STOCKING STUFFERS'!$J$6:$J$155,'STOCKING STUFFERS'!$C$6:$C$155,$B23))</f>
      </c>
      <c r="K23" s="85">
        <f>IF($B23="","",SUMIFS('STOCKING STUFFERS'!$K$6:$K$155,'STOCKING STUFFERS'!$C$6:$C$155,$B23))</f>
      </c>
      <c r="L23" s="85">
        <f>IF($B23="","",$I23+$K23)</f>
      </c>
      <c r="M23" s="85">
        <f>IF($B23="","",$G23-$L23)</f>
      </c>
      <c r="N23" s="78">
        <f>IF($B23="","",IF(AND($G23=0,$L23=0),"NOT SET",IF($L23&gt;$G23,"OVER BUDGET",IF($L23=$G23,"AT BUDGET",IF(AND($G23&gt;0,$L23/$G23&gt;=Set_WarnThreshold),"NEAR LIMIT","ON TRACK")))))</f>
      </c>
      <c r="O23" s="79"/>
      <c r="P23" s="80"/>
      <c r="Q23" s="78">
        <f>IF($B23="",0,IF(COUNTIF('PEOPLE + BUDGETS'!$B$6:$B$105,$B23)&gt;1,1,0))</f>
      </c>
      <c r="R23" s="75"/>
    </row>
    <row r="24" ht="17" customHeight="1" spans="1:18" x14ac:dyDescent="0.25">
      <c r="A24" s="75"/>
      <c r="B24" s="79"/>
      <c r="C24" s="79"/>
      <c r="D24" s="79"/>
      <c r="E24" s="86"/>
      <c r="F24" s="86"/>
      <c r="G24" s="85">
        <f>IF($B24="","",$E24+$F24)</f>
      </c>
      <c r="H24" s="85">
        <f>IF($B24="","",SUMIFS('GIFT PLANNER'!$Q$6:$Q$205,'GIFT PLANNER'!$C$6:$C$205,$B24,'GIFT PLANNER'!$E$6:$E$205,"Yes"))</f>
      </c>
      <c r="I24" s="85">
        <f>IF($B24="","",SUMIFS('GIFT PLANNER'!$R$6:$R$205,'GIFT PLANNER'!$C$6:$C$205,$B24,'GIFT PLANNER'!$E$6:$E$205,"Yes"))</f>
      </c>
      <c r="J24" s="85">
        <f>IF($B24="","",SUMIFS('STOCKING STUFFERS'!$J$6:$J$155,'STOCKING STUFFERS'!$C$6:$C$155,$B24))</f>
      </c>
      <c r="K24" s="85">
        <f>IF($B24="","",SUMIFS('STOCKING STUFFERS'!$K$6:$K$155,'STOCKING STUFFERS'!$C$6:$C$155,$B24))</f>
      </c>
      <c r="L24" s="85">
        <f>IF($B24="","",$I24+$K24)</f>
      </c>
      <c r="M24" s="85">
        <f>IF($B24="","",$G24-$L24)</f>
      </c>
      <c r="N24" s="78">
        <f>IF($B24="","",IF(AND($G24=0,$L24=0),"NOT SET",IF($L24&gt;$G24,"OVER BUDGET",IF($L24=$G24,"AT BUDGET",IF(AND($G24&gt;0,$L24/$G24&gt;=Set_WarnThreshold),"NEAR LIMIT","ON TRACK")))))</f>
      </c>
      <c r="O24" s="79"/>
      <c r="P24" s="80"/>
      <c r="Q24" s="78">
        <f>IF($B24="",0,IF(COUNTIF('PEOPLE + BUDGETS'!$B$6:$B$105,$B24)&gt;1,1,0))</f>
      </c>
      <c r="R24" s="75"/>
    </row>
    <row r="25" ht="17" customHeight="1" spans="1:18" x14ac:dyDescent="0.25">
      <c r="A25" s="75"/>
      <c r="B25" s="79"/>
      <c r="C25" s="79"/>
      <c r="D25" s="79"/>
      <c r="E25" s="86"/>
      <c r="F25" s="86"/>
      <c r="G25" s="85">
        <f>IF($B25="","",$E25+$F25)</f>
      </c>
      <c r="H25" s="85">
        <f>IF($B25="","",SUMIFS('GIFT PLANNER'!$Q$6:$Q$205,'GIFT PLANNER'!$C$6:$C$205,$B25,'GIFT PLANNER'!$E$6:$E$205,"Yes"))</f>
      </c>
      <c r="I25" s="85">
        <f>IF($B25="","",SUMIFS('GIFT PLANNER'!$R$6:$R$205,'GIFT PLANNER'!$C$6:$C$205,$B25,'GIFT PLANNER'!$E$6:$E$205,"Yes"))</f>
      </c>
      <c r="J25" s="85">
        <f>IF($B25="","",SUMIFS('STOCKING STUFFERS'!$J$6:$J$155,'STOCKING STUFFERS'!$C$6:$C$155,$B25))</f>
      </c>
      <c r="K25" s="85">
        <f>IF($B25="","",SUMIFS('STOCKING STUFFERS'!$K$6:$K$155,'STOCKING STUFFERS'!$C$6:$C$155,$B25))</f>
      </c>
      <c r="L25" s="85">
        <f>IF($B25="","",$I25+$K25)</f>
      </c>
      <c r="M25" s="85">
        <f>IF($B25="","",$G25-$L25)</f>
      </c>
      <c r="N25" s="78">
        <f>IF($B25="","",IF(AND($G25=0,$L25=0),"NOT SET",IF($L25&gt;$G25,"OVER BUDGET",IF($L25=$G25,"AT BUDGET",IF(AND($G25&gt;0,$L25/$G25&gt;=Set_WarnThreshold),"NEAR LIMIT","ON TRACK")))))</f>
      </c>
      <c r="O25" s="79"/>
      <c r="P25" s="80"/>
      <c r="Q25" s="78">
        <f>IF($B25="",0,IF(COUNTIF('PEOPLE + BUDGETS'!$B$6:$B$105,$B25)&gt;1,1,0))</f>
      </c>
      <c r="R25" s="75"/>
    </row>
    <row r="26" ht="17" customHeight="1" spans="1:18" x14ac:dyDescent="0.25">
      <c r="A26" s="75"/>
      <c r="B26" s="79"/>
      <c r="C26" s="79"/>
      <c r="D26" s="79"/>
      <c r="E26" s="86"/>
      <c r="F26" s="86"/>
      <c r="G26" s="85">
        <f>IF($B26="","",$E26+$F26)</f>
      </c>
      <c r="H26" s="85">
        <f>IF($B26="","",SUMIFS('GIFT PLANNER'!$Q$6:$Q$205,'GIFT PLANNER'!$C$6:$C$205,$B26,'GIFT PLANNER'!$E$6:$E$205,"Yes"))</f>
      </c>
      <c r="I26" s="85">
        <f>IF($B26="","",SUMIFS('GIFT PLANNER'!$R$6:$R$205,'GIFT PLANNER'!$C$6:$C$205,$B26,'GIFT PLANNER'!$E$6:$E$205,"Yes"))</f>
      </c>
      <c r="J26" s="85">
        <f>IF($B26="","",SUMIFS('STOCKING STUFFERS'!$J$6:$J$155,'STOCKING STUFFERS'!$C$6:$C$155,$B26))</f>
      </c>
      <c r="K26" s="85">
        <f>IF($B26="","",SUMIFS('STOCKING STUFFERS'!$K$6:$K$155,'STOCKING STUFFERS'!$C$6:$C$155,$B26))</f>
      </c>
      <c r="L26" s="85">
        <f>IF($B26="","",$I26+$K26)</f>
      </c>
      <c r="M26" s="85">
        <f>IF($B26="","",$G26-$L26)</f>
      </c>
      <c r="N26" s="78">
        <f>IF($B26="","",IF(AND($G26=0,$L26=0),"NOT SET",IF($L26&gt;$G26,"OVER BUDGET",IF($L26=$G26,"AT BUDGET",IF(AND($G26&gt;0,$L26/$G26&gt;=Set_WarnThreshold),"NEAR LIMIT","ON TRACK")))))</f>
      </c>
      <c r="O26" s="79"/>
      <c r="P26" s="80"/>
      <c r="Q26" s="78">
        <f>IF($B26="",0,IF(COUNTIF('PEOPLE + BUDGETS'!$B$6:$B$105,$B26)&gt;1,1,0))</f>
      </c>
      <c r="R26" s="75"/>
    </row>
    <row r="27" ht="17" customHeight="1" spans="1:18" x14ac:dyDescent="0.25">
      <c r="A27" s="75"/>
      <c r="B27" s="79"/>
      <c r="C27" s="79"/>
      <c r="D27" s="79"/>
      <c r="E27" s="86"/>
      <c r="F27" s="86"/>
      <c r="G27" s="85">
        <f>IF($B27="","",$E27+$F27)</f>
      </c>
      <c r="H27" s="85">
        <f>IF($B27="","",SUMIFS('GIFT PLANNER'!$Q$6:$Q$205,'GIFT PLANNER'!$C$6:$C$205,$B27,'GIFT PLANNER'!$E$6:$E$205,"Yes"))</f>
      </c>
      <c r="I27" s="85">
        <f>IF($B27="","",SUMIFS('GIFT PLANNER'!$R$6:$R$205,'GIFT PLANNER'!$C$6:$C$205,$B27,'GIFT PLANNER'!$E$6:$E$205,"Yes"))</f>
      </c>
      <c r="J27" s="85">
        <f>IF($B27="","",SUMIFS('STOCKING STUFFERS'!$J$6:$J$155,'STOCKING STUFFERS'!$C$6:$C$155,$B27))</f>
      </c>
      <c r="K27" s="85">
        <f>IF($B27="","",SUMIFS('STOCKING STUFFERS'!$K$6:$K$155,'STOCKING STUFFERS'!$C$6:$C$155,$B27))</f>
      </c>
      <c r="L27" s="85">
        <f>IF($B27="","",$I27+$K27)</f>
      </c>
      <c r="M27" s="85">
        <f>IF($B27="","",$G27-$L27)</f>
      </c>
      <c r="N27" s="78">
        <f>IF($B27="","",IF(AND($G27=0,$L27=0),"NOT SET",IF($L27&gt;$G27,"OVER BUDGET",IF($L27=$G27,"AT BUDGET",IF(AND($G27&gt;0,$L27/$G27&gt;=Set_WarnThreshold),"NEAR LIMIT","ON TRACK")))))</f>
      </c>
      <c r="O27" s="79"/>
      <c r="P27" s="80"/>
      <c r="Q27" s="78">
        <f>IF($B27="",0,IF(COUNTIF('PEOPLE + BUDGETS'!$B$6:$B$105,$B27)&gt;1,1,0))</f>
      </c>
      <c r="R27" s="75"/>
    </row>
    <row r="28" ht="17" customHeight="1" spans="1:18" x14ac:dyDescent="0.25">
      <c r="A28" s="75"/>
      <c r="B28" s="79"/>
      <c r="C28" s="79"/>
      <c r="D28" s="79"/>
      <c r="E28" s="86"/>
      <c r="F28" s="86"/>
      <c r="G28" s="85">
        <f>IF($B28="","",$E28+$F28)</f>
      </c>
      <c r="H28" s="85">
        <f>IF($B28="","",SUMIFS('GIFT PLANNER'!$Q$6:$Q$205,'GIFT PLANNER'!$C$6:$C$205,$B28,'GIFT PLANNER'!$E$6:$E$205,"Yes"))</f>
      </c>
      <c r="I28" s="85">
        <f>IF($B28="","",SUMIFS('GIFT PLANNER'!$R$6:$R$205,'GIFT PLANNER'!$C$6:$C$205,$B28,'GIFT PLANNER'!$E$6:$E$205,"Yes"))</f>
      </c>
      <c r="J28" s="85">
        <f>IF($B28="","",SUMIFS('STOCKING STUFFERS'!$J$6:$J$155,'STOCKING STUFFERS'!$C$6:$C$155,$B28))</f>
      </c>
      <c r="K28" s="85">
        <f>IF($B28="","",SUMIFS('STOCKING STUFFERS'!$K$6:$K$155,'STOCKING STUFFERS'!$C$6:$C$155,$B28))</f>
      </c>
      <c r="L28" s="85">
        <f>IF($B28="","",$I28+$K28)</f>
      </c>
      <c r="M28" s="85">
        <f>IF($B28="","",$G28-$L28)</f>
      </c>
      <c r="N28" s="78">
        <f>IF($B28="","",IF(AND($G28=0,$L28=0),"NOT SET",IF($L28&gt;$G28,"OVER BUDGET",IF($L28=$G28,"AT BUDGET",IF(AND($G28&gt;0,$L28/$G28&gt;=Set_WarnThreshold),"NEAR LIMIT","ON TRACK")))))</f>
      </c>
      <c r="O28" s="79"/>
      <c r="P28" s="80"/>
      <c r="Q28" s="78">
        <f>IF($B28="",0,IF(COUNTIF('PEOPLE + BUDGETS'!$B$6:$B$105,$B28)&gt;1,1,0))</f>
      </c>
      <c r="R28" s="75"/>
    </row>
    <row r="29" ht="17" customHeight="1" spans="1:18" x14ac:dyDescent="0.25">
      <c r="A29" s="75"/>
      <c r="B29" s="79"/>
      <c r="C29" s="79"/>
      <c r="D29" s="79"/>
      <c r="E29" s="86"/>
      <c r="F29" s="86"/>
      <c r="G29" s="85">
        <f>IF($B29="","",$E29+$F29)</f>
      </c>
      <c r="H29" s="85">
        <f>IF($B29="","",SUMIFS('GIFT PLANNER'!$Q$6:$Q$205,'GIFT PLANNER'!$C$6:$C$205,$B29,'GIFT PLANNER'!$E$6:$E$205,"Yes"))</f>
      </c>
      <c r="I29" s="85">
        <f>IF($B29="","",SUMIFS('GIFT PLANNER'!$R$6:$R$205,'GIFT PLANNER'!$C$6:$C$205,$B29,'GIFT PLANNER'!$E$6:$E$205,"Yes"))</f>
      </c>
      <c r="J29" s="85">
        <f>IF($B29="","",SUMIFS('STOCKING STUFFERS'!$J$6:$J$155,'STOCKING STUFFERS'!$C$6:$C$155,$B29))</f>
      </c>
      <c r="K29" s="85">
        <f>IF($B29="","",SUMIFS('STOCKING STUFFERS'!$K$6:$K$155,'STOCKING STUFFERS'!$C$6:$C$155,$B29))</f>
      </c>
      <c r="L29" s="85">
        <f>IF($B29="","",$I29+$K29)</f>
      </c>
      <c r="M29" s="85">
        <f>IF($B29="","",$G29-$L29)</f>
      </c>
      <c r="N29" s="78">
        <f>IF($B29="","",IF(AND($G29=0,$L29=0),"NOT SET",IF($L29&gt;$G29,"OVER BUDGET",IF($L29=$G29,"AT BUDGET",IF(AND($G29&gt;0,$L29/$G29&gt;=Set_WarnThreshold),"NEAR LIMIT","ON TRACK")))))</f>
      </c>
      <c r="O29" s="79"/>
      <c r="P29" s="80"/>
      <c r="Q29" s="78">
        <f>IF($B29="",0,IF(COUNTIF('PEOPLE + BUDGETS'!$B$6:$B$105,$B29)&gt;1,1,0))</f>
      </c>
      <c r="R29" s="75"/>
    </row>
    <row r="30" ht="17" customHeight="1" spans="1:18" x14ac:dyDescent="0.25">
      <c r="A30" s="75"/>
      <c r="B30" s="79"/>
      <c r="C30" s="79"/>
      <c r="D30" s="79"/>
      <c r="E30" s="86"/>
      <c r="F30" s="86"/>
      <c r="G30" s="85">
        <f>IF($B30="","",$E30+$F30)</f>
      </c>
      <c r="H30" s="85">
        <f>IF($B30="","",SUMIFS('GIFT PLANNER'!$Q$6:$Q$205,'GIFT PLANNER'!$C$6:$C$205,$B30,'GIFT PLANNER'!$E$6:$E$205,"Yes"))</f>
      </c>
      <c r="I30" s="85">
        <f>IF($B30="","",SUMIFS('GIFT PLANNER'!$R$6:$R$205,'GIFT PLANNER'!$C$6:$C$205,$B30,'GIFT PLANNER'!$E$6:$E$205,"Yes"))</f>
      </c>
      <c r="J30" s="85">
        <f>IF($B30="","",SUMIFS('STOCKING STUFFERS'!$J$6:$J$155,'STOCKING STUFFERS'!$C$6:$C$155,$B30))</f>
      </c>
      <c r="K30" s="85">
        <f>IF($B30="","",SUMIFS('STOCKING STUFFERS'!$K$6:$K$155,'STOCKING STUFFERS'!$C$6:$C$155,$B30))</f>
      </c>
      <c r="L30" s="85">
        <f>IF($B30="","",$I30+$K30)</f>
      </c>
      <c r="M30" s="85">
        <f>IF($B30="","",$G30-$L30)</f>
      </c>
      <c r="N30" s="78">
        <f>IF($B30="","",IF(AND($G30=0,$L30=0),"NOT SET",IF($L30&gt;$G30,"OVER BUDGET",IF($L30=$G30,"AT BUDGET",IF(AND($G30&gt;0,$L30/$G30&gt;=Set_WarnThreshold),"NEAR LIMIT","ON TRACK")))))</f>
      </c>
      <c r="O30" s="79"/>
      <c r="P30" s="80"/>
      <c r="Q30" s="78">
        <f>IF($B30="",0,IF(COUNTIF('PEOPLE + BUDGETS'!$B$6:$B$105,$B30)&gt;1,1,0))</f>
      </c>
      <c r="R30" s="75"/>
    </row>
    <row r="31" ht="17" customHeight="1" spans="1:18" x14ac:dyDescent="0.25">
      <c r="A31" s="75"/>
      <c r="B31" s="79"/>
      <c r="C31" s="79"/>
      <c r="D31" s="79"/>
      <c r="E31" s="86"/>
      <c r="F31" s="86"/>
      <c r="G31" s="85">
        <f>IF($B31="","",$E31+$F31)</f>
      </c>
      <c r="H31" s="85">
        <f>IF($B31="","",SUMIFS('GIFT PLANNER'!$Q$6:$Q$205,'GIFT PLANNER'!$C$6:$C$205,$B31,'GIFT PLANNER'!$E$6:$E$205,"Yes"))</f>
      </c>
      <c r="I31" s="85">
        <f>IF($B31="","",SUMIFS('GIFT PLANNER'!$R$6:$R$205,'GIFT PLANNER'!$C$6:$C$205,$B31,'GIFT PLANNER'!$E$6:$E$205,"Yes"))</f>
      </c>
      <c r="J31" s="85">
        <f>IF($B31="","",SUMIFS('STOCKING STUFFERS'!$J$6:$J$155,'STOCKING STUFFERS'!$C$6:$C$155,$B31))</f>
      </c>
      <c r="K31" s="85">
        <f>IF($B31="","",SUMIFS('STOCKING STUFFERS'!$K$6:$K$155,'STOCKING STUFFERS'!$C$6:$C$155,$B31))</f>
      </c>
      <c r="L31" s="85">
        <f>IF($B31="","",$I31+$K31)</f>
      </c>
      <c r="M31" s="85">
        <f>IF($B31="","",$G31-$L31)</f>
      </c>
      <c r="N31" s="78">
        <f>IF($B31="","",IF(AND($G31=0,$L31=0),"NOT SET",IF($L31&gt;$G31,"OVER BUDGET",IF($L31=$G31,"AT BUDGET",IF(AND($G31&gt;0,$L31/$G31&gt;=Set_WarnThreshold),"NEAR LIMIT","ON TRACK")))))</f>
      </c>
      <c r="O31" s="79"/>
      <c r="P31" s="80"/>
      <c r="Q31" s="78">
        <f>IF($B31="",0,IF(COUNTIF('PEOPLE + BUDGETS'!$B$6:$B$105,$B31)&gt;1,1,0))</f>
      </c>
      <c r="R31" s="75"/>
    </row>
    <row r="32" ht="17" customHeight="1" spans="1:18" x14ac:dyDescent="0.25">
      <c r="A32" s="75"/>
      <c r="B32" s="79"/>
      <c r="C32" s="79"/>
      <c r="D32" s="79"/>
      <c r="E32" s="86"/>
      <c r="F32" s="86"/>
      <c r="G32" s="85">
        <f>IF($B32="","",$E32+$F32)</f>
      </c>
      <c r="H32" s="85">
        <f>IF($B32="","",SUMIFS('GIFT PLANNER'!$Q$6:$Q$205,'GIFT PLANNER'!$C$6:$C$205,$B32,'GIFT PLANNER'!$E$6:$E$205,"Yes"))</f>
      </c>
      <c r="I32" s="85">
        <f>IF($B32="","",SUMIFS('GIFT PLANNER'!$R$6:$R$205,'GIFT PLANNER'!$C$6:$C$205,$B32,'GIFT PLANNER'!$E$6:$E$205,"Yes"))</f>
      </c>
      <c r="J32" s="85">
        <f>IF($B32="","",SUMIFS('STOCKING STUFFERS'!$J$6:$J$155,'STOCKING STUFFERS'!$C$6:$C$155,$B32))</f>
      </c>
      <c r="K32" s="85">
        <f>IF($B32="","",SUMIFS('STOCKING STUFFERS'!$K$6:$K$155,'STOCKING STUFFERS'!$C$6:$C$155,$B32))</f>
      </c>
      <c r="L32" s="85">
        <f>IF($B32="","",$I32+$K32)</f>
      </c>
      <c r="M32" s="85">
        <f>IF($B32="","",$G32-$L32)</f>
      </c>
      <c r="N32" s="78">
        <f>IF($B32="","",IF(AND($G32=0,$L32=0),"NOT SET",IF($L32&gt;$G32,"OVER BUDGET",IF($L32=$G32,"AT BUDGET",IF(AND($G32&gt;0,$L32/$G32&gt;=Set_WarnThreshold),"NEAR LIMIT","ON TRACK")))))</f>
      </c>
      <c r="O32" s="79"/>
      <c r="P32" s="80"/>
      <c r="Q32" s="78">
        <f>IF($B32="",0,IF(COUNTIF('PEOPLE + BUDGETS'!$B$6:$B$105,$B32)&gt;1,1,0))</f>
      </c>
      <c r="R32" s="75"/>
    </row>
    <row r="33" ht="17" customHeight="1" spans="1:18" x14ac:dyDescent="0.25">
      <c r="A33" s="75"/>
      <c r="B33" s="79"/>
      <c r="C33" s="79"/>
      <c r="D33" s="79"/>
      <c r="E33" s="86"/>
      <c r="F33" s="86"/>
      <c r="G33" s="85">
        <f>IF($B33="","",$E33+$F33)</f>
      </c>
      <c r="H33" s="85">
        <f>IF($B33="","",SUMIFS('GIFT PLANNER'!$Q$6:$Q$205,'GIFT PLANNER'!$C$6:$C$205,$B33,'GIFT PLANNER'!$E$6:$E$205,"Yes"))</f>
      </c>
      <c r="I33" s="85">
        <f>IF($B33="","",SUMIFS('GIFT PLANNER'!$R$6:$R$205,'GIFT PLANNER'!$C$6:$C$205,$B33,'GIFT PLANNER'!$E$6:$E$205,"Yes"))</f>
      </c>
      <c r="J33" s="85">
        <f>IF($B33="","",SUMIFS('STOCKING STUFFERS'!$J$6:$J$155,'STOCKING STUFFERS'!$C$6:$C$155,$B33))</f>
      </c>
      <c r="K33" s="85">
        <f>IF($B33="","",SUMIFS('STOCKING STUFFERS'!$K$6:$K$155,'STOCKING STUFFERS'!$C$6:$C$155,$B33))</f>
      </c>
      <c r="L33" s="85">
        <f>IF($B33="","",$I33+$K33)</f>
      </c>
      <c r="M33" s="85">
        <f>IF($B33="","",$G33-$L33)</f>
      </c>
      <c r="N33" s="78">
        <f>IF($B33="","",IF(AND($G33=0,$L33=0),"NOT SET",IF($L33&gt;$G33,"OVER BUDGET",IF($L33=$G33,"AT BUDGET",IF(AND($G33&gt;0,$L33/$G33&gt;=Set_WarnThreshold),"NEAR LIMIT","ON TRACK")))))</f>
      </c>
      <c r="O33" s="79"/>
      <c r="P33" s="80"/>
      <c r="Q33" s="78">
        <f>IF($B33="",0,IF(COUNTIF('PEOPLE + BUDGETS'!$B$6:$B$105,$B33)&gt;1,1,0))</f>
      </c>
      <c r="R33" s="75"/>
    </row>
    <row r="34" ht="17" customHeight="1" spans="1:18" x14ac:dyDescent="0.25">
      <c r="A34" s="75"/>
      <c r="B34" s="79"/>
      <c r="C34" s="79"/>
      <c r="D34" s="79"/>
      <c r="E34" s="86"/>
      <c r="F34" s="86"/>
      <c r="G34" s="85">
        <f>IF($B34="","",$E34+$F34)</f>
      </c>
      <c r="H34" s="85">
        <f>IF($B34="","",SUMIFS('GIFT PLANNER'!$Q$6:$Q$205,'GIFT PLANNER'!$C$6:$C$205,$B34,'GIFT PLANNER'!$E$6:$E$205,"Yes"))</f>
      </c>
      <c r="I34" s="85">
        <f>IF($B34="","",SUMIFS('GIFT PLANNER'!$R$6:$R$205,'GIFT PLANNER'!$C$6:$C$205,$B34,'GIFT PLANNER'!$E$6:$E$205,"Yes"))</f>
      </c>
      <c r="J34" s="85">
        <f>IF($B34="","",SUMIFS('STOCKING STUFFERS'!$J$6:$J$155,'STOCKING STUFFERS'!$C$6:$C$155,$B34))</f>
      </c>
      <c r="K34" s="85">
        <f>IF($B34="","",SUMIFS('STOCKING STUFFERS'!$K$6:$K$155,'STOCKING STUFFERS'!$C$6:$C$155,$B34))</f>
      </c>
      <c r="L34" s="85">
        <f>IF($B34="","",$I34+$K34)</f>
      </c>
      <c r="M34" s="85">
        <f>IF($B34="","",$G34-$L34)</f>
      </c>
      <c r="N34" s="78">
        <f>IF($B34="","",IF(AND($G34=0,$L34=0),"NOT SET",IF($L34&gt;$G34,"OVER BUDGET",IF($L34=$G34,"AT BUDGET",IF(AND($G34&gt;0,$L34/$G34&gt;=Set_WarnThreshold),"NEAR LIMIT","ON TRACK")))))</f>
      </c>
      <c r="O34" s="79"/>
      <c r="P34" s="80"/>
      <c r="Q34" s="78">
        <f>IF($B34="",0,IF(COUNTIF('PEOPLE + BUDGETS'!$B$6:$B$105,$B34)&gt;1,1,0))</f>
      </c>
      <c r="R34" s="75"/>
    </row>
    <row r="35" ht="17" customHeight="1" spans="1:18" x14ac:dyDescent="0.25">
      <c r="A35" s="75"/>
      <c r="B35" s="79"/>
      <c r="C35" s="79"/>
      <c r="D35" s="79"/>
      <c r="E35" s="86"/>
      <c r="F35" s="86"/>
      <c r="G35" s="85">
        <f>IF($B35="","",$E35+$F35)</f>
      </c>
      <c r="H35" s="85">
        <f>IF($B35="","",SUMIFS('GIFT PLANNER'!$Q$6:$Q$205,'GIFT PLANNER'!$C$6:$C$205,$B35,'GIFT PLANNER'!$E$6:$E$205,"Yes"))</f>
      </c>
      <c r="I35" s="85">
        <f>IF($B35="","",SUMIFS('GIFT PLANNER'!$R$6:$R$205,'GIFT PLANNER'!$C$6:$C$205,$B35,'GIFT PLANNER'!$E$6:$E$205,"Yes"))</f>
      </c>
      <c r="J35" s="85">
        <f>IF($B35="","",SUMIFS('STOCKING STUFFERS'!$J$6:$J$155,'STOCKING STUFFERS'!$C$6:$C$155,$B35))</f>
      </c>
      <c r="K35" s="85">
        <f>IF($B35="","",SUMIFS('STOCKING STUFFERS'!$K$6:$K$155,'STOCKING STUFFERS'!$C$6:$C$155,$B35))</f>
      </c>
      <c r="L35" s="85">
        <f>IF($B35="","",$I35+$K35)</f>
      </c>
      <c r="M35" s="85">
        <f>IF($B35="","",$G35-$L35)</f>
      </c>
      <c r="N35" s="78">
        <f>IF($B35="","",IF(AND($G35=0,$L35=0),"NOT SET",IF($L35&gt;$G35,"OVER BUDGET",IF($L35=$G35,"AT BUDGET",IF(AND($G35&gt;0,$L35/$G35&gt;=Set_WarnThreshold),"NEAR LIMIT","ON TRACK")))))</f>
      </c>
      <c r="O35" s="79"/>
      <c r="P35" s="80"/>
      <c r="Q35" s="78">
        <f>IF($B35="",0,IF(COUNTIF('PEOPLE + BUDGETS'!$B$6:$B$105,$B35)&gt;1,1,0))</f>
      </c>
      <c r="R35" s="75"/>
    </row>
    <row r="36" ht="17" customHeight="1" spans="1:18" x14ac:dyDescent="0.25">
      <c r="A36" s="75"/>
      <c r="B36" s="79"/>
      <c r="C36" s="79"/>
      <c r="D36" s="79"/>
      <c r="E36" s="86"/>
      <c r="F36" s="86"/>
      <c r="G36" s="85">
        <f>IF($B36="","",$E36+$F36)</f>
      </c>
      <c r="H36" s="85">
        <f>IF($B36="","",SUMIFS('GIFT PLANNER'!$Q$6:$Q$205,'GIFT PLANNER'!$C$6:$C$205,$B36,'GIFT PLANNER'!$E$6:$E$205,"Yes"))</f>
      </c>
      <c r="I36" s="85">
        <f>IF($B36="","",SUMIFS('GIFT PLANNER'!$R$6:$R$205,'GIFT PLANNER'!$C$6:$C$205,$B36,'GIFT PLANNER'!$E$6:$E$205,"Yes"))</f>
      </c>
      <c r="J36" s="85">
        <f>IF($B36="","",SUMIFS('STOCKING STUFFERS'!$J$6:$J$155,'STOCKING STUFFERS'!$C$6:$C$155,$B36))</f>
      </c>
      <c r="K36" s="85">
        <f>IF($B36="","",SUMIFS('STOCKING STUFFERS'!$K$6:$K$155,'STOCKING STUFFERS'!$C$6:$C$155,$B36))</f>
      </c>
      <c r="L36" s="85">
        <f>IF($B36="","",$I36+$K36)</f>
      </c>
      <c r="M36" s="85">
        <f>IF($B36="","",$G36-$L36)</f>
      </c>
      <c r="N36" s="78">
        <f>IF($B36="","",IF(AND($G36=0,$L36=0),"NOT SET",IF($L36&gt;$G36,"OVER BUDGET",IF($L36=$G36,"AT BUDGET",IF(AND($G36&gt;0,$L36/$G36&gt;=Set_WarnThreshold),"NEAR LIMIT","ON TRACK")))))</f>
      </c>
      <c r="O36" s="79"/>
      <c r="P36" s="80"/>
      <c r="Q36" s="78">
        <f>IF($B36="",0,IF(COUNTIF('PEOPLE + BUDGETS'!$B$6:$B$105,$B36)&gt;1,1,0))</f>
      </c>
      <c r="R36" s="75"/>
    </row>
    <row r="37" ht="17" customHeight="1" spans="1:18" x14ac:dyDescent="0.25">
      <c r="A37" s="75"/>
      <c r="B37" s="79"/>
      <c r="C37" s="79"/>
      <c r="D37" s="79"/>
      <c r="E37" s="86"/>
      <c r="F37" s="86"/>
      <c r="G37" s="85">
        <f>IF($B37="","",$E37+$F37)</f>
      </c>
      <c r="H37" s="85">
        <f>IF($B37="","",SUMIFS('GIFT PLANNER'!$Q$6:$Q$205,'GIFT PLANNER'!$C$6:$C$205,$B37,'GIFT PLANNER'!$E$6:$E$205,"Yes"))</f>
      </c>
      <c r="I37" s="85">
        <f>IF($B37="","",SUMIFS('GIFT PLANNER'!$R$6:$R$205,'GIFT PLANNER'!$C$6:$C$205,$B37,'GIFT PLANNER'!$E$6:$E$205,"Yes"))</f>
      </c>
      <c r="J37" s="85">
        <f>IF($B37="","",SUMIFS('STOCKING STUFFERS'!$J$6:$J$155,'STOCKING STUFFERS'!$C$6:$C$155,$B37))</f>
      </c>
      <c r="K37" s="85">
        <f>IF($B37="","",SUMIFS('STOCKING STUFFERS'!$K$6:$K$155,'STOCKING STUFFERS'!$C$6:$C$155,$B37))</f>
      </c>
      <c r="L37" s="85">
        <f>IF($B37="","",$I37+$K37)</f>
      </c>
      <c r="M37" s="85">
        <f>IF($B37="","",$G37-$L37)</f>
      </c>
      <c r="N37" s="78">
        <f>IF($B37="","",IF(AND($G37=0,$L37=0),"NOT SET",IF($L37&gt;$G37,"OVER BUDGET",IF($L37=$G37,"AT BUDGET",IF(AND($G37&gt;0,$L37/$G37&gt;=Set_WarnThreshold),"NEAR LIMIT","ON TRACK")))))</f>
      </c>
      <c r="O37" s="79"/>
      <c r="P37" s="80"/>
      <c r="Q37" s="78">
        <f>IF($B37="",0,IF(COUNTIF('PEOPLE + BUDGETS'!$B$6:$B$105,$B37)&gt;1,1,0))</f>
      </c>
      <c r="R37" s="75"/>
    </row>
    <row r="38" ht="17" customHeight="1" spans="1:18" x14ac:dyDescent="0.25">
      <c r="A38" s="75"/>
      <c r="B38" s="79"/>
      <c r="C38" s="79"/>
      <c r="D38" s="79"/>
      <c r="E38" s="86"/>
      <c r="F38" s="86"/>
      <c r="G38" s="85">
        <f>IF($B38="","",$E38+$F38)</f>
      </c>
      <c r="H38" s="85">
        <f>IF($B38="","",SUMIFS('GIFT PLANNER'!$Q$6:$Q$205,'GIFT PLANNER'!$C$6:$C$205,$B38,'GIFT PLANNER'!$E$6:$E$205,"Yes"))</f>
      </c>
      <c r="I38" s="85">
        <f>IF($B38="","",SUMIFS('GIFT PLANNER'!$R$6:$R$205,'GIFT PLANNER'!$C$6:$C$205,$B38,'GIFT PLANNER'!$E$6:$E$205,"Yes"))</f>
      </c>
      <c r="J38" s="85">
        <f>IF($B38="","",SUMIFS('STOCKING STUFFERS'!$J$6:$J$155,'STOCKING STUFFERS'!$C$6:$C$155,$B38))</f>
      </c>
      <c r="K38" s="85">
        <f>IF($B38="","",SUMIFS('STOCKING STUFFERS'!$K$6:$K$155,'STOCKING STUFFERS'!$C$6:$C$155,$B38))</f>
      </c>
      <c r="L38" s="85">
        <f>IF($B38="","",$I38+$K38)</f>
      </c>
      <c r="M38" s="85">
        <f>IF($B38="","",$G38-$L38)</f>
      </c>
      <c r="N38" s="78">
        <f>IF($B38="","",IF(AND($G38=0,$L38=0),"NOT SET",IF($L38&gt;$G38,"OVER BUDGET",IF($L38=$G38,"AT BUDGET",IF(AND($G38&gt;0,$L38/$G38&gt;=Set_WarnThreshold),"NEAR LIMIT","ON TRACK")))))</f>
      </c>
      <c r="O38" s="79"/>
      <c r="P38" s="80"/>
      <c r="Q38" s="78">
        <f>IF($B38="",0,IF(COUNTIF('PEOPLE + BUDGETS'!$B$6:$B$105,$B38)&gt;1,1,0))</f>
      </c>
      <c r="R38" s="75"/>
    </row>
    <row r="39" ht="17" customHeight="1" spans="1:18" x14ac:dyDescent="0.25">
      <c r="A39" s="75"/>
      <c r="B39" s="79"/>
      <c r="C39" s="79"/>
      <c r="D39" s="79"/>
      <c r="E39" s="86"/>
      <c r="F39" s="86"/>
      <c r="G39" s="85">
        <f>IF($B39="","",$E39+$F39)</f>
      </c>
      <c r="H39" s="85">
        <f>IF($B39="","",SUMIFS('GIFT PLANNER'!$Q$6:$Q$205,'GIFT PLANNER'!$C$6:$C$205,$B39,'GIFT PLANNER'!$E$6:$E$205,"Yes"))</f>
      </c>
      <c r="I39" s="85">
        <f>IF($B39="","",SUMIFS('GIFT PLANNER'!$R$6:$R$205,'GIFT PLANNER'!$C$6:$C$205,$B39,'GIFT PLANNER'!$E$6:$E$205,"Yes"))</f>
      </c>
      <c r="J39" s="85">
        <f>IF($B39="","",SUMIFS('STOCKING STUFFERS'!$J$6:$J$155,'STOCKING STUFFERS'!$C$6:$C$155,$B39))</f>
      </c>
      <c r="K39" s="85">
        <f>IF($B39="","",SUMIFS('STOCKING STUFFERS'!$K$6:$K$155,'STOCKING STUFFERS'!$C$6:$C$155,$B39))</f>
      </c>
      <c r="L39" s="85">
        <f>IF($B39="","",$I39+$K39)</f>
      </c>
      <c r="M39" s="85">
        <f>IF($B39="","",$G39-$L39)</f>
      </c>
      <c r="N39" s="78">
        <f>IF($B39="","",IF(AND($G39=0,$L39=0),"NOT SET",IF($L39&gt;$G39,"OVER BUDGET",IF($L39=$G39,"AT BUDGET",IF(AND($G39&gt;0,$L39/$G39&gt;=Set_WarnThreshold),"NEAR LIMIT","ON TRACK")))))</f>
      </c>
      <c r="O39" s="79"/>
      <c r="P39" s="80"/>
      <c r="Q39" s="78">
        <f>IF($B39="",0,IF(COUNTIF('PEOPLE + BUDGETS'!$B$6:$B$105,$B39)&gt;1,1,0))</f>
      </c>
      <c r="R39" s="75"/>
    </row>
    <row r="40" ht="17" customHeight="1" spans="1:18" x14ac:dyDescent="0.25">
      <c r="A40" s="75"/>
      <c r="B40" s="79"/>
      <c r="C40" s="79"/>
      <c r="D40" s="79"/>
      <c r="E40" s="86"/>
      <c r="F40" s="86"/>
      <c r="G40" s="85">
        <f>IF($B40="","",$E40+$F40)</f>
      </c>
      <c r="H40" s="85">
        <f>IF($B40="","",SUMIFS('GIFT PLANNER'!$Q$6:$Q$205,'GIFT PLANNER'!$C$6:$C$205,$B40,'GIFT PLANNER'!$E$6:$E$205,"Yes"))</f>
      </c>
      <c r="I40" s="85">
        <f>IF($B40="","",SUMIFS('GIFT PLANNER'!$R$6:$R$205,'GIFT PLANNER'!$C$6:$C$205,$B40,'GIFT PLANNER'!$E$6:$E$205,"Yes"))</f>
      </c>
      <c r="J40" s="85">
        <f>IF($B40="","",SUMIFS('STOCKING STUFFERS'!$J$6:$J$155,'STOCKING STUFFERS'!$C$6:$C$155,$B40))</f>
      </c>
      <c r="K40" s="85">
        <f>IF($B40="","",SUMIFS('STOCKING STUFFERS'!$K$6:$K$155,'STOCKING STUFFERS'!$C$6:$C$155,$B40))</f>
      </c>
      <c r="L40" s="85">
        <f>IF($B40="","",$I40+$K40)</f>
      </c>
      <c r="M40" s="85">
        <f>IF($B40="","",$G40-$L40)</f>
      </c>
      <c r="N40" s="78">
        <f>IF($B40="","",IF(AND($G40=0,$L40=0),"NOT SET",IF($L40&gt;$G40,"OVER BUDGET",IF($L40=$G40,"AT BUDGET",IF(AND($G40&gt;0,$L40/$G40&gt;=Set_WarnThreshold),"NEAR LIMIT","ON TRACK")))))</f>
      </c>
      <c r="O40" s="79"/>
      <c r="P40" s="80"/>
      <c r="Q40" s="78">
        <f>IF($B40="",0,IF(COUNTIF('PEOPLE + BUDGETS'!$B$6:$B$105,$B40)&gt;1,1,0))</f>
      </c>
      <c r="R40" s="75"/>
    </row>
    <row r="41" ht="17" customHeight="1" spans="1:18" x14ac:dyDescent="0.25">
      <c r="A41" s="75"/>
      <c r="B41" s="79"/>
      <c r="C41" s="79"/>
      <c r="D41" s="79"/>
      <c r="E41" s="86"/>
      <c r="F41" s="86"/>
      <c r="G41" s="85">
        <f>IF($B41="","",$E41+$F41)</f>
      </c>
      <c r="H41" s="85">
        <f>IF($B41="","",SUMIFS('GIFT PLANNER'!$Q$6:$Q$205,'GIFT PLANNER'!$C$6:$C$205,$B41,'GIFT PLANNER'!$E$6:$E$205,"Yes"))</f>
      </c>
      <c r="I41" s="85">
        <f>IF($B41="","",SUMIFS('GIFT PLANNER'!$R$6:$R$205,'GIFT PLANNER'!$C$6:$C$205,$B41,'GIFT PLANNER'!$E$6:$E$205,"Yes"))</f>
      </c>
      <c r="J41" s="85">
        <f>IF($B41="","",SUMIFS('STOCKING STUFFERS'!$J$6:$J$155,'STOCKING STUFFERS'!$C$6:$C$155,$B41))</f>
      </c>
      <c r="K41" s="85">
        <f>IF($B41="","",SUMIFS('STOCKING STUFFERS'!$K$6:$K$155,'STOCKING STUFFERS'!$C$6:$C$155,$B41))</f>
      </c>
      <c r="L41" s="85">
        <f>IF($B41="","",$I41+$K41)</f>
      </c>
      <c r="M41" s="85">
        <f>IF($B41="","",$G41-$L41)</f>
      </c>
      <c r="N41" s="78">
        <f>IF($B41="","",IF(AND($G41=0,$L41=0),"NOT SET",IF($L41&gt;$G41,"OVER BUDGET",IF($L41=$G41,"AT BUDGET",IF(AND($G41&gt;0,$L41/$G41&gt;=Set_WarnThreshold),"NEAR LIMIT","ON TRACK")))))</f>
      </c>
      <c r="O41" s="79"/>
      <c r="P41" s="80"/>
      <c r="Q41" s="78">
        <f>IF($B41="",0,IF(COUNTIF('PEOPLE + BUDGETS'!$B$6:$B$105,$B41)&gt;1,1,0))</f>
      </c>
      <c r="R41" s="75"/>
    </row>
    <row r="42" ht="17" customHeight="1" spans="1:18" x14ac:dyDescent="0.25">
      <c r="A42" s="75"/>
      <c r="B42" s="79"/>
      <c r="C42" s="79"/>
      <c r="D42" s="79"/>
      <c r="E42" s="86"/>
      <c r="F42" s="86"/>
      <c r="G42" s="85">
        <f>IF($B42="","",$E42+$F42)</f>
      </c>
      <c r="H42" s="85">
        <f>IF($B42="","",SUMIFS('GIFT PLANNER'!$Q$6:$Q$205,'GIFT PLANNER'!$C$6:$C$205,$B42,'GIFT PLANNER'!$E$6:$E$205,"Yes"))</f>
      </c>
      <c r="I42" s="85">
        <f>IF($B42="","",SUMIFS('GIFT PLANNER'!$R$6:$R$205,'GIFT PLANNER'!$C$6:$C$205,$B42,'GIFT PLANNER'!$E$6:$E$205,"Yes"))</f>
      </c>
      <c r="J42" s="85">
        <f>IF($B42="","",SUMIFS('STOCKING STUFFERS'!$J$6:$J$155,'STOCKING STUFFERS'!$C$6:$C$155,$B42))</f>
      </c>
      <c r="K42" s="85">
        <f>IF($B42="","",SUMIFS('STOCKING STUFFERS'!$K$6:$K$155,'STOCKING STUFFERS'!$C$6:$C$155,$B42))</f>
      </c>
      <c r="L42" s="85">
        <f>IF($B42="","",$I42+$K42)</f>
      </c>
      <c r="M42" s="85">
        <f>IF($B42="","",$G42-$L42)</f>
      </c>
      <c r="N42" s="78">
        <f>IF($B42="","",IF(AND($G42=0,$L42=0),"NOT SET",IF($L42&gt;$G42,"OVER BUDGET",IF($L42=$G42,"AT BUDGET",IF(AND($G42&gt;0,$L42/$G42&gt;=Set_WarnThreshold),"NEAR LIMIT","ON TRACK")))))</f>
      </c>
      <c r="O42" s="79"/>
      <c r="P42" s="80"/>
      <c r="Q42" s="78">
        <f>IF($B42="",0,IF(COUNTIF('PEOPLE + BUDGETS'!$B$6:$B$105,$B42)&gt;1,1,0))</f>
      </c>
      <c r="R42" s="75"/>
    </row>
    <row r="43" ht="17" customHeight="1" spans="1:18" x14ac:dyDescent="0.25">
      <c r="A43" s="75"/>
      <c r="B43" s="79"/>
      <c r="C43" s="79"/>
      <c r="D43" s="79"/>
      <c r="E43" s="86"/>
      <c r="F43" s="86"/>
      <c r="G43" s="85">
        <f>IF($B43="","",$E43+$F43)</f>
      </c>
      <c r="H43" s="85">
        <f>IF($B43="","",SUMIFS('GIFT PLANNER'!$Q$6:$Q$205,'GIFT PLANNER'!$C$6:$C$205,$B43,'GIFT PLANNER'!$E$6:$E$205,"Yes"))</f>
      </c>
      <c r="I43" s="85">
        <f>IF($B43="","",SUMIFS('GIFT PLANNER'!$R$6:$R$205,'GIFT PLANNER'!$C$6:$C$205,$B43,'GIFT PLANNER'!$E$6:$E$205,"Yes"))</f>
      </c>
      <c r="J43" s="85">
        <f>IF($B43="","",SUMIFS('STOCKING STUFFERS'!$J$6:$J$155,'STOCKING STUFFERS'!$C$6:$C$155,$B43))</f>
      </c>
      <c r="K43" s="85">
        <f>IF($B43="","",SUMIFS('STOCKING STUFFERS'!$K$6:$K$155,'STOCKING STUFFERS'!$C$6:$C$155,$B43))</f>
      </c>
      <c r="L43" s="85">
        <f>IF($B43="","",$I43+$K43)</f>
      </c>
      <c r="M43" s="85">
        <f>IF($B43="","",$G43-$L43)</f>
      </c>
      <c r="N43" s="78">
        <f>IF($B43="","",IF(AND($G43=0,$L43=0),"NOT SET",IF($L43&gt;$G43,"OVER BUDGET",IF($L43=$G43,"AT BUDGET",IF(AND($G43&gt;0,$L43/$G43&gt;=Set_WarnThreshold),"NEAR LIMIT","ON TRACK")))))</f>
      </c>
      <c r="O43" s="79"/>
      <c r="P43" s="80"/>
      <c r="Q43" s="78">
        <f>IF($B43="",0,IF(COUNTIF('PEOPLE + BUDGETS'!$B$6:$B$105,$B43)&gt;1,1,0))</f>
      </c>
      <c r="R43" s="75"/>
    </row>
    <row r="44" ht="17" customHeight="1" spans="1:18" x14ac:dyDescent="0.25">
      <c r="A44" s="75"/>
      <c r="B44" s="79"/>
      <c r="C44" s="79"/>
      <c r="D44" s="79"/>
      <c r="E44" s="86"/>
      <c r="F44" s="86"/>
      <c r="G44" s="85">
        <f>IF($B44="","",$E44+$F44)</f>
      </c>
      <c r="H44" s="85">
        <f>IF($B44="","",SUMIFS('GIFT PLANNER'!$Q$6:$Q$205,'GIFT PLANNER'!$C$6:$C$205,$B44,'GIFT PLANNER'!$E$6:$E$205,"Yes"))</f>
      </c>
      <c r="I44" s="85">
        <f>IF($B44="","",SUMIFS('GIFT PLANNER'!$R$6:$R$205,'GIFT PLANNER'!$C$6:$C$205,$B44,'GIFT PLANNER'!$E$6:$E$205,"Yes"))</f>
      </c>
      <c r="J44" s="85">
        <f>IF($B44="","",SUMIFS('STOCKING STUFFERS'!$J$6:$J$155,'STOCKING STUFFERS'!$C$6:$C$155,$B44))</f>
      </c>
      <c r="K44" s="85">
        <f>IF($B44="","",SUMIFS('STOCKING STUFFERS'!$K$6:$K$155,'STOCKING STUFFERS'!$C$6:$C$155,$B44))</f>
      </c>
      <c r="L44" s="85">
        <f>IF($B44="","",$I44+$K44)</f>
      </c>
      <c r="M44" s="85">
        <f>IF($B44="","",$G44-$L44)</f>
      </c>
      <c r="N44" s="78">
        <f>IF($B44="","",IF(AND($G44=0,$L44=0),"NOT SET",IF($L44&gt;$G44,"OVER BUDGET",IF($L44=$G44,"AT BUDGET",IF(AND($G44&gt;0,$L44/$G44&gt;=Set_WarnThreshold),"NEAR LIMIT","ON TRACK")))))</f>
      </c>
      <c r="O44" s="79"/>
      <c r="P44" s="80"/>
      <c r="Q44" s="78">
        <f>IF($B44="",0,IF(COUNTIF('PEOPLE + BUDGETS'!$B$6:$B$105,$B44)&gt;1,1,0))</f>
      </c>
      <c r="R44" s="75"/>
    </row>
    <row r="45" ht="17" customHeight="1" spans="1:18" x14ac:dyDescent="0.25">
      <c r="A45" s="75"/>
      <c r="B45" s="79"/>
      <c r="C45" s="79"/>
      <c r="D45" s="79"/>
      <c r="E45" s="86"/>
      <c r="F45" s="86"/>
      <c r="G45" s="85">
        <f>IF($B45="","",$E45+$F45)</f>
      </c>
      <c r="H45" s="85">
        <f>IF($B45="","",SUMIFS('GIFT PLANNER'!$Q$6:$Q$205,'GIFT PLANNER'!$C$6:$C$205,$B45,'GIFT PLANNER'!$E$6:$E$205,"Yes"))</f>
      </c>
      <c r="I45" s="85">
        <f>IF($B45="","",SUMIFS('GIFT PLANNER'!$R$6:$R$205,'GIFT PLANNER'!$C$6:$C$205,$B45,'GIFT PLANNER'!$E$6:$E$205,"Yes"))</f>
      </c>
      <c r="J45" s="85">
        <f>IF($B45="","",SUMIFS('STOCKING STUFFERS'!$J$6:$J$155,'STOCKING STUFFERS'!$C$6:$C$155,$B45))</f>
      </c>
      <c r="K45" s="85">
        <f>IF($B45="","",SUMIFS('STOCKING STUFFERS'!$K$6:$K$155,'STOCKING STUFFERS'!$C$6:$C$155,$B45))</f>
      </c>
      <c r="L45" s="85">
        <f>IF($B45="","",$I45+$K45)</f>
      </c>
      <c r="M45" s="85">
        <f>IF($B45="","",$G45-$L45)</f>
      </c>
      <c r="N45" s="78">
        <f>IF($B45="","",IF(AND($G45=0,$L45=0),"NOT SET",IF($L45&gt;$G45,"OVER BUDGET",IF($L45=$G45,"AT BUDGET",IF(AND($G45&gt;0,$L45/$G45&gt;=Set_WarnThreshold),"NEAR LIMIT","ON TRACK")))))</f>
      </c>
      <c r="O45" s="79"/>
      <c r="P45" s="80"/>
      <c r="Q45" s="78">
        <f>IF($B45="",0,IF(COUNTIF('PEOPLE + BUDGETS'!$B$6:$B$105,$B45)&gt;1,1,0))</f>
      </c>
      <c r="R45" s="75"/>
    </row>
    <row r="46" ht="17" customHeight="1" spans="1:18" x14ac:dyDescent="0.25">
      <c r="A46" s="75"/>
      <c r="B46" s="79"/>
      <c r="C46" s="79"/>
      <c r="D46" s="79"/>
      <c r="E46" s="86"/>
      <c r="F46" s="86"/>
      <c r="G46" s="85">
        <f>IF($B46="","",$E46+$F46)</f>
      </c>
      <c r="H46" s="85">
        <f>IF($B46="","",SUMIFS('GIFT PLANNER'!$Q$6:$Q$205,'GIFT PLANNER'!$C$6:$C$205,$B46,'GIFT PLANNER'!$E$6:$E$205,"Yes"))</f>
      </c>
      <c r="I46" s="85">
        <f>IF($B46="","",SUMIFS('GIFT PLANNER'!$R$6:$R$205,'GIFT PLANNER'!$C$6:$C$205,$B46,'GIFT PLANNER'!$E$6:$E$205,"Yes"))</f>
      </c>
      <c r="J46" s="85">
        <f>IF($B46="","",SUMIFS('STOCKING STUFFERS'!$J$6:$J$155,'STOCKING STUFFERS'!$C$6:$C$155,$B46))</f>
      </c>
      <c r="K46" s="85">
        <f>IF($B46="","",SUMIFS('STOCKING STUFFERS'!$K$6:$K$155,'STOCKING STUFFERS'!$C$6:$C$155,$B46))</f>
      </c>
      <c r="L46" s="85">
        <f>IF($B46="","",$I46+$K46)</f>
      </c>
      <c r="M46" s="85">
        <f>IF($B46="","",$G46-$L46)</f>
      </c>
      <c r="N46" s="78">
        <f>IF($B46="","",IF(AND($G46=0,$L46=0),"NOT SET",IF($L46&gt;$G46,"OVER BUDGET",IF($L46=$G46,"AT BUDGET",IF(AND($G46&gt;0,$L46/$G46&gt;=Set_WarnThreshold),"NEAR LIMIT","ON TRACK")))))</f>
      </c>
      <c r="O46" s="79"/>
      <c r="P46" s="80"/>
      <c r="Q46" s="78">
        <f>IF($B46="",0,IF(COUNTIF('PEOPLE + BUDGETS'!$B$6:$B$105,$B46)&gt;1,1,0))</f>
      </c>
      <c r="R46" s="75"/>
    </row>
    <row r="47" ht="17" customHeight="1" spans="1:18" x14ac:dyDescent="0.25">
      <c r="A47" s="75"/>
      <c r="B47" s="79"/>
      <c r="C47" s="79"/>
      <c r="D47" s="79"/>
      <c r="E47" s="86"/>
      <c r="F47" s="86"/>
      <c r="G47" s="85">
        <f>IF($B47="","",$E47+$F47)</f>
      </c>
      <c r="H47" s="85">
        <f>IF($B47="","",SUMIFS('GIFT PLANNER'!$Q$6:$Q$205,'GIFT PLANNER'!$C$6:$C$205,$B47,'GIFT PLANNER'!$E$6:$E$205,"Yes"))</f>
      </c>
      <c r="I47" s="85">
        <f>IF($B47="","",SUMIFS('GIFT PLANNER'!$R$6:$R$205,'GIFT PLANNER'!$C$6:$C$205,$B47,'GIFT PLANNER'!$E$6:$E$205,"Yes"))</f>
      </c>
      <c r="J47" s="85">
        <f>IF($B47="","",SUMIFS('STOCKING STUFFERS'!$J$6:$J$155,'STOCKING STUFFERS'!$C$6:$C$155,$B47))</f>
      </c>
      <c r="K47" s="85">
        <f>IF($B47="","",SUMIFS('STOCKING STUFFERS'!$K$6:$K$155,'STOCKING STUFFERS'!$C$6:$C$155,$B47))</f>
      </c>
      <c r="L47" s="85">
        <f>IF($B47="","",$I47+$K47)</f>
      </c>
      <c r="M47" s="85">
        <f>IF($B47="","",$G47-$L47)</f>
      </c>
      <c r="N47" s="78">
        <f>IF($B47="","",IF(AND($G47=0,$L47=0),"NOT SET",IF($L47&gt;$G47,"OVER BUDGET",IF($L47=$G47,"AT BUDGET",IF(AND($G47&gt;0,$L47/$G47&gt;=Set_WarnThreshold),"NEAR LIMIT","ON TRACK")))))</f>
      </c>
      <c r="O47" s="79"/>
      <c r="P47" s="80"/>
      <c r="Q47" s="78">
        <f>IF($B47="",0,IF(COUNTIF('PEOPLE + BUDGETS'!$B$6:$B$105,$B47)&gt;1,1,0))</f>
      </c>
      <c r="R47" s="75"/>
    </row>
    <row r="48" ht="17" customHeight="1" spans="1:18" x14ac:dyDescent="0.25">
      <c r="A48" s="75"/>
      <c r="B48" s="79"/>
      <c r="C48" s="79"/>
      <c r="D48" s="79"/>
      <c r="E48" s="86"/>
      <c r="F48" s="86"/>
      <c r="G48" s="85">
        <f>IF($B48="","",$E48+$F48)</f>
      </c>
      <c r="H48" s="85">
        <f>IF($B48="","",SUMIFS('GIFT PLANNER'!$Q$6:$Q$205,'GIFT PLANNER'!$C$6:$C$205,$B48,'GIFT PLANNER'!$E$6:$E$205,"Yes"))</f>
      </c>
      <c r="I48" s="85">
        <f>IF($B48="","",SUMIFS('GIFT PLANNER'!$R$6:$R$205,'GIFT PLANNER'!$C$6:$C$205,$B48,'GIFT PLANNER'!$E$6:$E$205,"Yes"))</f>
      </c>
      <c r="J48" s="85">
        <f>IF($B48="","",SUMIFS('STOCKING STUFFERS'!$J$6:$J$155,'STOCKING STUFFERS'!$C$6:$C$155,$B48))</f>
      </c>
      <c r="K48" s="85">
        <f>IF($B48="","",SUMIFS('STOCKING STUFFERS'!$K$6:$K$155,'STOCKING STUFFERS'!$C$6:$C$155,$B48))</f>
      </c>
      <c r="L48" s="85">
        <f>IF($B48="","",$I48+$K48)</f>
      </c>
      <c r="M48" s="85">
        <f>IF($B48="","",$G48-$L48)</f>
      </c>
      <c r="N48" s="78">
        <f>IF($B48="","",IF(AND($G48=0,$L48=0),"NOT SET",IF($L48&gt;$G48,"OVER BUDGET",IF($L48=$G48,"AT BUDGET",IF(AND($G48&gt;0,$L48/$G48&gt;=Set_WarnThreshold),"NEAR LIMIT","ON TRACK")))))</f>
      </c>
      <c r="O48" s="79"/>
      <c r="P48" s="80"/>
      <c r="Q48" s="78">
        <f>IF($B48="",0,IF(COUNTIF('PEOPLE + BUDGETS'!$B$6:$B$105,$B48)&gt;1,1,0))</f>
      </c>
      <c r="R48" s="75"/>
    </row>
    <row r="49" ht="17" customHeight="1" spans="1:18" x14ac:dyDescent="0.25">
      <c r="A49" s="75"/>
      <c r="B49" s="79"/>
      <c r="C49" s="79"/>
      <c r="D49" s="79"/>
      <c r="E49" s="86"/>
      <c r="F49" s="86"/>
      <c r="G49" s="85">
        <f>IF($B49="","",$E49+$F49)</f>
      </c>
      <c r="H49" s="85">
        <f>IF($B49="","",SUMIFS('GIFT PLANNER'!$Q$6:$Q$205,'GIFT PLANNER'!$C$6:$C$205,$B49,'GIFT PLANNER'!$E$6:$E$205,"Yes"))</f>
      </c>
      <c r="I49" s="85">
        <f>IF($B49="","",SUMIFS('GIFT PLANNER'!$R$6:$R$205,'GIFT PLANNER'!$C$6:$C$205,$B49,'GIFT PLANNER'!$E$6:$E$205,"Yes"))</f>
      </c>
      <c r="J49" s="85">
        <f>IF($B49="","",SUMIFS('STOCKING STUFFERS'!$J$6:$J$155,'STOCKING STUFFERS'!$C$6:$C$155,$B49))</f>
      </c>
      <c r="K49" s="85">
        <f>IF($B49="","",SUMIFS('STOCKING STUFFERS'!$K$6:$K$155,'STOCKING STUFFERS'!$C$6:$C$155,$B49))</f>
      </c>
      <c r="L49" s="85">
        <f>IF($B49="","",$I49+$K49)</f>
      </c>
      <c r="M49" s="85">
        <f>IF($B49="","",$G49-$L49)</f>
      </c>
      <c r="N49" s="78">
        <f>IF($B49="","",IF(AND($G49=0,$L49=0),"NOT SET",IF($L49&gt;$G49,"OVER BUDGET",IF($L49=$G49,"AT BUDGET",IF(AND($G49&gt;0,$L49/$G49&gt;=Set_WarnThreshold),"NEAR LIMIT","ON TRACK")))))</f>
      </c>
      <c r="O49" s="79"/>
      <c r="P49" s="80"/>
      <c r="Q49" s="78">
        <f>IF($B49="",0,IF(COUNTIF('PEOPLE + BUDGETS'!$B$6:$B$105,$B49)&gt;1,1,0))</f>
      </c>
      <c r="R49" s="75"/>
    </row>
    <row r="50" ht="17" customHeight="1" spans="1:18" x14ac:dyDescent="0.25">
      <c r="A50" s="75"/>
      <c r="B50" s="79"/>
      <c r="C50" s="79"/>
      <c r="D50" s="79"/>
      <c r="E50" s="86"/>
      <c r="F50" s="86"/>
      <c r="G50" s="85">
        <f>IF($B50="","",$E50+$F50)</f>
      </c>
      <c r="H50" s="85">
        <f>IF($B50="","",SUMIFS('GIFT PLANNER'!$Q$6:$Q$205,'GIFT PLANNER'!$C$6:$C$205,$B50,'GIFT PLANNER'!$E$6:$E$205,"Yes"))</f>
      </c>
      <c r="I50" s="85">
        <f>IF($B50="","",SUMIFS('GIFT PLANNER'!$R$6:$R$205,'GIFT PLANNER'!$C$6:$C$205,$B50,'GIFT PLANNER'!$E$6:$E$205,"Yes"))</f>
      </c>
      <c r="J50" s="85">
        <f>IF($B50="","",SUMIFS('STOCKING STUFFERS'!$J$6:$J$155,'STOCKING STUFFERS'!$C$6:$C$155,$B50))</f>
      </c>
      <c r="K50" s="85">
        <f>IF($B50="","",SUMIFS('STOCKING STUFFERS'!$K$6:$K$155,'STOCKING STUFFERS'!$C$6:$C$155,$B50))</f>
      </c>
      <c r="L50" s="85">
        <f>IF($B50="","",$I50+$K50)</f>
      </c>
      <c r="M50" s="85">
        <f>IF($B50="","",$G50-$L50)</f>
      </c>
      <c r="N50" s="78">
        <f>IF($B50="","",IF(AND($G50=0,$L50=0),"NOT SET",IF($L50&gt;$G50,"OVER BUDGET",IF($L50=$G50,"AT BUDGET",IF(AND($G50&gt;0,$L50/$G50&gt;=Set_WarnThreshold),"NEAR LIMIT","ON TRACK")))))</f>
      </c>
      <c r="O50" s="79"/>
      <c r="P50" s="80"/>
      <c r="Q50" s="78">
        <f>IF($B50="",0,IF(COUNTIF('PEOPLE + BUDGETS'!$B$6:$B$105,$B50)&gt;1,1,0))</f>
      </c>
      <c r="R50" s="75"/>
    </row>
    <row r="51" ht="17" customHeight="1" spans="1:18" x14ac:dyDescent="0.25">
      <c r="A51" s="75"/>
      <c r="B51" s="79"/>
      <c r="C51" s="79"/>
      <c r="D51" s="79"/>
      <c r="E51" s="86"/>
      <c r="F51" s="86"/>
      <c r="G51" s="85">
        <f>IF($B51="","",$E51+$F51)</f>
      </c>
      <c r="H51" s="85">
        <f>IF($B51="","",SUMIFS('GIFT PLANNER'!$Q$6:$Q$205,'GIFT PLANNER'!$C$6:$C$205,$B51,'GIFT PLANNER'!$E$6:$E$205,"Yes"))</f>
      </c>
      <c r="I51" s="85">
        <f>IF($B51="","",SUMIFS('GIFT PLANNER'!$R$6:$R$205,'GIFT PLANNER'!$C$6:$C$205,$B51,'GIFT PLANNER'!$E$6:$E$205,"Yes"))</f>
      </c>
      <c r="J51" s="85">
        <f>IF($B51="","",SUMIFS('STOCKING STUFFERS'!$J$6:$J$155,'STOCKING STUFFERS'!$C$6:$C$155,$B51))</f>
      </c>
      <c r="K51" s="85">
        <f>IF($B51="","",SUMIFS('STOCKING STUFFERS'!$K$6:$K$155,'STOCKING STUFFERS'!$C$6:$C$155,$B51))</f>
      </c>
      <c r="L51" s="85">
        <f>IF($B51="","",$I51+$K51)</f>
      </c>
      <c r="M51" s="85">
        <f>IF($B51="","",$G51-$L51)</f>
      </c>
      <c r="N51" s="78">
        <f>IF($B51="","",IF(AND($G51=0,$L51=0),"NOT SET",IF($L51&gt;$G51,"OVER BUDGET",IF($L51=$G51,"AT BUDGET",IF(AND($G51&gt;0,$L51/$G51&gt;=Set_WarnThreshold),"NEAR LIMIT","ON TRACK")))))</f>
      </c>
      <c r="O51" s="79"/>
      <c r="P51" s="80"/>
      <c r="Q51" s="78">
        <f>IF($B51="",0,IF(COUNTIF('PEOPLE + BUDGETS'!$B$6:$B$105,$B51)&gt;1,1,0))</f>
      </c>
      <c r="R51" s="75"/>
    </row>
    <row r="52" ht="17" customHeight="1" spans="1:18" x14ac:dyDescent="0.25">
      <c r="A52" s="75"/>
      <c r="B52" s="79"/>
      <c r="C52" s="79"/>
      <c r="D52" s="79"/>
      <c r="E52" s="86"/>
      <c r="F52" s="86"/>
      <c r="G52" s="85">
        <f>IF($B52="","",$E52+$F52)</f>
      </c>
      <c r="H52" s="85">
        <f>IF($B52="","",SUMIFS('GIFT PLANNER'!$Q$6:$Q$205,'GIFT PLANNER'!$C$6:$C$205,$B52,'GIFT PLANNER'!$E$6:$E$205,"Yes"))</f>
      </c>
      <c r="I52" s="85">
        <f>IF($B52="","",SUMIFS('GIFT PLANNER'!$R$6:$R$205,'GIFT PLANNER'!$C$6:$C$205,$B52,'GIFT PLANNER'!$E$6:$E$205,"Yes"))</f>
      </c>
      <c r="J52" s="85">
        <f>IF($B52="","",SUMIFS('STOCKING STUFFERS'!$J$6:$J$155,'STOCKING STUFFERS'!$C$6:$C$155,$B52))</f>
      </c>
      <c r="K52" s="85">
        <f>IF($B52="","",SUMIFS('STOCKING STUFFERS'!$K$6:$K$155,'STOCKING STUFFERS'!$C$6:$C$155,$B52))</f>
      </c>
      <c r="L52" s="85">
        <f>IF($B52="","",$I52+$K52)</f>
      </c>
      <c r="M52" s="85">
        <f>IF($B52="","",$G52-$L52)</f>
      </c>
      <c r="N52" s="78">
        <f>IF($B52="","",IF(AND($G52=0,$L52=0),"NOT SET",IF($L52&gt;$G52,"OVER BUDGET",IF($L52=$G52,"AT BUDGET",IF(AND($G52&gt;0,$L52/$G52&gt;=Set_WarnThreshold),"NEAR LIMIT","ON TRACK")))))</f>
      </c>
      <c r="O52" s="79"/>
      <c r="P52" s="80"/>
      <c r="Q52" s="78">
        <f>IF($B52="",0,IF(COUNTIF('PEOPLE + BUDGETS'!$B$6:$B$105,$B52)&gt;1,1,0))</f>
      </c>
      <c r="R52" s="75"/>
    </row>
    <row r="53" ht="17" customHeight="1" spans="1:18" x14ac:dyDescent="0.25">
      <c r="A53" s="75"/>
      <c r="B53" s="79"/>
      <c r="C53" s="79"/>
      <c r="D53" s="79"/>
      <c r="E53" s="86"/>
      <c r="F53" s="86"/>
      <c r="G53" s="85">
        <f>IF($B53="","",$E53+$F53)</f>
      </c>
      <c r="H53" s="85">
        <f>IF($B53="","",SUMIFS('GIFT PLANNER'!$Q$6:$Q$205,'GIFT PLANNER'!$C$6:$C$205,$B53,'GIFT PLANNER'!$E$6:$E$205,"Yes"))</f>
      </c>
      <c r="I53" s="85">
        <f>IF($B53="","",SUMIFS('GIFT PLANNER'!$R$6:$R$205,'GIFT PLANNER'!$C$6:$C$205,$B53,'GIFT PLANNER'!$E$6:$E$205,"Yes"))</f>
      </c>
      <c r="J53" s="85">
        <f>IF($B53="","",SUMIFS('STOCKING STUFFERS'!$J$6:$J$155,'STOCKING STUFFERS'!$C$6:$C$155,$B53))</f>
      </c>
      <c r="K53" s="85">
        <f>IF($B53="","",SUMIFS('STOCKING STUFFERS'!$K$6:$K$155,'STOCKING STUFFERS'!$C$6:$C$155,$B53))</f>
      </c>
      <c r="L53" s="85">
        <f>IF($B53="","",$I53+$K53)</f>
      </c>
      <c r="M53" s="85">
        <f>IF($B53="","",$G53-$L53)</f>
      </c>
      <c r="N53" s="78">
        <f>IF($B53="","",IF(AND($G53=0,$L53=0),"NOT SET",IF($L53&gt;$G53,"OVER BUDGET",IF($L53=$G53,"AT BUDGET",IF(AND($G53&gt;0,$L53/$G53&gt;=Set_WarnThreshold),"NEAR LIMIT","ON TRACK")))))</f>
      </c>
      <c r="O53" s="79"/>
      <c r="P53" s="80"/>
      <c r="Q53" s="78">
        <f>IF($B53="",0,IF(COUNTIF('PEOPLE + BUDGETS'!$B$6:$B$105,$B53)&gt;1,1,0))</f>
      </c>
      <c r="R53" s="75"/>
    </row>
    <row r="54" ht="17" customHeight="1" spans="1:18" x14ac:dyDescent="0.25">
      <c r="A54" s="75"/>
      <c r="B54" s="79"/>
      <c r="C54" s="79"/>
      <c r="D54" s="79"/>
      <c r="E54" s="86"/>
      <c r="F54" s="86"/>
      <c r="G54" s="85">
        <f>IF($B54="","",$E54+$F54)</f>
      </c>
      <c r="H54" s="85">
        <f>IF($B54="","",SUMIFS('GIFT PLANNER'!$Q$6:$Q$205,'GIFT PLANNER'!$C$6:$C$205,$B54,'GIFT PLANNER'!$E$6:$E$205,"Yes"))</f>
      </c>
      <c r="I54" s="85">
        <f>IF($B54="","",SUMIFS('GIFT PLANNER'!$R$6:$R$205,'GIFT PLANNER'!$C$6:$C$205,$B54,'GIFT PLANNER'!$E$6:$E$205,"Yes"))</f>
      </c>
      <c r="J54" s="85">
        <f>IF($B54="","",SUMIFS('STOCKING STUFFERS'!$J$6:$J$155,'STOCKING STUFFERS'!$C$6:$C$155,$B54))</f>
      </c>
      <c r="K54" s="85">
        <f>IF($B54="","",SUMIFS('STOCKING STUFFERS'!$K$6:$K$155,'STOCKING STUFFERS'!$C$6:$C$155,$B54))</f>
      </c>
      <c r="L54" s="85">
        <f>IF($B54="","",$I54+$K54)</f>
      </c>
      <c r="M54" s="85">
        <f>IF($B54="","",$G54-$L54)</f>
      </c>
      <c r="N54" s="78">
        <f>IF($B54="","",IF(AND($G54=0,$L54=0),"NOT SET",IF($L54&gt;$G54,"OVER BUDGET",IF($L54=$G54,"AT BUDGET",IF(AND($G54&gt;0,$L54/$G54&gt;=Set_WarnThreshold),"NEAR LIMIT","ON TRACK")))))</f>
      </c>
      <c r="O54" s="79"/>
      <c r="P54" s="80"/>
      <c r="Q54" s="78">
        <f>IF($B54="",0,IF(COUNTIF('PEOPLE + BUDGETS'!$B$6:$B$105,$B54)&gt;1,1,0))</f>
      </c>
      <c r="R54" s="75"/>
    </row>
    <row r="55" ht="17" customHeight="1" spans="1:18" x14ac:dyDescent="0.25">
      <c r="A55" s="75"/>
      <c r="B55" s="79"/>
      <c r="C55" s="79"/>
      <c r="D55" s="79"/>
      <c r="E55" s="86"/>
      <c r="F55" s="86"/>
      <c r="G55" s="85">
        <f>IF($B55="","",$E55+$F55)</f>
      </c>
      <c r="H55" s="85">
        <f>IF($B55="","",SUMIFS('GIFT PLANNER'!$Q$6:$Q$205,'GIFT PLANNER'!$C$6:$C$205,$B55,'GIFT PLANNER'!$E$6:$E$205,"Yes"))</f>
      </c>
      <c r="I55" s="85">
        <f>IF($B55="","",SUMIFS('GIFT PLANNER'!$R$6:$R$205,'GIFT PLANNER'!$C$6:$C$205,$B55,'GIFT PLANNER'!$E$6:$E$205,"Yes"))</f>
      </c>
      <c r="J55" s="85">
        <f>IF($B55="","",SUMIFS('STOCKING STUFFERS'!$J$6:$J$155,'STOCKING STUFFERS'!$C$6:$C$155,$B55))</f>
      </c>
      <c r="K55" s="85">
        <f>IF($B55="","",SUMIFS('STOCKING STUFFERS'!$K$6:$K$155,'STOCKING STUFFERS'!$C$6:$C$155,$B55))</f>
      </c>
      <c r="L55" s="85">
        <f>IF($B55="","",$I55+$K55)</f>
      </c>
      <c r="M55" s="85">
        <f>IF($B55="","",$G55-$L55)</f>
      </c>
      <c r="N55" s="78">
        <f>IF($B55="","",IF(AND($G55=0,$L55=0),"NOT SET",IF($L55&gt;$G55,"OVER BUDGET",IF($L55=$G55,"AT BUDGET",IF(AND($G55&gt;0,$L55/$G55&gt;=Set_WarnThreshold),"NEAR LIMIT","ON TRACK")))))</f>
      </c>
      <c r="O55" s="79"/>
      <c r="P55" s="80"/>
      <c r="Q55" s="78">
        <f>IF($B55="",0,IF(COUNTIF('PEOPLE + BUDGETS'!$B$6:$B$105,$B55)&gt;1,1,0))</f>
      </c>
      <c r="R55" s="75"/>
    </row>
    <row r="56" ht="17" customHeight="1" spans="1:18" x14ac:dyDescent="0.25">
      <c r="A56" s="75"/>
      <c r="B56" s="79"/>
      <c r="C56" s="79"/>
      <c r="D56" s="79"/>
      <c r="E56" s="86"/>
      <c r="F56" s="86"/>
      <c r="G56" s="85">
        <f>IF($B56="","",$E56+$F56)</f>
      </c>
      <c r="H56" s="85">
        <f>IF($B56="","",SUMIFS('GIFT PLANNER'!$Q$6:$Q$205,'GIFT PLANNER'!$C$6:$C$205,$B56,'GIFT PLANNER'!$E$6:$E$205,"Yes"))</f>
      </c>
      <c r="I56" s="85">
        <f>IF($B56="","",SUMIFS('GIFT PLANNER'!$R$6:$R$205,'GIFT PLANNER'!$C$6:$C$205,$B56,'GIFT PLANNER'!$E$6:$E$205,"Yes"))</f>
      </c>
      <c r="J56" s="85">
        <f>IF($B56="","",SUMIFS('STOCKING STUFFERS'!$J$6:$J$155,'STOCKING STUFFERS'!$C$6:$C$155,$B56))</f>
      </c>
      <c r="K56" s="85">
        <f>IF($B56="","",SUMIFS('STOCKING STUFFERS'!$K$6:$K$155,'STOCKING STUFFERS'!$C$6:$C$155,$B56))</f>
      </c>
      <c r="L56" s="85">
        <f>IF($B56="","",$I56+$K56)</f>
      </c>
      <c r="M56" s="85">
        <f>IF($B56="","",$G56-$L56)</f>
      </c>
      <c r="N56" s="78">
        <f>IF($B56="","",IF(AND($G56=0,$L56=0),"NOT SET",IF($L56&gt;$G56,"OVER BUDGET",IF($L56=$G56,"AT BUDGET",IF(AND($G56&gt;0,$L56/$G56&gt;=Set_WarnThreshold),"NEAR LIMIT","ON TRACK")))))</f>
      </c>
      <c r="O56" s="79"/>
      <c r="P56" s="80"/>
      <c r="Q56" s="78">
        <f>IF($B56="",0,IF(COUNTIF('PEOPLE + BUDGETS'!$B$6:$B$105,$B56)&gt;1,1,0))</f>
      </c>
      <c r="R56" s="75"/>
    </row>
    <row r="57" ht="17" customHeight="1" spans="1:18" x14ac:dyDescent="0.25">
      <c r="A57" s="75"/>
      <c r="B57" s="79"/>
      <c r="C57" s="79"/>
      <c r="D57" s="79"/>
      <c r="E57" s="86"/>
      <c r="F57" s="86"/>
      <c r="G57" s="85">
        <f>IF($B57="","",$E57+$F57)</f>
      </c>
      <c r="H57" s="85">
        <f>IF($B57="","",SUMIFS('GIFT PLANNER'!$Q$6:$Q$205,'GIFT PLANNER'!$C$6:$C$205,$B57,'GIFT PLANNER'!$E$6:$E$205,"Yes"))</f>
      </c>
      <c r="I57" s="85">
        <f>IF($B57="","",SUMIFS('GIFT PLANNER'!$R$6:$R$205,'GIFT PLANNER'!$C$6:$C$205,$B57,'GIFT PLANNER'!$E$6:$E$205,"Yes"))</f>
      </c>
      <c r="J57" s="85">
        <f>IF($B57="","",SUMIFS('STOCKING STUFFERS'!$J$6:$J$155,'STOCKING STUFFERS'!$C$6:$C$155,$B57))</f>
      </c>
      <c r="K57" s="85">
        <f>IF($B57="","",SUMIFS('STOCKING STUFFERS'!$K$6:$K$155,'STOCKING STUFFERS'!$C$6:$C$155,$B57))</f>
      </c>
      <c r="L57" s="85">
        <f>IF($B57="","",$I57+$K57)</f>
      </c>
      <c r="M57" s="85">
        <f>IF($B57="","",$G57-$L57)</f>
      </c>
      <c r="N57" s="78">
        <f>IF($B57="","",IF(AND($G57=0,$L57=0),"NOT SET",IF($L57&gt;$G57,"OVER BUDGET",IF($L57=$G57,"AT BUDGET",IF(AND($G57&gt;0,$L57/$G57&gt;=Set_WarnThreshold),"NEAR LIMIT","ON TRACK")))))</f>
      </c>
      <c r="O57" s="79"/>
      <c r="P57" s="80"/>
      <c r="Q57" s="78">
        <f>IF($B57="",0,IF(COUNTIF('PEOPLE + BUDGETS'!$B$6:$B$105,$B57)&gt;1,1,0))</f>
      </c>
      <c r="R57" s="75"/>
    </row>
    <row r="58" ht="17" customHeight="1" spans="1:18" x14ac:dyDescent="0.25">
      <c r="A58" s="75"/>
      <c r="B58" s="79"/>
      <c r="C58" s="79"/>
      <c r="D58" s="79"/>
      <c r="E58" s="86"/>
      <c r="F58" s="86"/>
      <c r="G58" s="85">
        <f>IF($B58="","",$E58+$F58)</f>
      </c>
      <c r="H58" s="85">
        <f>IF($B58="","",SUMIFS('GIFT PLANNER'!$Q$6:$Q$205,'GIFT PLANNER'!$C$6:$C$205,$B58,'GIFT PLANNER'!$E$6:$E$205,"Yes"))</f>
      </c>
      <c r="I58" s="85">
        <f>IF($B58="","",SUMIFS('GIFT PLANNER'!$R$6:$R$205,'GIFT PLANNER'!$C$6:$C$205,$B58,'GIFT PLANNER'!$E$6:$E$205,"Yes"))</f>
      </c>
      <c r="J58" s="85">
        <f>IF($B58="","",SUMIFS('STOCKING STUFFERS'!$J$6:$J$155,'STOCKING STUFFERS'!$C$6:$C$155,$B58))</f>
      </c>
      <c r="K58" s="85">
        <f>IF($B58="","",SUMIFS('STOCKING STUFFERS'!$K$6:$K$155,'STOCKING STUFFERS'!$C$6:$C$155,$B58))</f>
      </c>
      <c r="L58" s="85">
        <f>IF($B58="","",$I58+$K58)</f>
      </c>
      <c r="M58" s="85">
        <f>IF($B58="","",$G58-$L58)</f>
      </c>
      <c r="N58" s="78">
        <f>IF($B58="","",IF(AND($G58=0,$L58=0),"NOT SET",IF($L58&gt;$G58,"OVER BUDGET",IF($L58=$G58,"AT BUDGET",IF(AND($G58&gt;0,$L58/$G58&gt;=Set_WarnThreshold),"NEAR LIMIT","ON TRACK")))))</f>
      </c>
      <c r="O58" s="79"/>
      <c r="P58" s="80"/>
      <c r="Q58" s="78">
        <f>IF($B58="",0,IF(COUNTIF('PEOPLE + BUDGETS'!$B$6:$B$105,$B58)&gt;1,1,0))</f>
      </c>
      <c r="R58" s="75"/>
    </row>
    <row r="59" ht="17" customHeight="1" spans="1:18" x14ac:dyDescent="0.25">
      <c r="A59" s="75"/>
      <c r="B59" s="79"/>
      <c r="C59" s="79"/>
      <c r="D59" s="79"/>
      <c r="E59" s="86"/>
      <c r="F59" s="86"/>
      <c r="G59" s="85">
        <f>IF($B59="","",$E59+$F59)</f>
      </c>
      <c r="H59" s="85">
        <f>IF($B59="","",SUMIFS('GIFT PLANNER'!$Q$6:$Q$205,'GIFT PLANNER'!$C$6:$C$205,$B59,'GIFT PLANNER'!$E$6:$E$205,"Yes"))</f>
      </c>
      <c r="I59" s="85">
        <f>IF($B59="","",SUMIFS('GIFT PLANNER'!$R$6:$R$205,'GIFT PLANNER'!$C$6:$C$205,$B59,'GIFT PLANNER'!$E$6:$E$205,"Yes"))</f>
      </c>
      <c r="J59" s="85">
        <f>IF($B59="","",SUMIFS('STOCKING STUFFERS'!$J$6:$J$155,'STOCKING STUFFERS'!$C$6:$C$155,$B59))</f>
      </c>
      <c r="K59" s="85">
        <f>IF($B59="","",SUMIFS('STOCKING STUFFERS'!$K$6:$K$155,'STOCKING STUFFERS'!$C$6:$C$155,$B59))</f>
      </c>
      <c r="L59" s="85">
        <f>IF($B59="","",$I59+$K59)</f>
      </c>
      <c r="M59" s="85">
        <f>IF($B59="","",$G59-$L59)</f>
      </c>
      <c r="N59" s="78">
        <f>IF($B59="","",IF(AND($G59=0,$L59=0),"NOT SET",IF($L59&gt;$G59,"OVER BUDGET",IF($L59=$G59,"AT BUDGET",IF(AND($G59&gt;0,$L59/$G59&gt;=Set_WarnThreshold),"NEAR LIMIT","ON TRACK")))))</f>
      </c>
      <c r="O59" s="79"/>
      <c r="P59" s="80"/>
      <c r="Q59" s="78">
        <f>IF($B59="",0,IF(COUNTIF('PEOPLE + BUDGETS'!$B$6:$B$105,$B59)&gt;1,1,0))</f>
      </c>
      <c r="R59" s="75"/>
    </row>
    <row r="60" ht="17" customHeight="1" spans="1:18" x14ac:dyDescent="0.25">
      <c r="A60" s="75"/>
      <c r="B60" s="79"/>
      <c r="C60" s="79"/>
      <c r="D60" s="79"/>
      <c r="E60" s="86"/>
      <c r="F60" s="86"/>
      <c r="G60" s="85">
        <f>IF($B60="","",$E60+$F60)</f>
      </c>
      <c r="H60" s="85">
        <f>IF($B60="","",SUMIFS('GIFT PLANNER'!$Q$6:$Q$205,'GIFT PLANNER'!$C$6:$C$205,$B60,'GIFT PLANNER'!$E$6:$E$205,"Yes"))</f>
      </c>
      <c r="I60" s="85">
        <f>IF($B60="","",SUMIFS('GIFT PLANNER'!$R$6:$R$205,'GIFT PLANNER'!$C$6:$C$205,$B60,'GIFT PLANNER'!$E$6:$E$205,"Yes"))</f>
      </c>
      <c r="J60" s="85">
        <f>IF($B60="","",SUMIFS('STOCKING STUFFERS'!$J$6:$J$155,'STOCKING STUFFERS'!$C$6:$C$155,$B60))</f>
      </c>
      <c r="K60" s="85">
        <f>IF($B60="","",SUMIFS('STOCKING STUFFERS'!$K$6:$K$155,'STOCKING STUFFERS'!$C$6:$C$155,$B60))</f>
      </c>
      <c r="L60" s="85">
        <f>IF($B60="","",$I60+$K60)</f>
      </c>
      <c r="M60" s="85">
        <f>IF($B60="","",$G60-$L60)</f>
      </c>
      <c r="N60" s="78">
        <f>IF($B60="","",IF(AND($G60=0,$L60=0),"NOT SET",IF($L60&gt;$G60,"OVER BUDGET",IF($L60=$G60,"AT BUDGET",IF(AND($G60&gt;0,$L60/$G60&gt;=Set_WarnThreshold),"NEAR LIMIT","ON TRACK")))))</f>
      </c>
      <c r="O60" s="79"/>
      <c r="P60" s="80"/>
      <c r="Q60" s="78">
        <f>IF($B60="",0,IF(COUNTIF('PEOPLE + BUDGETS'!$B$6:$B$105,$B60)&gt;1,1,0))</f>
      </c>
      <c r="R60" s="75"/>
    </row>
    <row r="61" ht="17" customHeight="1" spans="1:18" x14ac:dyDescent="0.25">
      <c r="A61" s="75"/>
      <c r="B61" s="79"/>
      <c r="C61" s="79"/>
      <c r="D61" s="79"/>
      <c r="E61" s="86"/>
      <c r="F61" s="86"/>
      <c r="G61" s="85">
        <f>IF($B61="","",$E61+$F61)</f>
      </c>
      <c r="H61" s="85">
        <f>IF($B61="","",SUMIFS('GIFT PLANNER'!$Q$6:$Q$205,'GIFT PLANNER'!$C$6:$C$205,$B61,'GIFT PLANNER'!$E$6:$E$205,"Yes"))</f>
      </c>
      <c r="I61" s="85">
        <f>IF($B61="","",SUMIFS('GIFT PLANNER'!$R$6:$R$205,'GIFT PLANNER'!$C$6:$C$205,$B61,'GIFT PLANNER'!$E$6:$E$205,"Yes"))</f>
      </c>
      <c r="J61" s="85">
        <f>IF($B61="","",SUMIFS('STOCKING STUFFERS'!$J$6:$J$155,'STOCKING STUFFERS'!$C$6:$C$155,$B61))</f>
      </c>
      <c r="K61" s="85">
        <f>IF($B61="","",SUMIFS('STOCKING STUFFERS'!$K$6:$K$155,'STOCKING STUFFERS'!$C$6:$C$155,$B61))</f>
      </c>
      <c r="L61" s="85">
        <f>IF($B61="","",$I61+$K61)</f>
      </c>
      <c r="M61" s="85">
        <f>IF($B61="","",$G61-$L61)</f>
      </c>
      <c r="N61" s="78">
        <f>IF($B61="","",IF(AND($G61=0,$L61=0),"NOT SET",IF($L61&gt;$G61,"OVER BUDGET",IF($L61=$G61,"AT BUDGET",IF(AND($G61&gt;0,$L61/$G61&gt;=Set_WarnThreshold),"NEAR LIMIT","ON TRACK")))))</f>
      </c>
      <c r="O61" s="79"/>
      <c r="P61" s="80"/>
      <c r="Q61" s="78">
        <f>IF($B61="",0,IF(COUNTIF('PEOPLE + BUDGETS'!$B$6:$B$105,$B61)&gt;1,1,0))</f>
      </c>
      <c r="R61" s="75"/>
    </row>
    <row r="62" ht="17" customHeight="1" spans="1:18" x14ac:dyDescent="0.25">
      <c r="A62" s="75"/>
      <c r="B62" s="79"/>
      <c r="C62" s="79"/>
      <c r="D62" s="79"/>
      <c r="E62" s="86"/>
      <c r="F62" s="86"/>
      <c r="G62" s="85">
        <f>IF($B62="","",$E62+$F62)</f>
      </c>
      <c r="H62" s="85">
        <f>IF($B62="","",SUMIFS('GIFT PLANNER'!$Q$6:$Q$205,'GIFT PLANNER'!$C$6:$C$205,$B62,'GIFT PLANNER'!$E$6:$E$205,"Yes"))</f>
      </c>
      <c r="I62" s="85">
        <f>IF($B62="","",SUMIFS('GIFT PLANNER'!$R$6:$R$205,'GIFT PLANNER'!$C$6:$C$205,$B62,'GIFT PLANNER'!$E$6:$E$205,"Yes"))</f>
      </c>
      <c r="J62" s="85">
        <f>IF($B62="","",SUMIFS('STOCKING STUFFERS'!$J$6:$J$155,'STOCKING STUFFERS'!$C$6:$C$155,$B62))</f>
      </c>
      <c r="K62" s="85">
        <f>IF($B62="","",SUMIFS('STOCKING STUFFERS'!$K$6:$K$155,'STOCKING STUFFERS'!$C$6:$C$155,$B62))</f>
      </c>
      <c r="L62" s="85">
        <f>IF($B62="","",$I62+$K62)</f>
      </c>
      <c r="M62" s="85">
        <f>IF($B62="","",$G62-$L62)</f>
      </c>
      <c r="N62" s="78">
        <f>IF($B62="","",IF(AND($G62=0,$L62=0),"NOT SET",IF($L62&gt;$G62,"OVER BUDGET",IF($L62=$G62,"AT BUDGET",IF(AND($G62&gt;0,$L62/$G62&gt;=Set_WarnThreshold),"NEAR LIMIT","ON TRACK")))))</f>
      </c>
      <c r="O62" s="79"/>
      <c r="P62" s="80"/>
      <c r="Q62" s="78">
        <f>IF($B62="",0,IF(COUNTIF('PEOPLE + BUDGETS'!$B$6:$B$105,$B62)&gt;1,1,0))</f>
      </c>
      <c r="R62" s="75"/>
    </row>
    <row r="63" ht="17" customHeight="1" spans="1:18" x14ac:dyDescent="0.25">
      <c r="A63" s="75"/>
      <c r="B63" s="79"/>
      <c r="C63" s="79"/>
      <c r="D63" s="79"/>
      <c r="E63" s="86"/>
      <c r="F63" s="86"/>
      <c r="G63" s="85">
        <f>IF($B63="","",$E63+$F63)</f>
      </c>
      <c r="H63" s="85">
        <f>IF($B63="","",SUMIFS('GIFT PLANNER'!$Q$6:$Q$205,'GIFT PLANNER'!$C$6:$C$205,$B63,'GIFT PLANNER'!$E$6:$E$205,"Yes"))</f>
      </c>
      <c r="I63" s="85">
        <f>IF($B63="","",SUMIFS('GIFT PLANNER'!$R$6:$R$205,'GIFT PLANNER'!$C$6:$C$205,$B63,'GIFT PLANNER'!$E$6:$E$205,"Yes"))</f>
      </c>
      <c r="J63" s="85">
        <f>IF($B63="","",SUMIFS('STOCKING STUFFERS'!$J$6:$J$155,'STOCKING STUFFERS'!$C$6:$C$155,$B63))</f>
      </c>
      <c r="K63" s="85">
        <f>IF($B63="","",SUMIFS('STOCKING STUFFERS'!$K$6:$K$155,'STOCKING STUFFERS'!$C$6:$C$155,$B63))</f>
      </c>
      <c r="L63" s="85">
        <f>IF($B63="","",$I63+$K63)</f>
      </c>
      <c r="M63" s="85">
        <f>IF($B63="","",$G63-$L63)</f>
      </c>
      <c r="N63" s="78">
        <f>IF($B63="","",IF(AND($G63=0,$L63=0),"NOT SET",IF($L63&gt;$G63,"OVER BUDGET",IF($L63=$G63,"AT BUDGET",IF(AND($G63&gt;0,$L63/$G63&gt;=Set_WarnThreshold),"NEAR LIMIT","ON TRACK")))))</f>
      </c>
      <c r="O63" s="79"/>
      <c r="P63" s="80"/>
      <c r="Q63" s="78">
        <f>IF($B63="",0,IF(COUNTIF('PEOPLE + BUDGETS'!$B$6:$B$105,$B63)&gt;1,1,0))</f>
      </c>
      <c r="R63" s="75"/>
    </row>
    <row r="64" ht="17" customHeight="1" spans="1:18" x14ac:dyDescent="0.25">
      <c r="A64" s="75"/>
      <c r="B64" s="79"/>
      <c r="C64" s="79"/>
      <c r="D64" s="79"/>
      <c r="E64" s="86"/>
      <c r="F64" s="86"/>
      <c r="G64" s="85">
        <f>IF($B64="","",$E64+$F64)</f>
      </c>
      <c r="H64" s="85">
        <f>IF($B64="","",SUMIFS('GIFT PLANNER'!$Q$6:$Q$205,'GIFT PLANNER'!$C$6:$C$205,$B64,'GIFT PLANNER'!$E$6:$E$205,"Yes"))</f>
      </c>
      <c r="I64" s="85">
        <f>IF($B64="","",SUMIFS('GIFT PLANNER'!$R$6:$R$205,'GIFT PLANNER'!$C$6:$C$205,$B64,'GIFT PLANNER'!$E$6:$E$205,"Yes"))</f>
      </c>
      <c r="J64" s="85">
        <f>IF($B64="","",SUMIFS('STOCKING STUFFERS'!$J$6:$J$155,'STOCKING STUFFERS'!$C$6:$C$155,$B64))</f>
      </c>
      <c r="K64" s="85">
        <f>IF($B64="","",SUMIFS('STOCKING STUFFERS'!$K$6:$K$155,'STOCKING STUFFERS'!$C$6:$C$155,$B64))</f>
      </c>
      <c r="L64" s="85">
        <f>IF($B64="","",$I64+$K64)</f>
      </c>
      <c r="M64" s="85">
        <f>IF($B64="","",$G64-$L64)</f>
      </c>
      <c r="N64" s="78">
        <f>IF($B64="","",IF(AND($G64=0,$L64=0),"NOT SET",IF($L64&gt;$G64,"OVER BUDGET",IF($L64=$G64,"AT BUDGET",IF(AND($G64&gt;0,$L64/$G64&gt;=Set_WarnThreshold),"NEAR LIMIT","ON TRACK")))))</f>
      </c>
      <c r="O64" s="79"/>
      <c r="P64" s="80"/>
      <c r="Q64" s="78">
        <f>IF($B64="",0,IF(COUNTIF('PEOPLE + BUDGETS'!$B$6:$B$105,$B64)&gt;1,1,0))</f>
      </c>
      <c r="R64" s="75"/>
    </row>
    <row r="65" ht="17" customHeight="1" spans="1:18" x14ac:dyDescent="0.25">
      <c r="A65" s="75"/>
      <c r="B65" s="79"/>
      <c r="C65" s="79"/>
      <c r="D65" s="79"/>
      <c r="E65" s="86"/>
      <c r="F65" s="86"/>
      <c r="G65" s="85">
        <f>IF($B65="","",$E65+$F65)</f>
      </c>
      <c r="H65" s="85">
        <f>IF($B65="","",SUMIFS('GIFT PLANNER'!$Q$6:$Q$205,'GIFT PLANNER'!$C$6:$C$205,$B65,'GIFT PLANNER'!$E$6:$E$205,"Yes"))</f>
      </c>
      <c r="I65" s="85">
        <f>IF($B65="","",SUMIFS('GIFT PLANNER'!$R$6:$R$205,'GIFT PLANNER'!$C$6:$C$205,$B65,'GIFT PLANNER'!$E$6:$E$205,"Yes"))</f>
      </c>
      <c r="J65" s="85">
        <f>IF($B65="","",SUMIFS('STOCKING STUFFERS'!$J$6:$J$155,'STOCKING STUFFERS'!$C$6:$C$155,$B65))</f>
      </c>
      <c r="K65" s="85">
        <f>IF($B65="","",SUMIFS('STOCKING STUFFERS'!$K$6:$K$155,'STOCKING STUFFERS'!$C$6:$C$155,$B65))</f>
      </c>
      <c r="L65" s="85">
        <f>IF($B65="","",$I65+$K65)</f>
      </c>
      <c r="M65" s="85">
        <f>IF($B65="","",$G65-$L65)</f>
      </c>
      <c r="N65" s="78">
        <f>IF($B65="","",IF(AND($G65=0,$L65=0),"NOT SET",IF($L65&gt;$G65,"OVER BUDGET",IF($L65=$G65,"AT BUDGET",IF(AND($G65&gt;0,$L65/$G65&gt;=Set_WarnThreshold),"NEAR LIMIT","ON TRACK")))))</f>
      </c>
      <c r="O65" s="79"/>
      <c r="P65" s="80"/>
      <c r="Q65" s="78">
        <f>IF($B65="",0,IF(COUNTIF('PEOPLE + BUDGETS'!$B$6:$B$105,$B65)&gt;1,1,0))</f>
      </c>
      <c r="R65" s="75"/>
    </row>
    <row r="66" ht="17" customHeight="1" spans="1:18" x14ac:dyDescent="0.25">
      <c r="A66" s="75"/>
      <c r="B66" s="79"/>
      <c r="C66" s="79"/>
      <c r="D66" s="79"/>
      <c r="E66" s="86"/>
      <c r="F66" s="86"/>
      <c r="G66" s="85">
        <f>IF($B66="","",$E66+$F66)</f>
      </c>
      <c r="H66" s="85">
        <f>IF($B66="","",SUMIFS('GIFT PLANNER'!$Q$6:$Q$205,'GIFT PLANNER'!$C$6:$C$205,$B66,'GIFT PLANNER'!$E$6:$E$205,"Yes"))</f>
      </c>
      <c r="I66" s="85">
        <f>IF($B66="","",SUMIFS('GIFT PLANNER'!$R$6:$R$205,'GIFT PLANNER'!$C$6:$C$205,$B66,'GIFT PLANNER'!$E$6:$E$205,"Yes"))</f>
      </c>
      <c r="J66" s="85">
        <f>IF($B66="","",SUMIFS('STOCKING STUFFERS'!$J$6:$J$155,'STOCKING STUFFERS'!$C$6:$C$155,$B66))</f>
      </c>
      <c r="K66" s="85">
        <f>IF($B66="","",SUMIFS('STOCKING STUFFERS'!$K$6:$K$155,'STOCKING STUFFERS'!$C$6:$C$155,$B66))</f>
      </c>
      <c r="L66" s="85">
        <f>IF($B66="","",$I66+$K66)</f>
      </c>
      <c r="M66" s="85">
        <f>IF($B66="","",$G66-$L66)</f>
      </c>
      <c r="N66" s="78">
        <f>IF($B66="","",IF(AND($G66=0,$L66=0),"NOT SET",IF($L66&gt;$G66,"OVER BUDGET",IF($L66=$G66,"AT BUDGET",IF(AND($G66&gt;0,$L66/$G66&gt;=Set_WarnThreshold),"NEAR LIMIT","ON TRACK")))))</f>
      </c>
      <c r="O66" s="79"/>
      <c r="P66" s="80"/>
      <c r="Q66" s="78">
        <f>IF($B66="",0,IF(COUNTIF('PEOPLE + BUDGETS'!$B$6:$B$105,$B66)&gt;1,1,0))</f>
      </c>
      <c r="R66" s="75"/>
    </row>
    <row r="67" ht="17" customHeight="1" spans="1:18" x14ac:dyDescent="0.25">
      <c r="A67" s="75"/>
      <c r="B67" s="79"/>
      <c r="C67" s="79"/>
      <c r="D67" s="79"/>
      <c r="E67" s="86"/>
      <c r="F67" s="86"/>
      <c r="G67" s="85">
        <f>IF($B67="","",$E67+$F67)</f>
      </c>
      <c r="H67" s="85">
        <f>IF($B67="","",SUMIFS('GIFT PLANNER'!$Q$6:$Q$205,'GIFT PLANNER'!$C$6:$C$205,$B67,'GIFT PLANNER'!$E$6:$E$205,"Yes"))</f>
      </c>
      <c r="I67" s="85">
        <f>IF($B67="","",SUMIFS('GIFT PLANNER'!$R$6:$R$205,'GIFT PLANNER'!$C$6:$C$205,$B67,'GIFT PLANNER'!$E$6:$E$205,"Yes"))</f>
      </c>
      <c r="J67" s="85">
        <f>IF($B67="","",SUMIFS('STOCKING STUFFERS'!$J$6:$J$155,'STOCKING STUFFERS'!$C$6:$C$155,$B67))</f>
      </c>
      <c r="K67" s="85">
        <f>IF($B67="","",SUMIFS('STOCKING STUFFERS'!$K$6:$K$155,'STOCKING STUFFERS'!$C$6:$C$155,$B67))</f>
      </c>
      <c r="L67" s="85">
        <f>IF($B67="","",$I67+$K67)</f>
      </c>
      <c r="M67" s="85">
        <f>IF($B67="","",$G67-$L67)</f>
      </c>
      <c r="N67" s="78">
        <f>IF($B67="","",IF(AND($G67=0,$L67=0),"NOT SET",IF($L67&gt;$G67,"OVER BUDGET",IF($L67=$G67,"AT BUDGET",IF(AND($G67&gt;0,$L67/$G67&gt;=Set_WarnThreshold),"NEAR LIMIT","ON TRACK")))))</f>
      </c>
      <c r="O67" s="79"/>
      <c r="P67" s="80"/>
      <c r="Q67" s="78">
        <f>IF($B67="",0,IF(COUNTIF('PEOPLE + BUDGETS'!$B$6:$B$105,$B67)&gt;1,1,0))</f>
      </c>
      <c r="R67" s="75"/>
    </row>
    <row r="68" ht="17" customHeight="1" spans="1:18" x14ac:dyDescent="0.25">
      <c r="A68" s="75"/>
      <c r="B68" s="79"/>
      <c r="C68" s="79"/>
      <c r="D68" s="79"/>
      <c r="E68" s="86"/>
      <c r="F68" s="86"/>
      <c r="G68" s="85">
        <f>IF($B68="","",$E68+$F68)</f>
      </c>
      <c r="H68" s="85">
        <f>IF($B68="","",SUMIFS('GIFT PLANNER'!$Q$6:$Q$205,'GIFT PLANNER'!$C$6:$C$205,$B68,'GIFT PLANNER'!$E$6:$E$205,"Yes"))</f>
      </c>
      <c r="I68" s="85">
        <f>IF($B68="","",SUMIFS('GIFT PLANNER'!$R$6:$R$205,'GIFT PLANNER'!$C$6:$C$205,$B68,'GIFT PLANNER'!$E$6:$E$205,"Yes"))</f>
      </c>
      <c r="J68" s="85">
        <f>IF($B68="","",SUMIFS('STOCKING STUFFERS'!$J$6:$J$155,'STOCKING STUFFERS'!$C$6:$C$155,$B68))</f>
      </c>
      <c r="K68" s="85">
        <f>IF($B68="","",SUMIFS('STOCKING STUFFERS'!$K$6:$K$155,'STOCKING STUFFERS'!$C$6:$C$155,$B68))</f>
      </c>
      <c r="L68" s="85">
        <f>IF($B68="","",$I68+$K68)</f>
      </c>
      <c r="M68" s="85">
        <f>IF($B68="","",$G68-$L68)</f>
      </c>
      <c r="N68" s="78">
        <f>IF($B68="","",IF(AND($G68=0,$L68=0),"NOT SET",IF($L68&gt;$G68,"OVER BUDGET",IF($L68=$G68,"AT BUDGET",IF(AND($G68&gt;0,$L68/$G68&gt;=Set_WarnThreshold),"NEAR LIMIT","ON TRACK")))))</f>
      </c>
      <c r="O68" s="79"/>
      <c r="P68" s="80"/>
      <c r="Q68" s="78">
        <f>IF($B68="",0,IF(COUNTIF('PEOPLE + BUDGETS'!$B$6:$B$105,$B68)&gt;1,1,0))</f>
      </c>
      <c r="R68" s="75"/>
    </row>
    <row r="69" ht="17" customHeight="1" spans="1:18" x14ac:dyDescent="0.25">
      <c r="A69" s="75"/>
      <c r="B69" s="79"/>
      <c r="C69" s="79"/>
      <c r="D69" s="79"/>
      <c r="E69" s="86"/>
      <c r="F69" s="86"/>
      <c r="G69" s="85">
        <f>IF($B69="","",$E69+$F69)</f>
      </c>
      <c r="H69" s="85">
        <f>IF($B69="","",SUMIFS('GIFT PLANNER'!$Q$6:$Q$205,'GIFT PLANNER'!$C$6:$C$205,$B69,'GIFT PLANNER'!$E$6:$E$205,"Yes"))</f>
      </c>
      <c r="I69" s="85">
        <f>IF($B69="","",SUMIFS('GIFT PLANNER'!$R$6:$R$205,'GIFT PLANNER'!$C$6:$C$205,$B69,'GIFT PLANNER'!$E$6:$E$205,"Yes"))</f>
      </c>
      <c r="J69" s="85">
        <f>IF($B69="","",SUMIFS('STOCKING STUFFERS'!$J$6:$J$155,'STOCKING STUFFERS'!$C$6:$C$155,$B69))</f>
      </c>
      <c r="K69" s="85">
        <f>IF($B69="","",SUMIFS('STOCKING STUFFERS'!$K$6:$K$155,'STOCKING STUFFERS'!$C$6:$C$155,$B69))</f>
      </c>
      <c r="L69" s="85">
        <f>IF($B69="","",$I69+$K69)</f>
      </c>
      <c r="M69" s="85">
        <f>IF($B69="","",$G69-$L69)</f>
      </c>
      <c r="N69" s="78">
        <f>IF($B69="","",IF(AND($G69=0,$L69=0),"NOT SET",IF($L69&gt;$G69,"OVER BUDGET",IF($L69=$G69,"AT BUDGET",IF(AND($G69&gt;0,$L69/$G69&gt;=Set_WarnThreshold),"NEAR LIMIT","ON TRACK")))))</f>
      </c>
      <c r="O69" s="79"/>
      <c r="P69" s="80"/>
      <c r="Q69" s="78">
        <f>IF($B69="",0,IF(COUNTIF('PEOPLE + BUDGETS'!$B$6:$B$105,$B69)&gt;1,1,0))</f>
      </c>
      <c r="R69" s="75"/>
    </row>
    <row r="70" ht="17" customHeight="1" spans="1:18" x14ac:dyDescent="0.25">
      <c r="A70" s="75"/>
      <c r="B70" s="79"/>
      <c r="C70" s="79"/>
      <c r="D70" s="79"/>
      <c r="E70" s="86"/>
      <c r="F70" s="86"/>
      <c r="G70" s="85">
        <f>IF($B70="","",$E70+$F70)</f>
      </c>
      <c r="H70" s="85">
        <f>IF($B70="","",SUMIFS('GIFT PLANNER'!$Q$6:$Q$205,'GIFT PLANNER'!$C$6:$C$205,$B70,'GIFT PLANNER'!$E$6:$E$205,"Yes"))</f>
      </c>
      <c r="I70" s="85">
        <f>IF($B70="","",SUMIFS('GIFT PLANNER'!$R$6:$R$205,'GIFT PLANNER'!$C$6:$C$205,$B70,'GIFT PLANNER'!$E$6:$E$205,"Yes"))</f>
      </c>
      <c r="J70" s="85">
        <f>IF($B70="","",SUMIFS('STOCKING STUFFERS'!$J$6:$J$155,'STOCKING STUFFERS'!$C$6:$C$155,$B70))</f>
      </c>
      <c r="K70" s="85">
        <f>IF($B70="","",SUMIFS('STOCKING STUFFERS'!$K$6:$K$155,'STOCKING STUFFERS'!$C$6:$C$155,$B70))</f>
      </c>
      <c r="L70" s="85">
        <f>IF($B70="","",$I70+$K70)</f>
      </c>
      <c r="M70" s="85">
        <f>IF($B70="","",$G70-$L70)</f>
      </c>
      <c r="N70" s="78">
        <f>IF($B70="","",IF(AND($G70=0,$L70=0),"NOT SET",IF($L70&gt;$G70,"OVER BUDGET",IF($L70=$G70,"AT BUDGET",IF(AND($G70&gt;0,$L70/$G70&gt;=Set_WarnThreshold),"NEAR LIMIT","ON TRACK")))))</f>
      </c>
      <c r="O70" s="79"/>
      <c r="P70" s="80"/>
      <c r="Q70" s="78">
        <f>IF($B70="",0,IF(COUNTIF('PEOPLE + BUDGETS'!$B$6:$B$105,$B70)&gt;1,1,0))</f>
      </c>
      <c r="R70" s="75"/>
    </row>
    <row r="71" ht="17" customHeight="1" spans="1:18" x14ac:dyDescent="0.25">
      <c r="A71" s="75"/>
      <c r="B71" s="79"/>
      <c r="C71" s="79"/>
      <c r="D71" s="79"/>
      <c r="E71" s="86"/>
      <c r="F71" s="86"/>
      <c r="G71" s="85">
        <f>IF($B71="","",$E71+$F71)</f>
      </c>
      <c r="H71" s="85">
        <f>IF($B71="","",SUMIFS('GIFT PLANNER'!$Q$6:$Q$205,'GIFT PLANNER'!$C$6:$C$205,$B71,'GIFT PLANNER'!$E$6:$E$205,"Yes"))</f>
      </c>
      <c r="I71" s="85">
        <f>IF($B71="","",SUMIFS('GIFT PLANNER'!$R$6:$R$205,'GIFT PLANNER'!$C$6:$C$205,$B71,'GIFT PLANNER'!$E$6:$E$205,"Yes"))</f>
      </c>
      <c r="J71" s="85">
        <f>IF($B71="","",SUMIFS('STOCKING STUFFERS'!$J$6:$J$155,'STOCKING STUFFERS'!$C$6:$C$155,$B71))</f>
      </c>
      <c r="K71" s="85">
        <f>IF($B71="","",SUMIFS('STOCKING STUFFERS'!$K$6:$K$155,'STOCKING STUFFERS'!$C$6:$C$155,$B71))</f>
      </c>
      <c r="L71" s="85">
        <f>IF($B71="","",$I71+$K71)</f>
      </c>
      <c r="M71" s="85">
        <f>IF($B71="","",$G71-$L71)</f>
      </c>
      <c r="N71" s="78">
        <f>IF($B71="","",IF(AND($G71=0,$L71=0),"NOT SET",IF($L71&gt;$G71,"OVER BUDGET",IF($L71=$G71,"AT BUDGET",IF(AND($G71&gt;0,$L71/$G71&gt;=Set_WarnThreshold),"NEAR LIMIT","ON TRACK")))))</f>
      </c>
      <c r="O71" s="79"/>
      <c r="P71" s="80"/>
      <c r="Q71" s="78">
        <f>IF($B71="",0,IF(COUNTIF('PEOPLE + BUDGETS'!$B$6:$B$105,$B71)&gt;1,1,0))</f>
      </c>
      <c r="R71" s="75"/>
    </row>
    <row r="72" ht="17" customHeight="1" spans="1:18" x14ac:dyDescent="0.25">
      <c r="A72" s="75"/>
      <c r="B72" s="79"/>
      <c r="C72" s="79"/>
      <c r="D72" s="79"/>
      <c r="E72" s="86"/>
      <c r="F72" s="86"/>
      <c r="G72" s="85">
        <f>IF($B72="","",$E72+$F72)</f>
      </c>
      <c r="H72" s="85">
        <f>IF($B72="","",SUMIFS('GIFT PLANNER'!$Q$6:$Q$205,'GIFT PLANNER'!$C$6:$C$205,$B72,'GIFT PLANNER'!$E$6:$E$205,"Yes"))</f>
      </c>
      <c r="I72" s="85">
        <f>IF($B72="","",SUMIFS('GIFT PLANNER'!$R$6:$R$205,'GIFT PLANNER'!$C$6:$C$205,$B72,'GIFT PLANNER'!$E$6:$E$205,"Yes"))</f>
      </c>
      <c r="J72" s="85">
        <f>IF($B72="","",SUMIFS('STOCKING STUFFERS'!$J$6:$J$155,'STOCKING STUFFERS'!$C$6:$C$155,$B72))</f>
      </c>
      <c r="K72" s="85">
        <f>IF($B72="","",SUMIFS('STOCKING STUFFERS'!$K$6:$K$155,'STOCKING STUFFERS'!$C$6:$C$155,$B72))</f>
      </c>
      <c r="L72" s="85">
        <f>IF($B72="","",$I72+$K72)</f>
      </c>
      <c r="M72" s="85">
        <f>IF($B72="","",$G72-$L72)</f>
      </c>
      <c r="N72" s="78">
        <f>IF($B72="","",IF(AND($G72=0,$L72=0),"NOT SET",IF($L72&gt;$G72,"OVER BUDGET",IF($L72=$G72,"AT BUDGET",IF(AND($G72&gt;0,$L72/$G72&gt;=Set_WarnThreshold),"NEAR LIMIT","ON TRACK")))))</f>
      </c>
      <c r="O72" s="79"/>
      <c r="P72" s="80"/>
      <c r="Q72" s="78">
        <f>IF($B72="",0,IF(COUNTIF('PEOPLE + BUDGETS'!$B$6:$B$105,$B72)&gt;1,1,0))</f>
      </c>
      <c r="R72" s="75"/>
    </row>
    <row r="73" ht="17" customHeight="1" spans="1:18" x14ac:dyDescent="0.25">
      <c r="A73" s="75"/>
      <c r="B73" s="79"/>
      <c r="C73" s="79"/>
      <c r="D73" s="79"/>
      <c r="E73" s="86"/>
      <c r="F73" s="86"/>
      <c r="G73" s="85">
        <f>IF($B73="","",$E73+$F73)</f>
      </c>
      <c r="H73" s="85">
        <f>IF($B73="","",SUMIFS('GIFT PLANNER'!$Q$6:$Q$205,'GIFT PLANNER'!$C$6:$C$205,$B73,'GIFT PLANNER'!$E$6:$E$205,"Yes"))</f>
      </c>
      <c r="I73" s="85">
        <f>IF($B73="","",SUMIFS('GIFT PLANNER'!$R$6:$R$205,'GIFT PLANNER'!$C$6:$C$205,$B73,'GIFT PLANNER'!$E$6:$E$205,"Yes"))</f>
      </c>
      <c r="J73" s="85">
        <f>IF($B73="","",SUMIFS('STOCKING STUFFERS'!$J$6:$J$155,'STOCKING STUFFERS'!$C$6:$C$155,$B73))</f>
      </c>
      <c r="K73" s="85">
        <f>IF($B73="","",SUMIFS('STOCKING STUFFERS'!$K$6:$K$155,'STOCKING STUFFERS'!$C$6:$C$155,$B73))</f>
      </c>
      <c r="L73" s="85">
        <f>IF($B73="","",$I73+$K73)</f>
      </c>
      <c r="M73" s="85">
        <f>IF($B73="","",$G73-$L73)</f>
      </c>
      <c r="N73" s="78">
        <f>IF($B73="","",IF(AND($G73=0,$L73=0),"NOT SET",IF($L73&gt;$G73,"OVER BUDGET",IF($L73=$G73,"AT BUDGET",IF(AND($G73&gt;0,$L73/$G73&gt;=Set_WarnThreshold),"NEAR LIMIT","ON TRACK")))))</f>
      </c>
      <c r="O73" s="79"/>
      <c r="P73" s="80"/>
      <c r="Q73" s="78">
        <f>IF($B73="",0,IF(COUNTIF('PEOPLE + BUDGETS'!$B$6:$B$105,$B73)&gt;1,1,0))</f>
      </c>
      <c r="R73" s="75"/>
    </row>
    <row r="74" ht="17" customHeight="1" spans="1:18" x14ac:dyDescent="0.25">
      <c r="A74" s="75"/>
      <c r="B74" s="79"/>
      <c r="C74" s="79"/>
      <c r="D74" s="79"/>
      <c r="E74" s="86"/>
      <c r="F74" s="86"/>
      <c r="G74" s="85">
        <f>IF($B74="","",$E74+$F74)</f>
      </c>
      <c r="H74" s="85">
        <f>IF($B74="","",SUMIFS('GIFT PLANNER'!$Q$6:$Q$205,'GIFT PLANNER'!$C$6:$C$205,$B74,'GIFT PLANNER'!$E$6:$E$205,"Yes"))</f>
      </c>
      <c r="I74" s="85">
        <f>IF($B74="","",SUMIFS('GIFT PLANNER'!$R$6:$R$205,'GIFT PLANNER'!$C$6:$C$205,$B74,'GIFT PLANNER'!$E$6:$E$205,"Yes"))</f>
      </c>
      <c r="J74" s="85">
        <f>IF($B74="","",SUMIFS('STOCKING STUFFERS'!$J$6:$J$155,'STOCKING STUFFERS'!$C$6:$C$155,$B74))</f>
      </c>
      <c r="K74" s="85">
        <f>IF($B74="","",SUMIFS('STOCKING STUFFERS'!$K$6:$K$155,'STOCKING STUFFERS'!$C$6:$C$155,$B74))</f>
      </c>
      <c r="L74" s="85">
        <f>IF($B74="","",$I74+$K74)</f>
      </c>
      <c r="M74" s="85">
        <f>IF($B74="","",$G74-$L74)</f>
      </c>
      <c r="N74" s="78">
        <f>IF($B74="","",IF(AND($G74=0,$L74=0),"NOT SET",IF($L74&gt;$G74,"OVER BUDGET",IF($L74=$G74,"AT BUDGET",IF(AND($G74&gt;0,$L74/$G74&gt;=Set_WarnThreshold),"NEAR LIMIT","ON TRACK")))))</f>
      </c>
      <c r="O74" s="79"/>
      <c r="P74" s="80"/>
      <c r="Q74" s="78">
        <f>IF($B74="",0,IF(COUNTIF('PEOPLE + BUDGETS'!$B$6:$B$105,$B74)&gt;1,1,0))</f>
      </c>
      <c r="R74" s="75"/>
    </row>
    <row r="75" ht="17" customHeight="1" spans="1:18" x14ac:dyDescent="0.25">
      <c r="A75" s="75"/>
      <c r="B75" s="79"/>
      <c r="C75" s="79"/>
      <c r="D75" s="79"/>
      <c r="E75" s="86"/>
      <c r="F75" s="86"/>
      <c r="G75" s="85">
        <f>IF($B75="","",$E75+$F75)</f>
      </c>
      <c r="H75" s="85">
        <f>IF($B75="","",SUMIFS('GIFT PLANNER'!$Q$6:$Q$205,'GIFT PLANNER'!$C$6:$C$205,$B75,'GIFT PLANNER'!$E$6:$E$205,"Yes"))</f>
      </c>
      <c r="I75" s="85">
        <f>IF($B75="","",SUMIFS('GIFT PLANNER'!$R$6:$R$205,'GIFT PLANNER'!$C$6:$C$205,$B75,'GIFT PLANNER'!$E$6:$E$205,"Yes"))</f>
      </c>
      <c r="J75" s="85">
        <f>IF($B75="","",SUMIFS('STOCKING STUFFERS'!$J$6:$J$155,'STOCKING STUFFERS'!$C$6:$C$155,$B75))</f>
      </c>
      <c r="K75" s="85">
        <f>IF($B75="","",SUMIFS('STOCKING STUFFERS'!$K$6:$K$155,'STOCKING STUFFERS'!$C$6:$C$155,$B75))</f>
      </c>
      <c r="L75" s="85">
        <f>IF($B75="","",$I75+$K75)</f>
      </c>
      <c r="M75" s="85">
        <f>IF($B75="","",$G75-$L75)</f>
      </c>
      <c r="N75" s="78">
        <f>IF($B75="","",IF(AND($G75=0,$L75=0),"NOT SET",IF($L75&gt;$G75,"OVER BUDGET",IF($L75=$G75,"AT BUDGET",IF(AND($G75&gt;0,$L75/$G75&gt;=Set_WarnThreshold),"NEAR LIMIT","ON TRACK")))))</f>
      </c>
      <c r="O75" s="79"/>
      <c r="P75" s="80"/>
      <c r="Q75" s="78">
        <f>IF($B75="",0,IF(COUNTIF('PEOPLE + BUDGETS'!$B$6:$B$105,$B75)&gt;1,1,0))</f>
      </c>
      <c r="R75" s="75"/>
    </row>
    <row r="76" ht="17" customHeight="1" spans="1:18" x14ac:dyDescent="0.25">
      <c r="A76" s="75"/>
      <c r="B76" s="79"/>
      <c r="C76" s="79"/>
      <c r="D76" s="79"/>
      <c r="E76" s="86"/>
      <c r="F76" s="86"/>
      <c r="G76" s="85">
        <f>IF($B76="","",$E76+$F76)</f>
      </c>
      <c r="H76" s="85">
        <f>IF($B76="","",SUMIFS('GIFT PLANNER'!$Q$6:$Q$205,'GIFT PLANNER'!$C$6:$C$205,$B76,'GIFT PLANNER'!$E$6:$E$205,"Yes"))</f>
      </c>
      <c r="I76" s="85">
        <f>IF($B76="","",SUMIFS('GIFT PLANNER'!$R$6:$R$205,'GIFT PLANNER'!$C$6:$C$205,$B76,'GIFT PLANNER'!$E$6:$E$205,"Yes"))</f>
      </c>
      <c r="J76" s="85">
        <f>IF($B76="","",SUMIFS('STOCKING STUFFERS'!$J$6:$J$155,'STOCKING STUFFERS'!$C$6:$C$155,$B76))</f>
      </c>
      <c r="K76" s="85">
        <f>IF($B76="","",SUMIFS('STOCKING STUFFERS'!$K$6:$K$155,'STOCKING STUFFERS'!$C$6:$C$155,$B76))</f>
      </c>
      <c r="L76" s="85">
        <f>IF($B76="","",$I76+$K76)</f>
      </c>
      <c r="M76" s="85">
        <f>IF($B76="","",$G76-$L76)</f>
      </c>
      <c r="N76" s="78">
        <f>IF($B76="","",IF(AND($G76=0,$L76=0),"NOT SET",IF($L76&gt;$G76,"OVER BUDGET",IF($L76=$G76,"AT BUDGET",IF(AND($G76&gt;0,$L76/$G76&gt;=Set_WarnThreshold),"NEAR LIMIT","ON TRACK")))))</f>
      </c>
      <c r="O76" s="79"/>
      <c r="P76" s="80"/>
      <c r="Q76" s="78">
        <f>IF($B76="",0,IF(COUNTIF('PEOPLE + BUDGETS'!$B$6:$B$105,$B76)&gt;1,1,0))</f>
      </c>
      <c r="R76" s="75"/>
    </row>
    <row r="77" ht="17" customHeight="1" spans="1:18" x14ac:dyDescent="0.25">
      <c r="A77" s="75"/>
      <c r="B77" s="79"/>
      <c r="C77" s="79"/>
      <c r="D77" s="79"/>
      <c r="E77" s="86"/>
      <c r="F77" s="86"/>
      <c r="G77" s="85">
        <f>IF($B77="","",$E77+$F77)</f>
      </c>
      <c r="H77" s="85">
        <f>IF($B77="","",SUMIFS('GIFT PLANNER'!$Q$6:$Q$205,'GIFT PLANNER'!$C$6:$C$205,$B77,'GIFT PLANNER'!$E$6:$E$205,"Yes"))</f>
      </c>
      <c r="I77" s="85">
        <f>IF($B77="","",SUMIFS('GIFT PLANNER'!$R$6:$R$205,'GIFT PLANNER'!$C$6:$C$205,$B77,'GIFT PLANNER'!$E$6:$E$205,"Yes"))</f>
      </c>
      <c r="J77" s="85">
        <f>IF($B77="","",SUMIFS('STOCKING STUFFERS'!$J$6:$J$155,'STOCKING STUFFERS'!$C$6:$C$155,$B77))</f>
      </c>
      <c r="K77" s="85">
        <f>IF($B77="","",SUMIFS('STOCKING STUFFERS'!$K$6:$K$155,'STOCKING STUFFERS'!$C$6:$C$155,$B77))</f>
      </c>
      <c r="L77" s="85">
        <f>IF($B77="","",$I77+$K77)</f>
      </c>
      <c r="M77" s="85">
        <f>IF($B77="","",$G77-$L77)</f>
      </c>
      <c r="N77" s="78">
        <f>IF($B77="","",IF(AND($G77=0,$L77=0),"NOT SET",IF($L77&gt;$G77,"OVER BUDGET",IF($L77=$G77,"AT BUDGET",IF(AND($G77&gt;0,$L77/$G77&gt;=Set_WarnThreshold),"NEAR LIMIT","ON TRACK")))))</f>
      </c>
      <c r="O77" s="79"/>
      <c r="P77" s="80"/>
      <c r="Q77" s="78">
        <f>IF($B77="",0,IF(COUNTIF('PEOPLE + BUDGETS'!$B$6:$B$105,$B77)&gt;1,1,0))</f>
      </c>
      <c r="R77" s="75"/>
    </row>
    <row r="78" ht="17" customHeight="1" spans="1:18" x14ac:dyDescent="0.25">
      <c r="A78" s="75"/>
      <c r="B78" s="79"/>
      <c r="C78" s="79"/>
      <c r="D78" s="79"/>
      <c r="E78" s="86"/>
      <c r="F78" s="86"/>
      <c r="G78" s="85">
        <f>IF($B78="","",$E78+$F78)</f>
      </c>
      <c r="H78" s="85">
        <f>IF($B78="","",SUMIFS('GIFT PLANNER'!$Q$6:$Q$205,'GIFT PLANNER'!$C$6:$C$205,$B78,'GIFT PLANNER'!$E$6:$E$205,"Yes"))</f>
      </c>
      <c r="I78" s="85">
        <f>IF($B78="","",SUMIFS('GIFT PLANNER'!$R$6:$R$205,'GIFT PLANNER'!$C$6:$C$205,$B78,'GIFT PLANNER'!$E$6:$E$205,"Yes"))</f>
      </c>
      <c r="J78" s="85">
        <f>IF($B78="","",SUMIFS('STOCKING STUFFERS'!$J$6:$J$155,'STOCKING STUFFERS'!$C$6:$C$155,$B78))</f>
      </c>
      <c r="K78" s="85">
        <f>IF($B78="","",SUMIFS('STOCKING STUFFERS'!$K$6:$K$155,'STOCKING STUFFERS'!$C$6:$C$155,$B78))</f>
      </c>
      <c r="L78" s="85">
        <f>IF($B78="","",$I78+$K78)</f>
      </c>
      <c r="M78" s="85">
        <f>IF($B78="","",$G78-$L78)</f>
      </c>
      <c r="N78" s="78">
        <f>IF($B78="","",IF(AND($G78=0,$L78=0),"NOT SET",IF($L78&gt;$G78,"OVER BUDGET",IF($L78=$G78,"AT BUDGET",IF(AND($G78&gt;0,$L78/$G78&gt;=Set_WarnThreshold),"NEAR LIMIT","ON TRACK")))))</f>
      </c>
      <c r="O78" s="79"/>
      <c r="P78" s="80"/>
      <c r="Q78" s="78">
        <f>IF($B78="",0,IF(COUNTIF('PEOPLE + BUDGETS'!$B$6:$B$105,$B78)&gt;1,1,0))</f>
      </c>
      <c r="R78" s="75"/>
    </row>
    <row r="79" ht="17" customHeight="1" spans="1:18" x14ac:dyDescent="0.25">
      <c r="A79" s="75"/>
      <c r="B79" s="79"/>
      <c r="C79" s="79"/>
      <c r="D79" s="79"/>
      <c r="E79" s="86"/>
      <c r="F79" s="86"/>
      <c r="G79" s="85">
        <f>IF($B79="","",$E79+$F79)</f>
      </c>
      <c r="H79" s="85">
        <f>IF($B79="","",SUMIFS('GIFT PLANNER'!$Q$6:$Q$205,'GIFT PLANNER'!$C$6:$C$205,$B79,'GIFT PLANNER'!$E$6:$E$205,"Yes"))</f>
      </c>
      <c r="I79" s="85">
        <f>IF($B79="","",SUMIFS('GIFT PLANNER'!$R$6:$R$205,'GIFT PLANNER'!$C$6:$C$205,$B79,'GIFT PLANNER'!$E$6:$E$205,"Yes"))</f>
      </c>
      <c r="J79" s="85">
        <f>IF($B79="","",SUMIFS('STOCKING STUFFERS'!$J$6:$J$155,'STOCKING STUFFERS'!$C$6:$C$155,$B79))</f>
      </c>
      <c r="K79" s="85">
        <f>IF($B79="","",SUMIFS('STOCKING STUFFERS'!$K$6:$K$155,'STOCKING STUFFERS'!$C$6:$C$155,$B79))</f>
      </c>
      <c r="L79" s="85">
        <f>IF($B79="","",$I79+$K79)</f>
      </c>
      <c r="M79" s="85">
        <f>IF($B79="","",$G79-$L79)</f>
      </c>
      <c r="N79" s="78">
        <f>IF($B79="","",IF(AND($G79=0,$L79=0),"NOT SET",IF($L79&gt;$G79,"OVER BUDGET",IF($L79=$G79,"AT BUDGET",IF(AND($G79&gt;0,$L79/$G79&gt;=Set_WarnThreshold),"NEAR LIMIT","ON TRACK")))))</f>
      </c>
      <c r="O79" s="79"/>
      <c r="P79" s="80"/>
      <c r="Q79" s="78">
        <f>IF($B79="",0,IF(COUNTIF('PEOPLE + BUDGETS'!$B$6:$B$105,$B79)&gt;1,1,0))</f>
      </c>
      <c r="R79" s="75"/>
    </row>
    <row r="80" ht="17" customHeight="1" spans="1:18" x14ac:dyDescent="0.25">
      <c r="A80" s="75"/>
      <c r="B80" s="79"/>
      <c r="C80" s="79"/>
      <c r="D80" s="79"/>
      <c r="E80" s="86"/>
      <c r="F80" s="86"/>
      <c r="G80" s="85">
        <f>IF($B80="","",$E80+$F80)</f>
      </c>
      <c r="H80" s="85">
        <f>IF($B80="","",SUMIFS('GIFT PLANNER'!$Q$6:$Q$205,'GIFT PLANNER'!$C$6:$C$205,$B80,'GIFT PLANNER'!$E$6:$E$205,"Yes"))</f>
      </c>
      <c r="I80" s="85">
        <f>IF($B80="","",SUMIFS('GIFT PLANNER'!$R$6:$R$205,'GIFT PLANNER'!$C$6:$C$205,$B80,'GIFT PLANNER'!$E$6:$E$205,"Yes"))</f>
      </c>
      <c r="J80" s="85">
        <f>IF($B80="","",SUMIFS('STOCKING STUFFERS'!$J$6:$J$155,'STOCKING STUFFERS'!$C$6:$C$155,$B80))</f>
      </c>
      <c r="K80" s="85">
        <f>IF($B80="","",SUMIFS('STOCKING STUFFERS'!$K$6:$K$155,'STOCKING STUFFERS'!$C$6:$C$155,$B80))</f>
      </c>
      <c r="L80" s="85">
        <f>IF($B80="","",$I80+$K80)</f>
      </c>
      <c r="M80" s="85">
        <f>IF($B80="","",$G80-$L80)</f>
      </c>
      <c r="N80" s="78">
        <f>IF($B80="","",IF(AND($G80=0,$L80=0),"NOT SET",IF($L80&gt;$G80,"OVER BUDGET",IF($L80=$G80,"AT BUDGET",IF(AND($G80&gt;0,$L80/$G80&gt;=Set_WarnThreshold),"NEAR LIMIT","ON TRACK")))))</f>
      </c>
      <c r="O80" s="79"/>
      <c r="P80" s="80"/>
      <c r="Q80" s="78">
        <f>IF($B80="",0,IF(COUNTIF('PEOPLE + BUDGETS'!$B$6:$B$105,$B80)&gt;1,1,0))</f>
      </c>
      <c r="R80" s="75"/>
    </row>
    <row r="81" ht="17" customHeight="1" spans="1:18" x14ac:dyDescent="0.25">
      <c r="A81" s="75"/>
      <c r="B81" s="79"/>
      <c r="C81" s="79"/>
      <c r="D81" s="79"/>
      <c r="E81" s="86"/>
      <c r="F81" s="86"/>
      <c r="G81" s="85">
        <f>IF($B81="","",$E81+$F81)</f>
      </c>
      <c r="H81" s="85">
        <f>IF($B81="","",SUMIFS('GIFT PLANNER'!$Q$6:$Q$205,'GIFT PLANNER'!$C$6:$C$205,$B81,'GIFT PLANNER'!$E$6:$E$205,"Yes"))</f>
      </c>
      <c r="I81" s="85">
        <f>IF($B81="","",SUMIFS('GIFT PLANNER'!$R$6:$R$205,'GIFT PLANNER'!$C$6:$C$205,$B81,'GIFT PLANNER'!$E$6:$E$205,"Yes"))</f>
      </c>
      <c r="J81" s="85">
        <f>IF($B81="","",SUMIFS('STOCKING STUFFERS'!$J$6:$J$155,'STOCKING STUFFERS'!$C$6:$C$155,$B81))</f>
      </c>
      <c r="K81" s="85">
        <f>IF($B81="","",SUMIFS('STOCKING STUFFERS'!$K$6:$K$155,'STOCKING STUFFERS'!$C$6:$C$155,$B81))</f>
      </c>
      <c r="L81" s="85">
        <f>IF($B81="","",$I81+$K81)</f>
      </c>
      <c r="M81" s="85">
        <f>IF($B81="","",$G81-$L81)</f>
      </c>
      <c r="N81" s="78">
        <f>IF($B81="","",IF(AND($G81=0,$L81=0),"NOT SET",IF($L81&gt;$G81,"OVER BUDGET",IF($L81=$G81,"AT BUDGET",IF(AND($G81&gt;0,$L81/$G81&gt;=Set_WarnThreshold),"NEAR LIMIT","ON TRACK")))))</f>
      </c>
      <c r="O81" s="79"/>
      <c r="P81" s="80"/>
      <c r="Q81" s="78">
        <f>IF($B81="",0,IF(COUNTIF('PEOPLE + BUDGETS'!$B$6:$B$105,$B81)&gt;1,1,0))</f>
      </c>
      <c r="R81" s="75"/>
    </row>
    <row r="82" ht="17" customHeight="1" spans="1:18" x14ac:dyDescent="0.25">
      <c r="A82" s="75"/>
      <c r="B82" s="79"/>
      <c r="C82" s="79"/>
      <c r="D82" s="79"/>
      <c r="E82" s="86"/>
      <c r="F82" s="86"/>
      <c r="G82" s="85">
        <f>IF($B82="","",$E82+$F82)</f>
      </c>
      <c r="H82" s="85">
        <f>IF($B82="","",SUMIFS('GIFT PLANNER'!$Q$6:$Q$205,'GIFT PLANNER'!$C$6:$C$205,$B82,'GIFT PLANNER'!$E$6:$E$205,"Yes"))</f>
      </c>
      <c r="I82" s="85">
        <f>IF($B82="","",SUMIFS('GIFT PLANNER'!$R$6:$R$205,'GIFT PLANNER'!$C$6:$C$205,$B82,'GIFT PLANNER'!$E$6:$E$205,"Yes"))</f>
      </c>
      <c r="J82" s="85">
        <f>IF($B82="","",SUMIFS('STOCKING STUFFERS'!$J$6:$J$155,'STOCKING STUFFERS'!$C$6:$C$155,$B82))</f>
      </c>
      <c r="K82" s="85">
        <f>IF($B82="","",SUMIFS('STOCKING STUFFERS'!$K$6:$K$155,'STOCKING STUFFERS'!$C$6:$C$155,$B82))</f>
      </c>
      <c r="L82" s="85">
        <f>IF($B82="","",$I82+$K82)</f>
      </c>
      <c r="M82" s="85">
        <f>IF($B82="","",$G82-$L82)</f>
      </c>
      <c r="N82" s="78">
        <f>IF($B82="","",IF(AND($G82=0,$L82=0),"NOT SET",IF($L82&gt;$G82,"OVER BUDGET",IF($L82=$G82,"AT BUDGET",IF(AND($G82&gt;0,$L82/$G82&gt;=Set_WarnThreshold),"NEAR LIMIT","ON TRACK")))))</f>
      </c>
      <c r="O82" s="79"/>
      <c r="P82" s="80"/>
      <c r="Q82" s="78">
        <f>IF($B82="",0,IF(COUNTIF('PEOPLE + BUDGETS'!$B$6:$B$105,$B82)&gt;1,1,0))</f>
      </c>
      <c r="R82" s="75"/>
    </row>
    <row r="83" ht="17" customHeight="1" spans="1:18" x14ac:dyDescent="0.25">
      <c r="A83" s="75"/>
      <c r="B83" s="79"/>
      <c r="C83" s="79"/>
      <c r="D83" s="79"/>
      <c r="E83" s="86"/>
      <c r="F83" s="86"/>
      <c r="G83" s="85">
        <f>IF($B83="","",$E83+$F83)</f>
      </c>
      <c r="H83" s="85">
        <f>IF($B83="","",SUMIFS('GIFT PLANNER'!$Q$6:$Q$205,'GIFT PLANNER'!$C$6:$C$205,$B83,'GIFT PLANNER'!$E$6:$E$205,"Yes"))</f>
      </c>
      <c r="I83" s="85">
        <f>IF($B83="","",SUMIFS('GIFT PLANNER'!$R$6:$R$205,'GIFT PLANNER'!$C$6:$C$205,$B83,'GIFT PLANNER'!$E$6:$E$205,"Yes"))</f>
      </c>
      <c r="J83" s="85">
        <f>IF($B83="","",SUMIFS('STOCKING STUFFERS'!$J$6:$J$155,'STOCKING STUFFERS'!$C$6:$C$155,$B83))</f>
      </c>
      <c r="K83" s="85">
        <f>IF($B83="","",SUMIFS('STOCKING STUFFERS'!$K$6:$K$155,'STOCKING STUFFERS'!$C$6:$C$155,$B83))</f>
      </c>
      <c r="L83" s="85">
        <f>IF($B83="","",$I83+$K83)</f>
      </c>
      <c r="M83" s="85">
        <f>IF($B83="","",$G83-$L83)</f>
      </c>
      <c r="N83" s="78">
        <f>IF($B83="","",IF(AND($G83=0,$L83=0),"NOT SET",IF($L83&gt;$G83,"OVER BUDGET",IF($L83=$G83,"AT BUDGET",IF(AND($G83&gt;0,$L83/$G83&gt;=Set_WarnThreshold),"NEAR LIMIT","ON TRACK")))))</f>
      </c>
      <c r="O83" s="79"/>
      <c r="P83" s="80"/>
      <c r="Q83" s="78">
        <f>IF($B83="",0,IF(COUNTIF('PEOPLE + BUDGETS'!$B$6:$B$105,$B83)&gt;1,1,0))</f>
      </c>
      <c r="R83" s="75"/>
    </row>
    <row r="84" ht="17" customHeight="1" spans="1:18" x14ac:dyDescent="0.25">
      <c r="A84" s="75"/>
      <c r="B84" s="79"/>
      <c r="C84" s="79"/>
      <c r="D84" s="79"/>
      <c r="E84" s="86"/>
      <c r="F84" s="86"/>
      <c r="G84" s="85">
        <f>IF($B84="","",$E84+$F84)</f>
      </c>
      <c r="H84" s="85">
        <f>IF($B84="","",SUMIFS('GIFT PLANNER'!$Q$6:$Q$205,'GIFT PLANNER'!$C$6:$C$205,$B84,'GIFT PLANNER'!$E$6:$E$205,"Yes"))</f>
      </c>
      <c r="I84" s="85">
        <f>IF($B84="","",SUMIFS('GIFT PLANNER'!$R$6:$R$205,'GIFT PLANNER'!$C$6:$C$205,$B84,'GIFT PLANNER'!$E$6:$E$205,"Yes"))</f>
      </c>
      <c r="J84" s="85">
        <f>IF($B84="","",SUMIFS('STOCKING STUFFERS'!$J$6:$J$155,'STOCKING STUFFERS'!$C$6:$C$155,$B84))</f>
      </c>
      <c r="K84" s="85">
        <f>IF($B84="","",SUMIFS('STOCKING STUFFERS'!$K$6:$K$155,'STOCKING STUFFERS'!$C$6:$C$155,$B84))</f>
      </c>
      <c r="L84" s="85">
        <f>IF($B84="","",$I84+$K84)</f>
      </c>
      <c r="M84" s="85">
        <f>IF($B84="","",$G84-$L84)</f>
      </c>
      <c r="N84" s="78">
        <f>IF($B84="","",IF(AND($G84=0,$L84=0),"NOT SET",IF($L84&gt;$G84,"OVER BUDGET",IF($L84=$G84,"AT BUDGET",IF(AND($G84&gt;0,$L84/$G84&gt;=Set_WarnThreshold),"NEAR LIMIT","ON TRACK")))))</f>
      </c>
      <c r="O84" s="79"/>
      <c r="P84" s="80"/>
      <c r="Q84" s="78">
        <f>IF($B84="",0,IF(COUNTIF('PEOPLE + BUDGETS'!$B$6:$B$105,$B84)&gt;1,1,0))</f>
      </c>
      <c r="R84" s="75"/>
    </row>
    <row r="85" ht="17" customHeight="1" spans="1:18" x14ac:dyDescent="0.25">
      <c r="A85" s="75"/>
      <c r="B85" s="79"/>
      <c r="C85" s="79"/>
      <c r="D85" s="79"/>
      <c r="E85" s="86"/>
      <c r="F85" s="86"/>
      <c r="G85" s="85">
        <f>IF($B85="","",$E85+$F85)</f>
      </c>
      <c r="H85" s="85">
        <f>IF($B85="","",SUMIFS('GIFT PLANNER'!$Q$6:$Q$205,'GIFT PLANNER'!$C$6:$C$205,$B85,'GIFT PLANNER'!$E$6:$E$205,"Yes"))</f>
      </c>
      <c r="I85" s="85">
        <f>IF($B85="","",SUMIFS('GIFT PLANNER'!$R$6:$R$205,'GIFT PLANNER'!$C$6:$C$205,$B85,'GIFT PLANNER'!$E$6:$E$205,"Yes"))</f>
      </c>
      <c r="J85" s="85">
        <f>IF($B85="","",SUMIFS('STOCKING STUFFERS'!$J$6:$J$155,'STOCKING STUFFERS'!$C$6:$C$155,$B85))</f>
      </c>
      <c r="K85" s="85">
        <f>IF($B85="","",SUMIFS('STOCKING STUFFERS'!$K$6:$K$155,'STOCKING STUFFERS'!$C$6:$C$155,$B85))</f>
      </c>
      <c r="L85" s="85">
        <f>IF($B85="","",$I85+$K85)</f>
      </c>
      <c r="M85" s="85">
        <f>IF($B85="","",$G85-$L85)</f>
      </c>
      <c r="N85" s="78">
        <f>IF($B85="","",IF(AND($G85=0,$L85=0),"NOT SET",IF($L85&gt;$G85,"OVER BUDGET",IF($L85=$G85,"AT BUDGET",IF(AND($G85&gt;0,$L85/$G85&gt;=Set_WarnThreshold),"NEAR LIMIT","ON TRACK")))))</f>
      </c>
      <c r="O85" s="79"/>
      <c r="P85" s="80"/>
      <c r="Q85" s="78">
        <f>IF($B85="",0,IF(COUNTIF('PEOPLE + BUDGETS'!$B$6:$B$105,$B85)&gt;1,1,0))</f>
      </c>
      <c r="R85" s="75"/>
    </row>
    <row r="86" ht="17" customHeight="1" spans="1:18" x14ac:dyDescent="0.25">
      <c r="A86" s="75"/>
      <c r="B86" s="79"/>
      <c r="C86" s="79"/>
      <c r="D86" s="79"/>
      <c r="E86" s="86"/>
      <c r="F86" s="86"/>
      <c r="G86" s="85">
        <f>IF($B86="","",$E86+$F86)</f>
      </c>
      <c r="H86" s="85">
        <f>IF($B86="","",SUMIFS('GIFT PLANNER'!$Q$6:$Q$205,'GIFT PLANNER'!$C$6:$C$205,$B86,'GIFT PLANNER'!$E$6:$E$205,"Yes"))</f>
      </c>
      <c r="I86" s="85">
        <f>IF($B86="","",SUMIFS('GIFT PLANNER'!$R$6:$R$205,'GIFT PLANNER'!$C$6:$C$205,$B86,'GIFT PLANNER'!$E$6:$E$205,"Yes"))</f>
      </c>
      <c r="J86" s="85">
        <f>IF($B86="","",SUMIFS('STOCKING STUFFERS'!$J$6:$J$155,'STOCKING STUFFERS'!$C$6:$C$155,$B86))</f>
      </c>
      <c r="K86" s="85">
        <f>IF($B86="","",SUMIFS('STOCKING STUFFERS'!$K$6:$K$155,'STOCKING STUFFERS'!$C$6:$C$155,$B86))</f>
      </c>
      <c r="L86" s="85">
        <f>IF($B86="","",$I86+$K86)</f>
      </c>
      <c r="M86" s="85">
        <f>IF($B86="","",$G86-$L86)</f>
      </c>
      <c r="N86" s="78">
        <f>IF($B86="","",IF(AND($G86=0,$L86=0),"NOT SET",IF($L86&gt;$G86,"OVER BUDGET",IF($L86=$G86,"AT BUDGET",IF(AND($G86&gt;0,$L86/$G86&gt;=Set_WarnThreshold),"NEAR LIMIT","ON TRACK")))))</f>
      </c>
      <c r="O86" s="79"/>
      <c r="P86" s="80"/>
      <c r="Q86" s="78">
        <f>IF($B86="",0,IF(COUNTIF('PEOPLE + BUDGETS'!$B$6:$B$105,$B86)&gt;1,1,0))</f>
      </c>
      <c r="R86" s="75"/>
    </row>
    <row r="87" ht="17" customHeight="1" spans="1:18" x14ac:dyDescent="0.25">
      <c r="A87" s="75"/>
      <c r="B87" s="79"/>
      <c r="C87" s="79"/>
      <c r="D87" s="79"/>
      <c r="E87" s="86"/>
      <c r="F87" s="86"/>
      <c r="G87" s="85">
        <f>IF($B87="","",$E87+$F87)</f>
      </c>
      <c r="H87" s="85">
        <f>IF($B87="","",SUMIFS('GIFT PLANNER'!$Q$6:$Q$205,'GIFT PLANNER'!$C$6:$C$205,$B87,'GIFT PLANNER'!$E$6:$E$205,"Yes"))</f>
      </c>
      <c r="I87" s="85">
        <f>IF($B87="","",SUMIFS('GIFT PLANNER'!$R$6:$R$205,'GIFT PLANNER'!$C$6:$C$205,$B87,'GIFT PLANNER'!$E$6:$E$205,"Yes"))</f>
      </c>
      <c r="J87" s="85">
        <f>IF($B87="","",SUMIFS('STOCKING STUFFERS'!$J$6:$J$155,'STOCKING STUFFERS'!$C$6:$C$155,$B87))</f>
      </c>
      <c r="K87" s="85">
        <f>IF($B87="","",SUMIFS('STOCKING STUFFERS'!$K$6:$K$155,'STOCKING STUFFERS'!$C$6:$C$155,$B87))</f>
      </c>
      <c r="L87" s="85">
        <f>IF($B87="","",$I87+$K87)</f>
      </c>
      <c r="M87" s="85">
        <f>IF($B87="","",$G87-$L87)</f>
      </c>
      <c r="N87" s="78">
        <f>IF($B87="","",IF(AND($G87=0,$L87=0),"NOT SET",IF($L87&gt;$G87,"OVER BUDGET",IF($L87=$G87,"AT BUDGET",IF(AND($G87&gt;0,$L87/$G87&gt;=Set_WarnThreshold),"NEAR LIMIT","ON TRACK")))))</f>
      </c>
      <c r="O87" s="79"/>
      <c r="P87" s="80"/>
      <c r="Q87" s="78">
        <f>IF($B87="",0,IF(COUNTIF('PEOPLE + BUDGETS'!$B$6:$B$105,$B87)&gt;1,1,0))</f>
      </c>
      <c r="R87" s="75"/>
    </row>
    <row r="88" ht="17" customHeight="1" spans="1:18" x14ac:dyDescent="0.25">
      <c r="A88" s="75"/>
      <c r="B88" s="79"/>
      <c r="C88" s="79"/>
      <c r="D88" s="79"/>
      <c r="E88" s="86"/>
      <c r="F88" s="86"/>
      <c r="G88" s="85">
        <f>IF($B88="","",$E88+$F88)</f>
      </c>
      <c r="H88" s="85">
        <f>IF($B88="","",SUMIFS('GIFT PLANNER'!$Q$6:$Q$205,'GIFT PLANNER'!$C$6:$C$205,$B88,'GIFT PLANNER'!$E$6:$E$205,"Yes"))</f>
      </c>
      <c r="I88" s="85">
        <f>IF($B88="","",SUMIFS('GIFT PLANNER'!$R$6:$R$205,'GIFT PLANNER'!$C$6:$C$205,$B88,'GIFT PLANNER'!$E$6:$E$205,"Yes"))</f>
      </c>
      <c r="J88" s="85">
        <f>IF($B88="","",SUMIFS('STOCKING STUFFERS'!$J$6:$J$155,'STOCKING STUFFERS'!$C$6:$C$155,$B88))</f>
      </c>
      <c r="K88" s="85">
        <f>IF($B88="","",SUMIFS('STOCKING STUFFERS'!$K$6:$K$155,'STOCKING STUFFERS'!$C$6:$C$155,$B88))</f>
      </c>
      <c r="L88" s="85">
        <f>IF($B88="","",$I88+$K88)</f>
      </c>
      <c r="M88" s="85">
        <f>IF($B88="","",$G88-$L88)</f>
      </c>
      <c r="N88" s="78">
        <f>IF($B88="","",IF(AND($G88=0,$L88=0),"NOT SET",IF($L88&gt;$G88,"OVER BUDGET",IF($L88=$G88,"AT BUDGET",IF(AND($G88&gt;0,$L88/$G88&gt;=Set_WarnThreshold),"NEAR LIMIT","ON TRACK")))))</f>
      </c>
      <c r="O88" s="79"/>
      <c r="P88" s="80"/>
      <c r="Q88" s="78">
        <f>IF($B88="",0,IF(COUNTIF('PEOPLE + BUDGETS'!$B$6:$B$105,$B88)&gt;1,1,0))</f>
      </c>
      <c r="R88" s="75"/>
    </row>
    <row r="89" ht="17" customHeight="1" spans="1:18" x14ac:dyDescent="0.25">
      <c r="A89" s="75"/>
      <c r="B89" s="79"/>
      <c r="C89" s="79"/>
      <c r="D89" s="79"/>
      <c r="E89" s="86"/>
      <c r="F89" s="86"/>
      <c r="G89" s="85">
        <f>IF($B89="","",$E89+$F89)</f>
      </c>
      <c r="H89" s="85">
        <f>IF($B89="","",SUMIFS('GIFT PLANNER'!$Q$6:$Q$205,'GIFT PLANNER'!$C$6:$C$205,$B89,'GIFT PLANNER'!$E$6:$E$205,"Yes"))</f>
      </c>
      <c r="I89" s="85">
        <f>IF($B89="","",SUMIFS('GIFT PLANNER'!$R$6:$R$205,'GIFT PLANNER'!$C$6:$C$205,$B89,'GIFT PLANNER'!$E$6:$E$205,"Yes"))</f>
      </c>
      <c r="J89" s="85">
        <f>IF($B89="","",SUMIFS('STOCKING STUFFERS'!$J$6:$J$155,'STOCKING STUFFERS'!$C$6:$C$155,$B89))</f>
      </c>
      <c r="K89" s="85">
        <f>IF($B89="","",SUMIFS('STOCKING STUFFERS'!$K$6:$K$155,'STOCKING STUFFERS'!$C$6:$C$155,$B89))</f>
      </c>
      <c r="L89" s="85">
        <f>IF($B89="","",$I89+$K89)</f>
      </c>
      <c r="M89" s="85">
        <f>IF($B89="","",$G89-$L89)</f>
      </c>
      <c r="N89" s="78">
        <f>IF($B89="","",IF(AND($G89=0,$L89=0),"NOT SET",IF($L89&gt;$G89,"OVER BUDGET",IF($L89=$G89,"AT BUDGET",IF(AND($G89&gt;0,$L89/$G89&gt;=Set_WarnThreshold),"NEAR LIMIT","ON TRACK")))))</f>
      </c>
      <c r="O89" s="79"/>
      <c r="P89" s="80"/>
      <c r="Q89" s="78">
        <f>IF($B89="",0,IF(COUNTIF('PEOPLE + BUDGETS'!$B$6:$B$105,$B89)&gt;1,1,0))</f>
      </c>
      <c r="R89" s="75"/>
    </row>
    <row r="90" ht="17" customHeight="1" spans="1:18" x14ac:dyDescent="0.25">
      <c r="A90" s="75"/>
      <c r="B90" s="79"/>
      <c r="C90" s="79"/>
      <c r="D90" s="79"/>
      <c r="E90" s="86"/>
      <c r="F90" s="86"/>
      <c r="G90" s="85">
        <f>IF($B90="","",$E90+$F90)</f>
      </c>
      <c r="H90" s="85">
        <f>IF($B90="","",SUMIFS('GIFT PLANNER'!$Q$6:$Q$205,'GIFT PLANNER'!$C$6:$C$205,$B90,'GIFT PLANNER'!$E$6:$E$205,"Yes"))</f>
      </c>
      <c r="I90" s="85">
        <f>IF($B90="","",SUMIFS('GIFT PLANNER'!$R$6:$R$205,'GIFT PLANNER'!$C$6:$C$205,$B90,'GIFT PLANNER'!$E$6:$E$205,"Yes"))</f>
      </c>
      <c r="J90" s="85">
        <f>IF($B90="","",SUMIFS('STOCKING STUFFERS'!$J$6:$J$155,'STOCKING STUFFERS'!$C$6:$C$155,$B90))</f>
      </c>
      <c r="K90" s="85">
        <f>IF($B90="","",SUMIFS('STOCKING STUFFERS'!$K$6:$K$155,'STOCKING STUFFERS'!$C$6:$C$155,$B90))</f>
      </c>
      <c r="L90" s="85">
        <f>IF($B90="","",$I90+$K90)</f>
      </c>
      <c r="M90" s="85">
        <f>IF($B90="","",$G90-$L90)</f>
      </c>
      <c r="N90" s="78">
        <f>IF($B90="","",IF(AND($G90=0,$L90=0),"NOT SET",IF($L90&gt;$G90,"OVER BUDGET",IF($L90=$G90,"AT BUDGET",IF(AND($G90&gt;0,$L90/$G90&gt;=Set_WarnThreshold),"NEAR LIMIT","ON TRACK")))))</f>
      </c>
      <c r="O90" s="79"/>
      <c r="P90" s="80"/>
      <c r="Q90" s="78">
        <f>IF($B90="",0,IF(COUNTIF('PEOPLE + BUDGETS'!$B$6:$B$105,$B90)&gt;1,1,0))</f>
      </c>
      <c r="R90" s="75"/>
    </row>
    <row r="91" ht="17" customHeight="1" spans="1:18" x14ac:dyDescent="0.25">
      <c r="A91" s="75"/>
      <c r="B91" s="79"/>
      <c r="C91" s="79"/>
      <c r="D91" s="79"/>
      <c r="E91" s="86"/>
      <c r="F91" s="86"/>
      <c r="G91" s="85">
        <f>IF($B91="","",$E91+$F91)</f>
      </c>
      <c r="H91" s="85">
        <f>IF($B91="","",SUMIFS('GIFT PLANNER'!$Q$6:$Q$205,'GIFT PLANNER'!$C$6:$C$205,$B91,'GIFT PLANNER'!$E$6:$E$205,"Yes"))</f>
      </c>
      <c r="I91" s="85">
        <f>IF($B91="","",SUMIFS('GIFT PLANNER'!$R$6:$R$205,'GIFT PLANNER'!$C$6:$C$205,$B91,'GIFT PLANNER'!$E$6:$E$205,"Yes"))</f>
      </c>
      <c r="J91" s="85">
        <f>IF($B91="","",SUMIFS('STOCKING STUFFERS'!$J$6:$J$155,'STOCKING STUFFERS'!$C$6:$C$155,$B91))</f>
      </c>
      <c r="K91" s="85">
        <f>IF($B91="","",SUMIFS('STOCKING STUFFERS'!$K$6:$K$155,'STOCKING STUFFERS'!$C$6:$C$155,$B91))</f>
      </c>
      <c r="L91" s="85">
        <f>IF($B91="","",$I91+$K91)</f>
      </c>
      <c r="M91" s="85">
        <f>IF($B91="","",$G91-$L91)</f>
      </c>
      <c r="N91" s="78">
        <f>IF($B91="","",IF(AND($G91=0,$L91=0),"NOT SET",IF($L91&gt;$G91,"OVER BUDGET",IF($L91=$G91,"AT BUDGET",IF(AND($G91&gt;0,$L91/$G91&gt;=Set_WarnThreshold),"NEAR LIMIT","ON TRACK")))))</f>
      </c>
      <c r="O91" s="79"/>
      <c r="P91" s="80"/>
      <c r="Q91" s="78">
        <f>IF($B91="",0,IF(COUNTIF('PEOPLE + BUDGETS'!$B$6:$B$105,$B91)&gt;1,1,0))</f>
      </c>
      <c r="R91" s="75"/>
    </row>
    <row r="92" ht="17" customHeight="1" spans="1:18" x14ac:dyDescent="0.25">
      <c r="A92" s="75"/>
      <c r="B92" s="79"/>
      <c r="C92" s="79"/>
      <c r="D92" s="79"/>
      <c r="E92" s="86"/>
      <c r="F92" s="86"/>
      <c r="G92" s="85">
        <f>IF($B92="","",$E92+$F92)</f>
      </c>
      <c r="H92" s="85">
        <f>IF($B92="","",SUMIFS('GIFT PLANNER'!$Q$6:$Q$205,'GIFT PLANNER'!$C$6:$C$205,$B92,'GIFT PLANNER'!$E$6:$E$205,"Yes"))</f>
      </c>
      <c r="I92" s="85">
        <f>IF($B92="","",SUMIFS('GIFT PLANNER'!$R$6:$R$205,'GIFT PLANNER'!$C$6:$C$205,$B92,'GIFT PLANNER'!$E$6:$E$205,"Yes"))</f>
      </c>
      <c r="J92" s="85">
        <f>IF($B92="","",SUMIFS('STOCKING STUFFERS'!$J$6:$J$155,'STOCKING STUFFERS'!$C$6:$C$155,$B92))</f>
      </c>
      <c r="K92" s="85">
        <f>IF($B92="","",SUMIFS('STOCKING STUFFERS'!$K$6:$K$155,'STOCKING STUFFERS'!$C$6:$C$155,$B92))</f>
      </c>
      <c r="L92" s="85">
        <f>IF($B92="","",$I92+$K92)</f>
      </c>
      <c r="M92" s="85">
        <f>IF($B92="","",$G92-$L92)</f>
      </c>
      <c r="N92" s="78">
        <f>IF($B92="","",IF(AND($G92=0,$L92=0),"NOT SET",IF($L92&gt;$G92,"OVER BUDGET",IF($L92=$G92,"AT BUDGET",IF(AND($G92&gt;0,$L92/$G92&gt;=Set_WarnThreshold),"NEAR LIMIT","ON TRACK")))))</f>
      </c>
      <c r="O92" s="79"/>
      <c r="P92" s="80"/>
      <c r="Q92" s="78">
        <f>IF($B92="",0,IF(COUNTIF('PEOPLE + BUDGETS'!$B$6:$B$105,$B92)&gt;1,1,0))</f>
      </c>
      <c r="R92" s="75"/>
    </row>
    <row r="93" ht="17" customHeight="1" spans="1:18" x14ac:dyDescent="0.25">
      <c r="A93" s="75"/>
      <c r="B93" s="79"/>
      <c r="C93" s="79"/>
      <c r="D93" s="79"/>
      <c r="E93" s="86"/>
      <c r="F93" s="86"/>
      <c r="G93" s="85">
        <f>IF($B93="","",$E93+$F93)</f>
      </c>
      <c r="H93" s="85">
        <f>IF($B93="","",SUMIFS('GIFT PLANNER'!$Q$6:$Q$205,'GIFT PLANNER'!$C$6:$C$205,$B93,'GIFT PLANNER'!$E$6:$E$205,"Yes"))</f>
      </c>
      <c r="I93" s="85">
        <f>IF($B93="","",SUMIFS('GIFT PLANNER'!$R$6:$R$205,'GIFT PLANNER'!$C$6:$C$205,$B93,'GIFT PLANNER'!$E$6:$E$205,"Yes"))</f>
      </c>
      <c r="J93" s="85">
        <f>IF($B93="","",SUMIFS('STOCKING STUFFERS'!$J$6:$J$155,'STOCKING STUFFERS'!$C$6:$C$155,$B93))</f>
      </c>
      <c r="K93" s="85">
        <f>IF($B93="","",SUMIFS('STOCKING STUFFERS'!$K$6:$K$155,'STOCKING STUFFERS'!$C$6:$C$155,$B93))</f>
      </c>
      <c r="L93" s="85">
        <f>IF($B93="","",$I93+$K93)</f>
      </c>
      <c r="M93" s="85">
        <f>IF($B93="","",$G93-$L93)</f>
      </c>
      <c r="N93" s="78">
        <f>IF($B93="","",IF(AND($G93=0,$L93=0),"NOT SET",IF($L93&gt;$G93,"OVER BUDGET",IF($L93=$G93,"AT BUDGET",IF(AND($G93&gt;0,$L93/$G93&gt;=Set_WarnThreshold),"NEAR LIMIT","ON TRACK")))))</f>
      </c>
      <c r="O93" s="79"/>
      <c r="P93" s="80"/>
      <c r="Q93" s="78">
        <f>IF($B93="",0,IF(COUNTIF('PEOPLE + BUDGETS'!$B$6:$B$105,$B93)&gt;1,1,0))</f>
      </c>
      <c r="R93" s="75"/>
    </row>
    <row r="94" ht="17" customHeight="1" spans="1:18" x14ac:dyDescent="0.25">
      <c r="A94" s="75"/>
      <c r="B94" s="79"/>
      <c r="C94" s="79"/>
      <c r="D94" s="79"/>
      <c r="E94" s="86"/>
      <c r="F94" s="86"/>
      <c r="G94" s="85">
        <f>IF($B94="","",$E94+$F94)</f>
      </c>
      <c r="H94" s="85">
        <f>IF($B94="","",SUMIFS('GIFT PLANNER'!$Q$6:$Q$205,'GIFT PLANNER'!$C$6:$C$205,$B94,'GIFT PLANNER'!$E$6:$E$205,"Yes"))</f>
      </c>
      <c r="I94" s="85">
        <f>IF($B94="","",SUMIFS('GIFT PLANNER'!$R$6:$R$205,'GIFT PLANNER'!$C$6:$C$205,$B94,'GIFT PLANNER'!$E$6:$E$205,"Yes"))</f>
      </c>
      <c r="J94" s="85">
        <f>IF($B94="","",SUMIFS('STOCKING STUFFERS'!$J$6:$J$155,'STOCKING STUFFERS'!$C$6:$C$155,$B94))</f>
      </c>
      <c r="K94" s="85">
        <f>IF($B94="","",SUMIFS('STOCKING STUFFERS'!$K$6:$K$155,'STOCKING STUFFERS'!$C$6:$C$155,$B94))</f>
      </c>
      <c r="L94" s="85">
        <f>IF($B94="","",$I94+$K94)</f>
      </c>
      <c r="M94" s="85">
        <f>IF($B94="","",$G94-$L94)</f>
      </c>
      <c r="N94" s="78">
        <f>IF($B94="","",IF(AND($G94=0,$L94=0),"NOT SET",IF($L94&gt;$G94,"OVER BUDGET",IF($L94=$G94,"AT BUDGET",IF(AND($G94&gt;0,$L94/$G94&gt;=Set_WarnThreshold),"NEAR LIMIT","ON TRACK")))))</f>
      </c>
      <c r="O94" s="79"/>
      <c r="P94" s="80"/>
      <c r="Q94" s="78">
        <f>IF($B94="",0,IF(COUNTIF('PEOPLE + BUDGETS'!$B$6:$B$105,$B94)&gt;1,1,0))</f>
      </c>
      <c r="R94" s="75"/>
    </row>
    <row r="95" ht="17" customHeight="1" spans="1:18" x14ac:dyDescent="0.25">
      <c r="A95" s="75"/>
      <c r="B95" s="79"/>
      <c r="C95" s="79"/>
      <c r="D95" s="79"/>
      <c r="E95" s="86"/>
      <c r="F95" s="86"/>
      <c r="G95" s="85">
        <f>IF($B95="","",$E95+$F95)</f>
      </c>
      <c r="H95" s="85">
        <f>IF($B95="","",SUMIFS('GIFT PLANNER'!$Q$6:$Q$205,'GIFT PLANNER'!$C$6:$C$205,$B95,'GIFT PLANNER'!$E$6:$E$205,"Yes"))</f>
      </c>
      <c r="I95" s="85">
        <f>IF($B95="","",SUMIFS('GIFT PLANNER'!$R$6:$R$205,'GIFT PLANNER'!$C$6:$C$205,$B95,'GIFT PLANNER'!$E$6:$E$205,"Yes"))</f>
      </c>
      <c r="J95" s="85">
        <f>IF($B95="","",SUMIFS('STOCKING STUFFERS'!$J$6:$J$155,'STOCKING STUFFERS'!$C$6:$C$155,$B95))</f>
      </c>
      <c r="K95" s="85">
        <f>IF($B95="","",SUMIFS('STOCKING STUFFERS'!$K$6:$K$155,'STOCKING STUFFERS'!$C$6:$C$155,$B95))</f>
      </c>
      <c r="L95" s="85">
        <f>IF($B95="","",$I95+$K95)</f>
      </c>
      <c r="M95" s="85">
        <f>IF($B95="","",$G95-$L95)</f>
      </c>
      <c r="N95" s="78">
        <f>IF($B95="","",IF(AND($G95=0,$L95=0),"NOT SET",IF($L95&gt;$G95,"OVER BUDGET",IF($L95=$G95,"AT BUDGET",IF(AND($G95&gt;0,$L95/$G95&gt;=Set_WarnThreshold),"NEAR LIMIT","ON TRACK")))))</f>
      </c>
      <c r="O95" s="79"/>
      <c r="P95" s="80"/>
      <c r="Q95" s="78">
        <f>IF($B95="",0,IF(COUNTIF('PEOPLE + BUDGETS'!$B$6:$B$105,$B95)&gt;1,1,0))</f>
      </c>
      <c r="R95" s="75"/>
    </row>
    <row r="96" ht="17" customHeight="1" spans="1:18" x14ac:dyDescent="0.25">
      <c r="A96" s="75"/>
      <c r="B96" s="79"/>
      <c r="C96" s="79"/>
      <c r="D96" s="79"/>
      <c r="E96" s="86"/>
      <c r="F96" s="86"/>
      <c r="G96" s="85">
        <f>IF($B96="","",$E96+$F96)</f>
      </c>
      <c r="H96" s="85">
        <f>IF($B96="","",SUMIFS('GIFT PLANNER'!$Q$6:$Q$205,'GIFT PLANNER'!$C$6:$C$205,$B96,'GIFT PLANNER'!$E$6:$E$205,"Yes"))</f>
      </c>
      <c r="I96" s="85">
        <f>IF($B96="","",SUMIFS('GIFT PLANNER'!$R$6:$R$205,'GIFT PLANNER'!$C$6:$C$205,$B96,'GIFT PLANNER'!$E$6:$E$205,"Yes"))</f>
      </c>
      <c r="J96" s="85">
        <f>IF($B96="","",SUMIFS('STOCKING STUFFERS'!$J$6:$J$155,'STOCKING STUFFERS'!$C$6:$C$155,$B96))</f>
      </c>
      <c r="K96" s="85">
        <f>IF($B96="","",SUMIFS('STOCKING STUFFERS'!$K$6:$K$155,'STOCKING STUFFERS'!$C$6:$C$155,$B96))</f>
      </c>
      <c r="L96" s="85">
        <f>IF($B96="","",$I96+$K96)</f>
      </c>
      <c r="M96" s="85">
        <f>IF($B96="","",$G96-$L96)</f>
      </c>
      <c r="N96" s="78">
        <f>IF($B96="","",IF(AND($G96=0,$L96=0),"NOT SET",IF($L96&gt;$G96,"OVER BUDGET",IF($L96=$G96,"AT BUDGET",IF(AND($G96&gt;0,$L96/$G96&gt;=Set_WarnThreshold),"NEAR LIMIT","ON TRACK")))))</f>
      </c>
      <c r="O96" s="79"/>
      <c r="P96" s="80"/>
      <c r="Q96" s="78">
        <f>IF($B96="",0,IF(COUNTIF('PEOPLE + BUDGETS'!$B$6:$B$105,$B96)&gt;1,1,0))</f>
      </c>
      <c r="R96" s="75"/>
    </row>
    <row r="97" ht="17" customHeight="1" spans="1:18" x14ac:dyDescent="0.25">
      <c r="A97" s="75"/>
      <c r="B97" s="79"/>
      <c r="C97" s="79"/>
      <c r="D97" s="79"/>
      <c r="E97" s="86"/>
      <c r="F97" s="86"/>
      <c r="G97" s="85">
        <f>IF($B97="","",$E97+$F97)</f>
      </c>
      <c r="H97" s="85">
        <f>IF($B97="","",SUMIFS('GIFT PLANNER'!$Q$6:$Q$205,'GIFT PLANNER'!$C$6:$C$205,$B97,'GIFT PLANNER'!$E$6:$E$205,"Yes"))</f>
      </c>
      <c r="I97" s="85">
        <f>IF($B97="","",SUMIFS('GIFT PLANNER'!$R$6:$R$205,'GIFT PLANNER'!$C$6:$C$205,$B97,'GIFT PLANNER'!$E$6:$E$205,"Yes"))</f>
      </c>
      <c r="J97" s="85">
        <f>IF($B97="","",SUMIFS('STOCKING STUFFERS'!$J$6:$J$155,'STOCKING STUFFERS'!$C$6:$C$155,$B97))</f>
      </c>
      <c r="K97" s="85">
        <f>IF($B97="","",SUMIFS('STOCKING STUFFERS'!$K$6:$K$155,'STOCKING STUFFERS'!$C$6:$C$155,$B97))</f>
      </c>
      <c r="L97" s="85">
        <f>IF($B97="","",$I97+$K97)</f>
      </c>
      <c r="M97" s="85">
        <f>IF($B97="","",$G97-$L97)</f>
      </c>
      <c r="N97" s="78">
        <f>IF($B97="","",IF(AND($G97=0,$L97=0),"NOT SET",IF($L97&gt;$G97,"OVER BUDGET",IF($L97=$G97,"AT BUDGET",IF(AND($G97&gt;0,$L97/$G97&gt;=Set_WarnThreshold),"NEAR LIMIT","ON TRACK")))))</f>
      </c>
      <c r="O97" s="79"/>
      <c r="P97" s="80"/>
      <c r="Q97" s="78">
        <f>IF($B97="",0,IF(COUNTIF('PEOPLE + BUDGETS'!$B$6:$B$105,$B97)&gt;1,1,0))</f>
      </c>
      <c r="R97" s="75"/>
    </row>
    <row r="98" ht="17" customHeight="1" spans="1:18" x14ac:dyDescent="0.25">
      <c r="A98" s="75"/>
      <c r="B98" s="79"/>
      <c r="C98" s="79"/>
      <c r="D98" s="79"/>
      <c r="E98" s="86"/>
      <c r="F98" s="86"/>
      <c r="G98" s="85">
        <f>IF($B98="","",$E98+$F98)</f>
      </c>
      <c r="H98" s="85">
        <f>IF($B98="","",SUMIFS('GIFT PLANNER'!$Q$6:$Q$205,'GIFT PLANNER'!$C$6:$C$205,$B98,'GIFT PLANNER'!$E$6:$E$205,"Yes"))</f>
      </c>
      <c r="I98" s="85">
        <f>IF($B98="","",SUMIFS('GIFT PLANNER'!$R$6:$R$205,'GIFT PLANNER'!$C$6:$C$205,$B98,'GIFT PLANNER'!$E$6:$E$205,"Yes"))</f>
      </c>
      <c r="J98" s="85">
        <f>IF($B98="","",SUMIFS('STOCKING STUFFERS'!$J$6:$J$155,'STOCKING STUFFERS'!$C$6:$C$155,$B98))</f>
      </c>
      <c r="K98" s="85">
        <f>IF($B98="","",SUMIFS('STOCKING STUFFERS'!$K$6:$K$155,'STOCKING STUFFERS'!$C$6:$C$155,$B98))</f>
      </c>
      <c r="L98" s="85">
        <f>IF($B98="","",$I98+$K98)</f>
      </c>
      <c r="M98" s="85">
        <f>IF($B98="","",$G98-$L98)</f>
      </c>
      <c r="N98" s="78">
        <f>IF($B98="","",IF(AND($G98=0,$L98=0),"NOT SET",IF($L98&gt;$G98,"OVER BUDGET",IF($L98=$G98,"AT BUDGET",IF(AND($G98&gt;0,$L98/$G98&gt;=Set_WarnThreshold),"NEAR LIMIT","ON TRACK")))))</f>
      </c>
      <c r="O98" s="79"/>
      <c r="P98" s="80"/>
      <c r="Q98" s="78">
        <f>IF($B98="",0,IF(COUNTIF('PEOPLE + BUDGETS'!$B$6:$B$105,$B98)&gt;1,1,0))</f>
      </c>
      <c r="R98" s="75"/>
    </row>
    <row r="99" ht="17" customHeight="1" spans="1:18" x14ac:dyDescent="0.25">
      <c r="A99" s="75"/>
      <c r="B99" s="79"/>
      <c r="C99" s="79"/>
      <c r="D99" s="79"/>
      <c r="E99" s="86"/>
      <c r="F99" s="86"/>
      <c r="G99" s="85">
        <f>IF($B99="","",$E99+$F99)</f>
      </c>
      <c r="H99" s="85">
        <f>IF($B99="","",SUMIFS('GIFT PLANNER'!$Q$6:$Q$205,'GIFT PLANNER'!$C$6:$C$205,$B99,'GIFT PLANNER'!$E$6:$E$205,"Yes"))</f>
      </c>
      <c r="I99" s="85">
        <f>IF($B99="","",SUMIFS('GIFT PLANNER'!$R$6:$R$205,'GIFT PLANNER'!$C$6:$C$205,$B99,'GIFT PLANNER'!$E$6:$E$205,"Yes"))</f>
      </c>
      <c r="J99" s="85">
        <f>IF($B99="","",SUMIFS('STOCKING STUFFERS'!$J$6:$J$155,'STOCKING STUFFERS'!$C$6:$C$155,$B99))</f>
      </c>
      <c r="K99" s="85">
        <f>IF($B99="","",SUMIFS('STOCKING STUFFERS'!$K$6:$K$155,'STOCKING STUFFERS'!$C$6:$C$155,$B99))</f>
      </c>
      <c r="L99" s="85">
        <f>IF($B99="","",$I99+$K99)</f>
      </c>
      <c r="M99" s="85">
        <f>IF($B99="","",$G99-$L99)</f>
      </c>
      <c r="N99" s="78">
        <f>IF($B99="","",IF(AND($G99=0,$L99=0),"NOT SET",IF($L99&gt;$G99,"OVER BUDGET",IF($L99=$G99,"AT BUDGET",IF(AND($G99&gt;0,$L99/$G99&gt;=Set_WarnThreshold),"NEAR LIMIT","ON TRACK")))))</f>
      </c>
      <c r="O99" s="79"/>
      <c r="P99" s="80"/>
      <c r="Q99" s="78">
        <f>IF($B99="",0,IF(COUNTIF('PEOPLE + BUDGETS'!$B$6:$B$105,$B99)&gt;1,1,0))</f>
      </c>
      <c r="R99" s="75"/>
    </row>
    <row r="100" ht="17" customHeight="1" spans="1:18" x14ac:dyDescent="0.25">
      <c r="A100" s="75"/>
      <c r="B100" s="79"/>
      <c r="C100" s="79"/>
      <c r="D100" s="79"/>
      <c r="E100" s="86"/>
      <c r="F100" s="86"/>
      <c r="G100" s="85">
        <f>IF($B100="","",$E100+$F100)</f>
      </c>
      <c r="H100" s="85">
        <f>IF($B100="","",SUMIFS('GIFT PLANNER'!$Q$6:$Q$205,'GIFT PLANNER'!$C$6:$C$205,$B100,'GIFT PLANNER'!$E$6:$E$205,"Yes"))</f>
      </c>
      <c r="I100" s="85">
        <f>IF($B100="","",SUMIFS('GIFT PLANNER'!$R$6:$R$205,'GIFT PLANNER'!$C$6:$C$205,$B100,'GIFT PLANNER'!$E$6:$E$205,"Yes"))</f>
      </c>
      <c r="J100" s="85">
        <f>IF($B100="","",SUMIFS('STOCKING STUFFERS'!$J$6:$J$155,'STOCKING STUFFERS'!$C$6:$C$155,$B100))</f>
      </c>
      <c r="K100" s="85">
        <f>IF($B100="","",SUMIFS('STOCKING STUFFERS'!$K$6:$K$155,'STOCKING STUFFERS'!$C$6:$C$155,$B100))</f>
      </c>
      <c r="L100" s="85">
        <f>IF($B100="","",$I100+$K100)</f>
      </c>
      <c r="M100" s="85">
        <f>IF($B100="","",$G100-$L100)</f>
      </c>
      <c r="N100" s="78">
        <f>IF($B100="","",IF(AND($G100=0,$L100=0),"NOT SET",IF($L100&gt;$G100,"OVER BUDGET",IF($L100=$G100,"AT BUDGET",IF(AND($G100&gt;0,$L100/$G100&gt;=Set_WarnThreshold),"NEAR LIMIT","ON TRACK")))))</f>
      </c>
      <c r="O100" s="79"/>
      <c r="P100" s="80"/>
      <c r="Q100" s="78">
        <f>IF($B100="",0,IF(COUNTIF('PEOPLE + BUDGETS'!$B$6:$B$105,$B100)&gt;1,1,0))</f>
      </c>
      <c r="R100" s="75"/>
    </row>
    <row r="101" ht="17" customHeight="1" spans="1:18" x14ac:dyDescent="0.25">
      <c r="A101" s="75"/>
      <c r="B101" s="79"/>
      <c r="C101" s="79"/>
      <c r="D101" s="79"/>
      <c r="E101" s="86"/>
      <c r="F101" s="86"/>
      <c r="G101" s="85">
        <f>IF($B101="","",$E101+$F101)</f>
      </c>
      <c r="H101" s="85">
        <f>IF($B101="","",SUMIFS('GIFT PLANNER'!$Q$6:$Q$205,'GIFT PLANNER'!$C$6:$C$205,$B101,'GIFT PLANNER'!$E$6:$E$205,"Yes"))</f>
      </c>
      <c r="I101" s="85">
        <f>IF($B101="","",SUMIFS('GIFT PLANNER'!$R$6:$R$205,'GIFT PLANNER'!$C$6:$C$205,$B101,'GIFT PLANNER'!$E$6:$E$205,"Yes"))</f>
      </c>
      <c r="J101" s="85">
        <f>IF($B101="","",SUMIFS('STOCKING STUFFERS'!$J$6:$J$155,'STOCKING STUFFERS'!$C$6:$C$155,$B101))</f>
      </c>
      <c r="K101" s="85">
        <f>IF($B101="","",SUMIFS('STOCKING STUFFERS'!$K$6:$K$155,'STOCKING STUFFERS'!$C$6:$C$155,$B101))</f>
      </c>
      <c r="L101" s="85">
        <f>IF($B101="","",$I101+$K101)</f>
      </c>
      <c r="M101" s="85">
        <f>IF($B101="","",$G101-$L101)</f>
      </c>
      <c r="N101" s="78">
        <f>IF($B101="","",IF(AND($G101=0,$L101=0),"NOT SET",IF($L101&gt;$G101,"OVER BUDGET",IF($L101=$G101,"AT BUDGET",IF(AND($G101&gt;0,$L101/$G101&gt;=Set_WarnThreshold),"NEAR LIMIT","ON TRACK")))))</f>
      </c>
      <c r="O101" s="79"/>
      <c r="P101" s="80"/>
      <c r="Q101" s="78">
        <f>IF($B101="",0,IF(COUNTIF('PEOPLE + BUDGETS'!$B$6:$B$105,$B101)&gt;1,1,0))</f>
      </c>
      <c r="R101" s="75"/>
    </row>
    <row r="102" ht="17" customHeight="1" spans="1:18" x14ac:dyDescent="0.25">
      <c r="A102" s="75"/>
      <c r="B102" s="79"/>
      <c r="C102" s="79"/>
      <c r="D102" s="79"/>
      <c r="E102" s="86"/>
      <c r="F102" s="86"/>
      <c r="G102" s="85">
        <f>IF($B102="","",$E102+$F102)</f>
      </c>
      <c r="H102" s="85">
        <f>IF($B102="","",SUMIFS('GIFT PLANNER'!$Q$6:$Q$205,'GIFT PLANNER'!$C$6:$C$205,$B102,'GIFT PLANNER'!$E$6:$E$205,"Yes"))</f>
      </c>
      <c r="I102" s="85">
        <f>IF($B102="","",SUMIFS('GIFT PLANNER'!$R$6:$R$205,'GIFT PLANNER'!$C$6:$C$205,$B102,'GIFT PLANNER'!$E$6:$E$205,"Yes"))</f>
      </c>
      <c r="J102" s="85">
        <f>IF($B102="","",SUMIFS('STOCKING STUFFERS'!$J$6:$J$155,'STOCKING STUFFERS'!$C$6:$C$155,$B102))</f>
      </c>
      <c r="K102" s="85">
        <f>IF($B102="","",SUMIFS('STOCKING STUFFERS'!$K$6:$K$155,'STOCKING STUFFERS'!$C$6:$C$155,$B102))</f>
      </c>
      <c r="L102" s="85">
        <f>IF($B102="","",$I102+$K102)</f>
      </c>
      <c r="M102" s="85">
        <f>IF($B102="","",$G102-$L102)</f>
      </c>
      <c r="N102" s="78">
        <f>IF($B102="","",IF(AND($G102=0,$L102=0),"NOT SET",IF($L102&gt;$G102,"OVER BUDGET",IF($L102=$G102,"AT BUDGET",IF(AND($G102&gt;0,$L102/$G102&gt;=Set_WarnThreshold),"NEAR LIMIT","ON TRACK")))))</f>
      </c>
      <c r="O102" s="79"/>
      <c r="P102" s="80"/>
      <c r="Q102" s="78">
        <f>IF($B102="",0,IF(COUNTIF('PEOPLE + BUDGETS'!$B$6:$B$105,$B102)&gt;1,1,0))</f>
      </c>
      <c r="R102" s="75"/>
    </row>
    <row r="103" ht="17" customHeight="1" spans="1:18" x14ac:dyDescent="0.25">
      <c r="A103" s="75"/>
      <c r="B103" s="79"/>
      <c r="C103" s="79"/>
      <c r="D103" s="79"/>
      <c r="E103" s="86"/>
      <c r="F103" s="86"/>
      <c r="G103" s="85">
        <f>IF($B103="","",$E103+$F103)</f>
      </c>
      <c r="H103" s="85">
        <f>IF($B103="","",SUMIFS('GIFT PLANNER'!$Q$6:$Q$205,'GIFT PLANNER'!$C$6:$C$205,$B103,'GIFT PLANNER'!$E$6:$E$205,"Yes"))</f>
      </c>
      <c r="I103" s="85">
        <f>IF($B103="","",SUMIFS('GIFT PLANNER'!$R$6:$R$205,'GIFT PLANNER'!$C$6:$C$205,$B103,'GIFT PLANNER'!$E$6:$E$205,"Yes"))</f>
      </c>
      <c r="J103" s="85">
        <f>IF($B103="","",SUMIFS('STOCKING STUFFERS'!$J$6:$J$155,'STOCKING STUFFERS'!$C$6:$C$155,$B103))</f>
      </c>
      <c r="K103" s="85">
        <f>IF($B103="","",SUMIFS('STOCKING STUFFERS'!$K$6:$K$155,'STOCKING STUFFERS'!$C$6:$C$155,$B103))</f>
      </c>
      <c r="L103" s="85">
        <f>IF($B103="","",$I103+$K103)</f>
      </c>
      <c r="M103" s="85">
        <f>IF($B103="","",$G103-$L103)</f>
      </c>
      <c r="N103" s="78">
        <f>IF($B103="","",IF(AND($G103=0,$L103=0),"NOT SET",IF($L103&gt;$G103,"OVER BUDGET",IF($L103=$G103,"AT BUDGET",IF(AND($G103&gt;0,$L103/$G103&gt;=Set_WarnThreshold),"NEAR LIMIT","ON TRACK")))))</f>
      </c>
      <c r="O103" s="79"/>
      <c r="P103" s="80"/>
      <c r="Q103" s="78">
        <f>IF($B103="",0,IF(COUNTIF('PEOPLE + BUDGETS'!$B$6:$B$105,$B103)&gt;1,1,0))</f>
      </c>
      <c r="R103" s="75"/>
    </row>
    <row r="104" ht="17" customHeight="1" spans="1:18" x14ac:dyDescent="0.25">
      <c r="A104" s="75"/>
      <c r="B104" s="79"/>
      <c r="C104" s="79"/>
      <c r="D104" s="79"/>
      <c r="E104" s="86"/>
      <c r="F104" s="86"/>
      <c r="G104" s="85">
        <f>IF($B104="","",$E104+$F104)</f>
      </c>
      <c r="H104" s="85">
        <f>IF($B104="","",SUMIFS('GIFT PLANNER'!$Q$6:$Q$205,'GIFT PLANNER'!$C$6:$C$205,$B104,'GIFT PLANNER'!$E$6:$E$205,"Yes"))</f>
      </c>
      <c r="I104" s="85">
        <f>IF($B104="","",SUMIFS('GIFT PLANNER'!$R$6:$R$205,'GIFT PLANNER'!$C$6:$C$205,$B104,'GIFT PLANNER'!$E$6:$E$205,"Yes"))</f>
      </c>
      <c r="J104" s="85">
        <f>IF($B104="","",SUMIFS('STOCKING STUFFERS'!$J$6:$J$155,'STOCKING STUFFERS'!$C$6:$C$155,$B104))</f>
      </c>
      <c r="K104" s="85">
        <f>IF($B104="","",SUMIFS('STOCKING STUFFERS'!$K$6:$K$155,'STOCKING STUFFERS'!$C$6:$C$155,$B104))</f>
      </c>
      <c r="L104" s="85">
        <f>IF($B104="","",$I104+$K104)</f>
      </c>
      <c r="M104" s="85">
        <f>IF($B104="","",$G104-$L104)</f>
      </c>
      <c r="N104" s="78">
        <f>IF($B104="","",IF(AND($G104=0,$L104=0),"NOT SET",IF($L104&gt;$G104,"OVER BUDGET",IF($L104=$G104,"AT BUDGET",IF(AND($G104&gt;0,$L104/$G104&gt;=Set_WarnThreshold),"NEAR LIMIT","ON TRACK")))))</f>
      </c>
      <c r="O104" s="79"/>
      <c r="P104" s="80"/>
      <c r="Q104" s="78">
        <f>IF($B104="",0,IF(COUNTIF('PEOPLE + BUDGETS'!$B$6:$B$105,$B104)&gt;1,1,0))</f>
      </c>
      <c r="R104" s="75"/>
    </row>
    <row r="105" ht="17" customHeight="1" spans="1:18" x14ac:dyDescent="0.25">
      <c r="A105" s="75"/>
      <c r="B105" s="79"/>
      <c r="C105" s="79"/>
      <c r="D105" s="79"/>
      <c r="E105" s="86"/>
      <c r="F105" s="86"/>
      <c r="G105" s="85">
        <f>IF($B105="","",$E105+$F105)</f>
      </c>
      <c r="H105" s="85">
        <f>IF($B105="","",SUMIFS('GIFT PLANNER'!$Q$6:$Q$205,'GIFT PLANNER'!$C$6:$C$205,$B105,'GIFT PLANNER'!$E$6:$E$205,"Yes"))</f>
      </c>
      <c r="I105" s="85">
        <f>IF($B105="","",SUMIFS('GIFT PLANNER'!$R$6:$R$205,'GIFT PLANNER'!$C$6:$C$205,$B105,'GIFT PLANNER'!$E$6:$E$205,"Yes"))</f>
      </c>
      <c r="J105" s="85">
        <f>IF($B105="","",SUMIFS('STOCKING STUFFERS'!$J$6:$J$155,'STOCKING STUFFERS'!$C$6:$C$155,$B105))</f>
      </c>
      <c r="K105" s="85">
        <f>IF($B105="","",SUMIFS('STOCKING STUFFERS'!$K$6:$K$155,'STOCKING STUFFERS'!$C$6:$C$155,$B105))</f>
      </c>
      <c r="L105" s="85">
        <f>IF($B105="","",$I105+$K105)</f>
      </c>
      <c r="M105" s="85">
        <f>IF($B105="","",$G105-$L105)</f>
      </c>
      <c r="N105" s="78">
        <f>IF($B105="","",IF(AND($G105=0,$L105=0),"NOT SET",IF($L105&gt;$G105,"OVER BUDGET",IF($L105=$G105,"AT BUDGET",IF(AND($G105&gt;0,$L105/$G105&gt;=Set_WarnThreshold),"NEAR LIMIT","ON TRACK")))))</f>
      </c>
      <c r="O105" s="79"/>
      <c r="P105" s="80"/>
      <c r="Q105" s="78">
        <f>IF($B105="",0,IF(COUNTIF('PEOPLE + BUDGETS'!$B$6:$B$105,$B105)&gt;1,1,0))</f>
      </c>
      <c r="R105" s="75"/>
    </row>
  </sheetData>
  <autoFilter ref="B5:Q105"/>
  <mergeCells count="1">
    <mergeCell ref="B1:C1"/>
  </mergeCells>
  <conditionalFormatting sqref="N6:N105">
    <cfRule type="containsText" dxfId="1" priority="1">
      <formula>NOT(ISERROR(SEARCH("OVER BUDGET",N6)))</formula>
    </cfRule>
  </conditionalFormatting>
  <conditionalFormatting sqref="N6:N105">
    <cfRule type="containsText" dxfId="2" priority="2">
      <formula>NOT(ISERROR(SEARCH("OVERDUE",N6)))</formula>
    </cfRule>
  </conditionalFormatting>
  <conditionalFormatting sqref="N6:N105">
    <cfRule type="containsText" dxfId="3" priority="3">
      <formula>NOT(ISERROR(SEARCH("LATE",N6)))</formula>
    </cfRule>
  </conditionalFormatting>
  <conditionalFormatting sqref="N6:N105">
    <cfRule type="containsText" dxfId="4" priority="4">
      <formula>NOT(ISERROR(SEARCH("WINDOW CLOSED",N6)))</formula>
    </cfRule>
  </conditionalFormatting>
  <conditionalFormatting sqref="N6:N105">
    <cfRule type="containsText" dxfId="5" priority="5">
      <formula>NOT(ISERROR(SEARCH("BALANCE OVERDUE",N6)))</formula>
    </cfRule>
  </conditionalFormatting>
  <conditionalFormatting sqref="N6:N105">
    <cfRule type="containsText" dxfId="6" priority="6">
      <formula>NOT(ISERROR(SEARCH("PREP OVERDUE",N6)))</formula>
    </cfRule>
  </conditionalFormatting>
  <conditionalFormatting sqref="N6:N105">
    <cfRule type="containsText" dxfId="7" priority="7">
      <formula>NOT(ISERROR(SEARCH("CHECK DUPLICATE",N6)))</formula>
    </cfRule>
  </conditionalFormatting>
  <conditionalFormatting sqref="N6:N105">
    <cfRule type="containsText" dxfId="8" priority="8">
      <formula>NOT(ISERROR(SEARCH("MISSING DATE",N6)))</formula>
    </cfRule>
  </conditionalFormatting>
  <conditionalFormatting sqref="N6:N105">
    <cfRule type="containsText" dxfId="9" priority="9">
      <formula>NOT(ISERROR(SEARCH("NOT FOUND",N6)))</formula>
    </cfRule>
  </conditionalFormatting>
  <conditionalFormatting sqref="N6:N105">
    <cfRule type="containsText" dxfId="10" priority="10">
      <formula>NOT(ISERROR(SEARCH("NEAR LIMIT",N6)))</formula>
    </cfRule>
  </conditionalFormatting>
  <conditionalFormatting sqref="N6:N105">
    <cfRule type="containsText" dxfId="11" priority="11">
      <formula>NOT(ISERROR(SEARCH("THIS WEEK",N6)))</formula>
    </cfRule>
  </conditionalFormatting>
  <conditionalFormatting sqref="N6:N105">
    <cfRule type="containsText" dxfId="12" priority="12">
      <formula>NOT(ISERROR(SEARCH("CLOSING SOON",N6)))</formula>
    </cfRule>
  </conditionalFormatting>
  <conditionalFormatting sqref="N6:N105">
    <cfRule type="containsText" dxfId="13" priority="13">
      <formula>NOT(ISERROR(SEARCH("NO TRACKING",N6)))</formula>
    </cfRule>
  </conditionalFormatting>
  <conditionalFormatting sqref="N6:N105">
    <cfRule type="containsText" dxfId="14" priority="14">
      <formula>NOT(ISERROR(SEARCH("LOW",N6)))</formula>
    </cfRule>
  </conditionalFormatting>
  <conditionalFormatting sqref="N6:N105">
    <cfRule type="containsText" dxfId="15" priority="15">
      <formula>NOT(ISERROR(SEARCH("AWAITING REFUND",N6)))</formula>
    </cfRule>
  </conditionalFormatting>
  <conditionalFormatting sqref="N6:N105">
    <cfRule type="containsText" dxfId="16" priority="16">
      <formula>NOT(ISERROR(SEARCH("BALANCE DUE SOON",N6)))</formula>
    </cfRule>
  </conditionalFormatting>
  <conditionalFormatting sqref="N6:N105">
    <cfRule type="containsText" dxfId="17" priority="17">
      <formula>NOT(ISERROR(SEARCH("TO BUY",N6)))</formula>
    </cfRule>
  </conditionalFormatting>
  <conditionalFormatting sqref="N6:N105">
    <cfRule type="containsText" dxfId="18" priority="18">
      <formula>NOT(ISERROR(SEARCH("NO DATE",N6)))</formula>
    </cfRule>
  </conditionalFormatting>
  <conditionalFormatting sqref="N6:N105">
    <cfRule type="containsText" dxfId="19" priority="19">
      <formula>NOT(ISERROR(SEARCH("NO COUNT",N6)))</formula>
    </cfRule>
  </conditionalFormatting>
  <conditionalFormatting sqref="N6:N105">
    <cfRule type="containsText" dxfId="20" priority="20">
      <formula>NOT(ISERROR(SEARCH("ON TRACK",N6)))</formula>
    </cfRule>
  </conditionalFormatting>
  <conditionalFormatting sqref="N6:N105">
    <cfRule type="containsText" dxfId="21" priority="21">
      <formula>NOT(ISERROR(SEARCH("COMPLETE",N6)))</formula>
    </cfRule>
  </conditionalFormatting>
  <conditionalFormatting sqref="N6:N105">
    <cfRule type="containsText" dxfId="22" priority="22">
      <formula>NOT(ISERROR(SEARCH("DONE",N6)))</formula>
    </cfRule>
  </conditionalFormatting>
  <conditionalFormatting sqref="N6:N105">
    <cfRule type="containsText" dxfId="23" priority="23">
      <formula>NOT(ISERROR(SEARCH("ARRIVED",N6)))</formula>
    </cfRule>
  </conditionalFormatting>
  <conditionalFormatting sqref="N6:N105">
    <cfRule type="containsText" dxfId="24" priority="24">
      <formula>NOT(ISERROR(SEARCH("SETTLED",N6)))</formula>
    </cfRule>
  </conditionalFormatting>
  <conditionalFormatting sqref="N6:N105">
    <cfRule type="containsText" dxfId="25" priority="25">
      <formula>NOT(ISERROR(SEARCH("AT BUDGET",N6)))</formula>
    </cfRule>
  </conditionalFormatting>
  <conditionalFormatting sqref="N6:N105">
    <cfRule type="containsText" dxfId="26" priority="26">
      <formula>NOT(ISERROR(SEARCH("IN STOCK",N6)))</formula>
    </cfRule>
  </conditionalFormatting>
  <conditionalFormatting sqref="N6:N105">
    <cfRule type="containsText" dxfId="27" priority="27">
      <formula>NOT(ISERROR(SEARCH("BOUGHT",N6)))</formula>
    </cfRule>
  </conditionalFormatting>
  <conditionalFormatting sqref="N6:N105">
    <cfRule type="containsText" dxfId="28" priority="28">
      <formula>NOT(ISERROR(SEARCH("READY",N6)))</formula>
    </cfRule>
  </conditionalFormatting>
  <conditionalFormatting sqref="N6:N105">
    <cfRule type="containsText" dxfId="29" priority="29">
      <formula>NOT(ISERROR(SEARCH("NOT SET",N6)))</formula>
    </cfRule>
  </conditionalFormatting>
  <conditionalFormatting sqref="N6:N105">
    <cfRule type="containsText" dxfId="30" priority="30">
      <formula>NOT(ISERROR(SEARCH("NOT STARTED",N6)))</formula>
    </cfRule>
  </conditionalFormatting>
  <conditionalFormatting sqref="N6:N105">
    <cfRule type="containsText" dxfId="31" priority="31">
      <formula>NOT(ISERROR(SEARCH("SCHEDULED",N6)))</formula>
    </cfRule>
  </conditionalFormatting>
  <conditionalFormatting sqref="N6:N105">
    <cfRule type="containsText" dxfId="32" priority="32">
      <formula>NOT(ISERROR(SEARCH("CLOSED",N6)))</formula>
    </cfRule>
  </conditionalFormatting>
  <conditionalFormatting sqref="N6:N105">
    <cfRule type="containsText" dxfId="33" priority="33">
      <formula>NOT(ISERROR(SEARCH("IN THE PANTRY",N6)))</formula>
    </cfRule>
  </conditionalFormatting>
  <conditionalFormatting sqref="N6:N105">
    <cfRule type="containsText" dxfId="34" priority="34">
      <formula>NOT(ISERROR(SEARCH("BALANCE OPEN",N6)))</formula>
    </cfRule>
  </conditionalFormatting>
  <dataValidations count="4">
    <dataValidation type="list" allowBlank="1" showErrorMessage="1" errorStyle="warning" errorTitle="Not one of the usual values" error="This column normally uses a value from the Group list on LISTS. You can keep what you typed, or add it to the list so it appears in the dropdown." sqref="D6:D105">
      <formula1>=List_Group</formula1>
    </dataValidation>
    <dataValidation type="custom" allowBlank="1" showErrorMessage="1" errorStyle="warning" errorTitle="That looks like text" error="Type the number on its own — no currency symbol and no words. The column adds the symbol for you." sqref="E6:E105">
      <formula1>=OR(E6="",ISNUMBER(E6))</formula1>
    </dataValidation>
    <dataValidation type="custom" allowBlank="1" showErrorMessage="1" errorStyle="warning" errorTitle="That looks like text" error="Type the number on its own — no currency symbol and no words. The column adds the symbol for you." sqref="F6:F105">
      <formula1>=OR(F6="",ISNUMBER(F6))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O6:O10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&amp;LPEOPLE + BUDGETS&amp;C&amp;P of &amp;N&amp;RThe Christmas Season Master Command Center™</oddFooter>
  </headerFooter>
  <legacy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N2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10" customWidth="1"/>
    <col min="4" max="4" width="20" customWidth="1"/>
    <col min="5" max="8" width="13" customWidth="1"/>
    <col min="9" max="9" width="11" customWidth="1"/>
    <col min="10" max="10" width="15" customWidth="1"/>
    <col min="11" max="11" width="34" customWidth="1"/>
    <col min="12" max="13" width="18" hidden="1" customWidth="1"/>
    <col min="14" max="14" width="2" customWidth="1"/>
  </cols>
  <sheetData>
    <row r="1" ht="21" customHeight="1" spans="1:14" x14ac:dyDescent="0.25">
      <c r="A1" s="62"/>
      <c r="B1" s="63" t="s">
        <v>8</v>
      </c>
      <c r="C1" s="63"/>
      <c r="D1" s="63" t="s">
        <v>9</v>
      </c>
      <c r="E1" s="63" t="s">
        <v>10</v>
      </c>
      <c r="F1" s="87" t="s">
        <v>11</v>
      </c>
      <c r="G1" s="63" t="s">
        <v>12</v>
      </c>
      <c r="H1" s="62"/>
      <c r="I1" s="62"/>
      <c r="J1" s="62"/>
      <c r="K1" s="62"/>
      <c r="L1" s="62"/>
      <c r="M1" s="62"/>
      <c r="N1" s="62"/>
    </row>
    <row r="2" ht="34" customHeight="1" spans="1:14" x14ac:dyDescent="0.25">
      <c r="A2" s="64"/>
      <c r="B2" s="65" t="s">
        <v>123</v>
      </c>
      <c r="C2" s="64"/>
      <c r="D2" s="64"/>
      <c r="E2" s="64"/>
      <c r="F2" s="64"/>
      <c r="G2" s="64"/>
      <c r="H2" s="64"/>
      <c r="I2" s="64"/>
      <c r="J2" s="64"/>
      <c r="K2" s="64"/>
      <c r="L2" s="64"/>
      <c r="M2" s="64"/>
      <c r="N2" s="64"/>
    </row>
    <row r="3" ht="18" customHeight="1" spans="1:14" x14ac:dyDescent="0.25">
      <c r="A3" s="64"/>
      <c r="B3" s="66" t="s">
        <v>264</v>
      </c>
      <c r="C3" s="64"/>
      <c r="D3" s="64"/>
      <c r="E3" s="64"/>
      <c r="F3" s="64"/>
      <c r="G3" s="64"/>
      <c r="H3" s="64"/>
      <c r="I3" s="64"/>
      <c r="J3" s="64"/>
      <c r="K3" s="64"/>
      <c r="L3" s="64"/>
      <c r="M3" s="64"/>
      <c r="N3" s="64"/>
    </row>
    <row r="4" ht="17" customHeight="1" spans="1:14" x14ac:dyDescent="0.25">
      <c r="A4" s="64"/>
      <c r="B4" s="67" t="s">
        <v>160</v>
      </c>
      <c r="C4" s="64"/>
      <c r="D4" s="64"/>
      <c r="E4" s="64"/>
      <c r="F4" s="64"/>
      <c r="G4" s="64"/>
      <c r="H4" s="64"/>
      <c r="I4" s="64"/>
      <c r="J4" s="64"/>
      <c r="K4" s="64"/>
      <c r="L4" s="64"/>
      <c r="M4" s="64"/>
      <c r="N4" s="64"/>
    </row>
    <row r="5" ht="32" customHeight="1" spans="1:14" x14ac:dyDescent="0.25">
      <c r="A5" s="73"/>
      <c r="B5" s="74" t="s">
        <v>265</v>
      </c>
      <c r="C5" s="74" t="s">
        <v>266</v>
      </c>
      <c r="D5" s="74" t="s">
        <v>150</v>
      </c>
      <c r="E5" s="74" t="s">
        <v>11</v>
      </c>
      <c r="F5" s="74" t="s">
        <v>267</v>
      </c>
      <c r="G5" s="74" t="s">
        <v>268</v>
      </c>
      <c r="H5" s="74" t="s">
        <v>259</v>
      </c>
      <c r="I5" s="74" t="s">
        <v>269</v>
      </c>
      <c r="J5" s="74" t="s">
        <v>260</v>
      </c>
      <c r="K5" s="74" t="s">
        <v>179</v>
      </c>
      <c r="L5" s="74" t="s">
        <v>270</v>
      </c>
      <c r="M5" s="74" t="s">
        <v>180</v>
      </c>
      <c r="N5" s="73"/>
    </row>
    <row r="6" ht="17" customHeight="1" spans="1:14" x14ac:dyDescent="0.25">
      <c r="A6" s="75"/>
      <c r="B6" s="79" t="s">
        <v>271</v>
      </c>
      <c r="C6" s="79" t="s">
        <v>185</v>
      </c>
      <c r="D6" s="79" t="s">
        <v>272</v>
      </c>
      <c r="E6" s="84">
        <v>2400</v>
      </c>
      <c r="F6" s="85">
        <f>IF($D6="","",SUMIFS('CARDS + MAIL'!$I$6:$I$155,'CARDS + MAIL'!$H$6:$H$155,$D6)+SUMIFS('DONATIONS + GIVING'!$G$6:$G$65,'DONATIONS + GIVING'!$F$6:$F$65,$D6)+SUMIFS('GIFT PLANNER'!$Q$6:$Q$205,'GIFT PLANNER'!$G$6:$G$205,$D6)+SUMIFS('STOCKING STUFFERS'!$J$6:$J$155,'STOCKING STUFFERS'!$F$6:$F$155,$D6)+SUMIFS('CHRISTMAS CALENDAR'!$K$6:$K$205,'CHRISTMAS CALENDAR'!$J$6:$J$205,$D6)+SUMIFS('DECOR INVENTORY'!$P$6:$P$105,'DECOR INVENTORY'!$O$6:$O$105,$D6)+SUMIFS('DECORATING PLAN'!$H$6:$H$65,'DECORATING PLAN'!$G$6:$G$65,$D6)+SUMIFS('TABLESCAPE + FLORALS'!$R$6:$R$65,'TABLESCAPE + FLORALS'!$Q$6:$Q$65,$D6)+SUMIFS('TRAVEL PLAN'!$M$6:$M$45,'TRAVEL PLAN'!$L$6:$L$45,$D6)+SUMIFS('VENDORS + APPOINTMENTS'!$M$6:$M$65,'VENDORS + APPOINTMENTS'!$L$6:$L$65,$D6)+SUMIFS('EVENTS + WARDROBE'!$N$6:$N$65,'EVENTS + WARDROBE'!$M$6:$M$65,$D6)+SUMIFS('GROCERY LIST'!$L$6:$L$205,'GROCERY LIST'!$K$6:$K$205,$D6)+SUMIFS('MEAL + BAKING PLAN'!$Q$6:$Q$155,'MEAL + BAKING PLAN'!$P$6:$P$155,$D6)+SUMIFS('TRADITIONS + BUCKET LIST'!$I$6:$I$85,'TRADITIONS + BUCKET LIST'!$H$6:$H$85,$D6))</f>
      </c>
      <c r="G6" s="85">
        <f>IF($D6="","",SUMIFS('CARDS + MAIL'!$J$6:$J$155,'CARDS + MAIL'!$H$6:$H$155,$D6)+SUMIFS('DONATIONS + GIVING'!$H$6:$H$65,'DONATIONS + GIVING'!$F$6:$F$65,$D6)+SUMIFS('GIFT PLANNER'!$R$6:$R$205,'GIFT PLANNER'!$G$6:$G$205,$D6)+SUMIFS('STOCKING STUFFERS'!$K$6:$K$155,'STOCKING STUFFERS'!$F$6:$F$155,$D6)+SUMIFS('CHRISTMAS CALENDAR'!$L$6:$L$205,'CHRISTMAS CALENDAR'!$J$6:$J$205,$D6)+SUMIFS('DECOR INVENTORY'!$Q$6:$Q$105,'DECOR INVENTORY'!$O$6:$O$105,$D6)+SUMIFS('DECORATING PLAN'!$I$6:$I$65,'DECORATING PLAN'!$G$6:$G$65,$D6)+SUMIFS('TABLESCAPE + FLORALS'!$S$6:$S$65,'TABLESCAPE + FLORALS'!$Q$6:$Q$65,$D6)+SUMIFS('TRAVEL PLAN'!$N$6:$N$45,'TRAVEL PLAN'!$L$6:$L$45,$D6)+SUMIFS('VENDORS + APPOINTMENTS'!$Q$6:$Q$65,'VENDORS + APPOINTMENTS'!$L$6:$L$65,$D6)+SUMIFS('EVENTS + WARDROBE'!$O$6:$O$65,'EVENTS + WARDROBE'!$M$6:$M$65,$D6)+SUMIFS('GROCERY LIST'!$M$6:$M$205,'GROCERY LIST'!$K$6:$K$205,$D6)+SUMIFS('MEAL + BAKING PLAN'!$R$6:$R$155,'MEAL + BAKING PLAN'!$P$6:$P$155,$D6)+SUMIFS('TRADITIONS + BUCKET LIST'!$J$6:$J$85,'TRADITIONS + BUCKET LIST'!$H$6:$H$85,$D6)-SUMIFS('RETURNS + EXCHANGES'!$R$6:$R$65,'RETURNS + EXCHANGES'!$K$6:$K$65,$D6))</f>
      </c>
      <c r="H6" s="85">
        <f>IF($D6="","",$E6-$G6)</f>
      </c>
      <c r="I6" s="88">
        <f>IF($D6="","",IF($E6=0,0,$G6/$E6))</f>
      </c>
      <c r="J6" s="78">
        <f>IF($D6="","",IF(AND($E6=0,$G6=0),"NOT SET",IF($G6&gt;$E6,"OVER BUDGET",IF($G6=$E6,"AT BUDGET",IF(AND($E6&gt;0,$G6/$E6&gt;=Set_WarnThreshold),"NEAR LIMIT","ON TRACK")))))</f>
      </c>
      <c r="K6" s="80" t="s">
        <v>273</v>
      </c>
      <c r="L6" s="78">
        <f>IF(AND($C6="Yes",$D6&lt;&gt;"",OR(N($E6)&gt;0,N($G6)&gt;0)),$E6+(100-ROW())/10000,"")</f>
      </c>
      <c r="M6" s="78">
        <f>IF($B6="",0,IF(COUNTIF('MASTER BUDGET'!$B$6:$B$25,$B6)&gt;1,1,0))</f>
      </c>
      <c r="N6" s="75"/>
    </row>
    <row r="7" ht="17" customHeight="1" spans="1:14" x14ac:dyDescent="0.25">
      <c r="A7" s="75"/>
      <c r="B7" s="79" t="s">
        <v>274</v>
      </c>
      <c r="C7" s="79" t="s">
        <v>185</v>
      </c>
      <c r="D7" s="79" t="s">
        <v>275</v>
      </c>
      <c r="E7" s="84">
        <v>300</v>
      </c>
      <c r="F7" s="85">
        <f>IF($D7="","",SUMIFS('CARDS + MAIL'!$I$6:$I$155,'CARDS + MAIL'!$H$6:$H$155,$D7)+SUMIFS('DONATIONS + GIVING'!$G$6:$G$65,'DONATIONS + GIVING'!$F$6:$F$65,$D7)+SUMIFS('GIFT PLANNER'!$Q$6:$Q$205,'GIFT PLANNER'!$G$6:$G$205,$D7)+SUMIFS('STOCKING STUFFERS'!$J$6:$J$155,'STOCKING STUFFERS'!$F$6:$F$155,$D7)+SUMIFS('CHRISTMAS CALENDAR'!$K$6:$K$205,'CHRISTMAS CALENDAR'!$J$6:$J$205,$D7)+SUMIFS('DECOR INVENTORY'!$P$6:$P$105,'DECOR INVENTORY'!$O$6:$O$105,$D7)+SUMIFS('DECORATING PLAN'!$H$6:$H$65,'DECORATING PLAN'!$G$6:$G$65,$D7)+SUMIFS('TABLESCAPE + FLORALS'!$R$6:$R$65,'TABLESCAPE + FLORALS'!$Q$6:$Q$65,$D7)+SUMIFS('TRAVEL PLAN'!$M$6:$M$45,'TRAVEL PLAN'!$L$6:$L$45,$D7)+SUMIFS('VENDORS + APPOINTMENTS'!$M$6:$M$65,'VENDORS + APPOINTMENTS'!$L$6:$L$65,$D7)+SUMIFS('EVENTS + WARDROBE'!$N$6:$N$65,'EVENTS + WARDROBE'!$M$6:$M$65,$D7)+SUMIFS('GROCERY LIST'!$L$6:$L$205,'GROCERY LIST'!$K$6:$K$205,$D7)+SUMIFS('MEAL + BAKING PLAN'!$Q$6:$Q$155,'MEAL + BAKING PLAN'!$P$6:$P$155,$D7)+SUMIFS('TRADITIONS + BUCKET LIST'!$I$6:$I$85,'TRADITIONS + BUCKET LIST'!$H$6:$H$85,$D7))</f>
      </c>
      <c r="G7" s="85">
        <f>IF($D7="","",SUMIFS('CARDS + MAIL'!$J$6:$J$155,'CARDS + MAIL'!$H$6:$H$155,$D7)+SUMIFS('DONATIONS + GIVING'!$H$6:$H$65,'DONATIONS + GIVING'!$F$6:$F$65,$D7)+SUMIFS('GIFT PLANNER'!$R$6:$R$205,'GIFT PLANNER'!$G$6:$G$205,$D7)+SUMIFS('STOCKING STUFFERS'!$K$6:$K$155,'STOCKING STUFFERS'!$F$6:$F$155,$D7)+SUMIFS('CHRISTMAS CALENDAR'!$L$6:$L$205,'CHRISTMAS CALENDAR'!$J$6:$J$205,$D7)+SUMIFS('DECOR INVENTORY'!$Q$6:$Q$105,'DECOR INVENTORY'!$O$6:$O$105,$D7)+SUMIFS('DECORATING PLAN'!$I$6:$I$65,'DECORATING PLAN'!$G$6:$G$65,$D7)+SUMIFS('TABLESCAPE + FLORALS'!$S$6:$S$65,'TABLESCAPE + FLORALS'!$Q$6:$Q$65,$D7)+SUMIFS('TRAVEL PLAN'!$N$6:$N$45,'TRAVEL PLAN'!$L$6:$L$45,$D7)+SUMIFS('VENDORS + APPOINTMENTS'!$Q$6:$Q$65,'VENDORS + APPOINTMENTS'!$L$6:$L$65,$D7)+SUMIFS('EVENTS + WARDROBE'!$O$6:$O$65,'EVENTS + WARDROBE'!$M$6:$M$65,$D7)+SUMIFS('GROCERY LIST'!$M$6:$M$205,'GROCERY LIST'!$K$6:$K$205,$D7)+SUMIFS('MEAL + BAKING PLAN'!$R$6:$R$155,'MEAL + BAKING PLAN'!$P$6:$P$155,$D7)+SUMIFS('TRADITIONS + BUCKET LIST'!$J$6:$J$85,'TRADITIONS + BUCKET LIST'!$H$6:$H$85,$D7)-SUMIFS('RETURNS + EXCHANGES'!$R$6:$R$65,'RETURNS + EXCHANGES'!$K$6:$K$65,$D7))</f>
      </c>
      <c r="H7" s="85">
        <f>IF($D7="","",$E7-$G7)</f>
      </c>
      <c r="I7" s="88">
        <f>IF($D7="","",IF($E7=0,0,$G7/$E7))</f>
      </c>
      <c r="J7" s="78">
        <f>IF($D7="","",IF(AND($E7=0,$G7=0),"NOT SET",IF($G7&gt;$E7,"OVER BUDGET",IF($G7=$E7,"AT BUDGET",IF(AND($E7&gt;0,$G7/$E7&gt;=Set_WarnThreshold),"NEAR LIMIT","ON TRACK")))))</f>
      </c>
      <c r="K7" s="80" t="s">
        <v>273</v>
      </c>
      <c r="L7" s="78">
        <f>IF(AND($C7="Yes",$D7&lt;&gt;"",OR(N($E7)&gt;0,N($G7)&gt;0)),$E7+(100-ROW())/10000,"")</f>
      </c>
      <c r="M7" s="78">
        <f>IF($B7="",0,IF(COUNTIF('MASTER BUDGET'!$B$6:$B$25,$B7)&gt;1,1,0))</f>
      </c>
      <c r="N7" s="75"/>
    </row>
    <row r="8" ht="17" customHeight="1" spans="1:14" x14ac:dyDescent="0.25">
      <c r="A8" s="75"/>
      <c r="B8" s="79" t="s">
        <v>276</v>
      </c>
      <c r="C8" s="79" t="s">
        <v>185</v>
      </c>
      <c r="D8" s="79" t="s">
        <v>277</v>
      </c>
      <c r="E8" s="84">
        <v>600</v>
      </c>
      <c r="F8" s="85">
        <f>IF($D8="","",SUMIFS('CARDS + MAIL'!$I$6:$I$155,'CARDS + MAIL'!$H$6:$H$155,$D8)+SUMIFS('DONATIONS + GIVING'!$G$6:$G$65,'DONATIONS + GIVING'!$F$6:$F$65,$D8)+SUMIFS('GIFT PLANNER'!$Q$6:$Q$205,'GIFT PLANNER'!$G$6:$G$205,$D8)+SUMIFS('STOCKING STUFFERS'!$J$6:$J$155,'STOCKING STUFFERS'!$F$6:$F$155,$D8)+SUMIFS('CHRISTMAS CALENDAR'!$K$6:$K$205,'CHRISTMAS CALENDAR'!$J$6:$J$205,$D8)+SUMIFS('DECOR INVENTORY'!$P$6:$P$105,'DECOR INVENTORY'!$O$6:$O$105,$D8)+SUMIFS('DECORATING PLAN'!$H$6:$H$65,'DECORATING PLAN'!$G$6:$G$65,$D8)+SUMIFS('TABLESCAPE + FLORALS'!$R$6:$R$65,'TABLESCAPE + FLORALS'!$Q$6:$Q$65,$D8)+SUMIFS('TRAVEL PLAN'!$M$6:$M$45,'TRAVEL PLAN'!$L$6:$L$45,$D8)+SUMIFS('VENDORS + APPOINTMENTS'!$M$6:$M$65,'VENDORS + APPOINTMENTS'!$L$6:$L$65,$D8)+SUMIFS('EVENTS + WARDROBE'!$N$6:$N$65,'EVENTS + WARDROBE'!$M$6:$M$65,$D8)+SUMIFS('GROCERY LIST'!$L$6:$L$205,'GROCERY LIST'!$K$6:$K$205,$D8)+SUMIFS('MEAL + BAKING PLAN'!$Q$6:$Q$155,'MEAL + BAKING PLAN'!$P$6:$P$155,$D8)+SUMIFS('TRADITIONS + BUCKET LIST'!$I$6:$I$85,'TRADITIONS + BUCKET LIST'!$H$6:$H$85,$D8))</f>
      </c>
      <c r="G8" s="85">
        <f>IF($D8="","",SUMIFS('CARDS + MAIL'!$J$6:$J$155,'CARDS + MAIL'!$H$6:$H$155,$D8)+SUMIFS('DONATIONS + GIVING'!$H$6:$H$65,'DONATIONS + GIVING'!$F$6:$F$65,$D8)+SUMIFS('GIFT PLANNER'!$R$6:$R$205,'GIFT PLANNER'!$G$6:$G$205,$D8)+SUMIFS('STOCKING STUFFERS'!$K$6:$K$155,'STOCKING STUFFERS'!$F$6:$F$155,$D8)+SUMIFS('CHRISTMAS CALENDAR'!$L$6:$L$205,'CHRISTMAS CALENDAR'!$J$6:$J$205,$D8)+SUMIFS('DECOR INVENTORY'!$Q$6:$Q$105,'DECOR INVENTORY'!$O$6:$O$105,$D8)+SUMIFS('DECORATING PLAN'!$I$6:$I$65,'DECORATING PLAN'!$G$6:$G$65,$D8)+SUMIFS('TABLESCAPE + FLORALS'!$S$6:$S$65,'TABLESCAPE + FLORALS'!$Q$6:$Q$65,$D8)+SUMIFS('TRAVEL PLAN'!$N$6:$N$45,'TRAVEL PLAN'!$L$6:$L$45,$D8)+SUMIFS('VENDORS + APPOINTMENTS'!$Q$6:$Q$65,'VENDORS + APPOINTMENTS'!$L$6:$L$65,$D8)+SUMIFS('EVENTS + WARDROBE'!$O$6:$O$65,'EVENTS + WARDROBE'!$M$6:$M$65,$D8)+SUMIFS('GROCERY LIST'!$M$6:$M$205,'GROCERY LIST'!$K$6:$K$205,$D8)+SUMIFS('MEAL + BAKING PLAN'!$R$6:$R$155,'MEAL + BAKING PLAN'!$P$6:$P$155,$D8)+SUMIFS('TRADITIONS + BUCKET LIST'!$J$6:$J$85,'TRADITIONS + BUCKET LIST'!$H$6:$H$85,$D8)-SUMIFS('RETURNS + EXCHANGES'!$R$6:$R$65,'RETURNS + EXCHANGES'!$K$6:$K$65,$D8))</f>
      </c>
      <c r="H8" s="85">
        <f>IF($D8="","",$E8-$G8)</f>
      </c>
      <c r="I8" s="88">
        <f>IF($D8="","",IF($E8=0,0,$G8/$E8))</f>
      </c>
      <c r="J8" s="78">
        <f>IF($D8="","",IF(AND($E8=0,$G8=0),"NOT SET",IF($G8&gt;$E8,"OVER BUDGET",IF($G8=$E8,"AT BUDGET",IF(AND($E8&gt;0,$G8/$E8&gt;=Set_WarnThreshold),"NEAR LIMIT","ON TRACK")))))</f>
      </c>
      <c r="K8" s="80" t="s">
        <v>273</v>
      </c>
      <c r="L8" s="78">
        <f>IF(AND($C8="Yes",$D8&lt;&gt;"",OR(N($E8)&gt;0,N($G8)&gt;0)),$E8+(100-ROW())/10000,"")</f>
      </c>
      <c r="M8" s="78">
        <f>IF($B8="",0,IF(COUNTIF('MASTER BUDGET'!$B$6:$B$25,$B8)&gt;1,1,0))</f>
      </c>
      <c r="N8" s="75"/>
    </row>
    <row r="9" ht="17" customHeight="1" spans="1:14" x14ac:dyDescent="0.25">
      <c r="A9" s="75"/>
      <c r="B9" s="79" t="s">
        <v>278</v>
      </c>
      <c r="C9" s="79" t="s">
        <v>185</v>
      </c>
      <c r="D9" s="79" t="s">
        <v>279</v>
      </c>
      <c r="E9" s="84">
        <v>900</v>
      </c>
      <c r="F9" s="85">
        <f>IF($D9="","",SUMIFS('CARDS + MAIL'!$I$6:$I$155,'CARDS + MAIL'!$H$6:$H$155,$D9)+SUMIFS('DONATIONS + GIVING'!$G$6:$G$65,'DONATIONS + GIVING'!$F$6:$F$65,$D9)+SUMIFS('GIFT PLANNER'!$Q$6:$Q$205,'GIFT PLANNER'!$G$6:$G$205,$D9)+SUMIFS('STOCKING STUFFERS'!$J$6:$J$155,'STOCKING STUFFERS'!$F$6:$F$155,$D9)+SUMIFS('CHRISTMAS CALENDAR'!$K$6:$K$205,'CHRISTMAS CALENDAR'!$J$6:$J$205,$D9)+SUMIFS('DECOR INVENTORY'!$P$6:$P$105,'DECOR INVENTORY'!$O$6:$O$105,$D9)+SUMIFS('DECORATING PLAN'!$H$6:$H$65,'DECORATING PLAN'!$G$6:$G$65,$D9)+SUMIFS('TABLESCAPE + FLORALS'!$R$6:$R$65,'TABLESCAPE + FLORALS'!$Q$6:$Q$65,$D9)+SUMIFS('TRAVEL PLAN'!$M$6:$M$45,'TRAVEL PLAN'!$L$6:$L$45,$D9)+SUMIFS('VENDORS + APPOINTMENTS'!$M$6:$M$65,'VENDORS + APPOINTMENTS'!$L$6:$L$65,$D9)+SUMIFS('EVENTS + WARDROBE'!$N$6:$N$65,'EVENTS + WARDROBE'!$M$6:$M$65,$D9)+SUMIFS('GROCERY LIST'!$L$6:$L$205,'GROCERY LIST'!$K$6:$K$205,$D9)+SUMIFS('MEAL + BAKING PLAN'!$Q$6:$Q$155,'MEAL + BAKING PLAN'!$P$6:$P$155,$D9)+SUMIFS('TRADITIONS + BUCKET LIST'!$I$6:$I$85,'TRADITIONS + BUCKET LIST'!$H$6:$H$85,$D9))</f>
      </c>
      <c r="G9" s="85">
        <f>IF($D9="","",SUMIFS('CARDS + MAIL'!$J$6:$J$155,'CARDS + MAIL'!$H$6:$H$155,$D9)+SUMIFS('DONATIONS + GIVING'!$H$6:$H$65,'DONATIONS + GIVING'!$F$6:$F$65,$D9)+SUMIFS('GIFT PLANNER'!$R$6:$R$205,'GIFT PLANNER'!$G$6:$G$205,$D9)+SUMIFS('STOCKING STUFFERS'!$K$6:$K$155,'STOCKING STUFFERS'!$F$6:$F$155,$D9)+SUMIFS('CHRISTMAS CALENDAR'!$L$6:$L$205,'CHRISTMAS CALENDAR'!$J$6:$J$205,$D9)+SUMIFS('DECOR INVENTORY'!$Q$6:$Q$105,'DECOR INVENTORY'!$O$6:$O$105,$D9)+SUMIFS('DECORATING PLAN'!$I$6:$I$65,'DECORATING PLAN'!$G$6:$G$65,$D9)+SUMIFS('TABLESCAPE + FLORALS'!$S$6:$S$65,'TABLESCAPE + FLORALS'!$Q$6:$Q$65,$D9)+SUMIFS('TRAVEL PLAN'!$N$6:$N$45,'TRAVEL PLAN'!$L$6:$L$45,$D9)+SUMIFS('VENDORS + APPOINTMENTS'!$Q$6:$Q$65,'VENDORS + APPOINTMENTS'!$L$6:$L$65,$D9)+SUMIFS('EVENTS + WARDROBE'!$O$6:$O$65,'EVENTS + WARDROBE'!$M$6:$M$65,$D9)+SUMIFS('GROCERY LIST'!$M$6:$M$205,'GROCERY LIST'!$K$6:$K$205,$D9)+SUMIFS('MEAL + BAKING PLAN'!$R$6:$R$155,'MEAL + BAKING PLAN'!$P$6:$P$155,$D9)+SUMIFS('TRADITIONS + BUCKET LIST'!$J$6:$J$85,'TRADITIONS + BUCKET LIST'!$H$6:$H$85,$D9)-SUMIFS('RETURNS + EXCHANGES'!$R$6:$R$65,'RETURNS + EXCHANGES'!$K$6:$K$65,$D9))</f>
      </c>
      <c r="H9" s="85">
        <f>IF($D9="","",$E9-$G9)</f>
      </c>
      <c r="I9" s="88">
        <f>IF($D9="","",IF($E9=0,0,$G9/$E9))</f>
      </c>
      <c r="J9" s="78">
        <f>IF($D9="","",IF(AND($E9=0,$G9=0),"NOT SET",IF($G9&gt;$E9,"OVER BUDGET",IF($G9=$E9,"AT BUDGET",IF(AND($E9&gt;0,$G9/$E9&gt;=Set_WarnThreshold),"NEAR LIMIT","ON TRACK")))))</f>
      </c>
      <c r="K9" s="80" t="s">
        <v>273</v>
      </c>
      <c r="L9" s="78">
        <f>IF(AND($C9="Yes",$D9&lt;&gt;"",OR(N($E9)&gt;0,N($G9)&gt;0)),$E9+(100-ROW())/10000,"")</f>
      </c>
      <c r="M9" s="78">
        <f>IF($B9="",0,IF(COUNTIF('MASTER BUDGET'!$B$6:$B$25,$B9)&gt;1,1,0))</f>
      </c>
      <c r="N9" s="75"/>
    </row>
    <row r="10" ht="17" customHeight="1" spans="1:14" x14ac:dyDescent="0.25">
      <c r="A10" s="75"/>
      <c r="B10" s="79" t="s">
        <v>280</v>
      </c>
      <c r="C10" s="79" t="s">
        <v>185</v>
      </c>
      <c r="D10" s="79" t="s">
        <v>281</v>
      </c>
      <c r="E10" s="84">
        <v>150</v>
      </c>
      <c r="F10" s="85">
        <f>IF($D10="","",SUMIFS('CARDS + MAIL'!$I$6:$I$155,'CARDS + MAIL'!$H$6:$H$155,$D10)+SUMIFS('DONATIONS + GIVING'!$G$6:$G$65,'DONATIONS + GIVING'!$F$6:$F$65,$D10)+SUMIFS('GIFT PLANNER'!$Q$6:$Q$205,'GIFT PLANNER'!$G$6:$G$205,$D10)+SUMIFS('STOCKING STUFFERS'!$J$6:$J$155,'STOCKING STUFFERS'!$F$6:$F$155,$D10)+SUMIFS('CHRISTMAS CALENDAR'!$K$6:$K$205,'CHRISTMAS CALENDAR'!$J$6:$J$205,$D10)+SUMIFS('DECOR INVENTORY'!$P$6:$P$105,'DECOR INVENTORY'!$O$6:$O$105,$D10)+SUMIFS('DECORATING PLAN'!$H$6:$H$65,'DECORATING PLAN'!$G$6:$G$65,$D10)+SUMIFS('TABLESCAPE + FLORALS'!$R$6:$R$65,'TABLESCAPE + FLORALS'!$Q$6:$Q$65,$D10)+SUMIFS('TRAVEL PLAN'!$M$6:$M$45,'TRAVEL PLAN'!$L$6:$L$45,$D10)+SUMIFS('VENDORS + APPOINTMENTS'!$M$6:$M$65,'VENDORS + APPOINTMENTS'!$L$6:$L$65,$D10)+SUMIFS('EVENTS + WARDROBE'!$N$6:$N$65,'EVENTS + WARDROBE'!$M$6:$M$65,$D10)+SUMIFS('GROCERY LIST'!$L$6:$L$205,'GROCERY LIST'!$K$6:$K$205,$D10)+SUMIFS('MEAL + BAKING PLAN'!$Q$6:$Q$155,'MEAL + BAKING PLAN'!$P$6:$P$155,$D10)+SUMIFS('TRADITIONS + BUCKET LIST'!$I$6:$I$85,'TRADITIONS + BUCKET LIST'!$H$6:$H$85,$D10))</f>
      </c>
      <c r="G10" s="85">
        <f>IF($D10="","",SUMIFS('CARDS + MAIL'!$J$6:$J$155,'CARDS + MAIL'!$H$6:$H$155,$D10)+SUMIFS('DONATIONS + GIVING'!$H$6:$H$65,'DONATIONS + GIVING'!$F$6:$F$65,$D10)+SUMIFS('GIFT PLANNER'!$R$6:$R$205,'GIFT PLANNER'!$G$6:$G$205,$D10)+SUMIFS('STOCKING STUFFERS'!$K$6:$K$155,'STOCKING STUFFERS'!$F$6:$F$155,$D10)+SUMIFS('CHRISTMAS CALENDAR'!$L$6:$L$205,'CHRISTMAS CALENDAR'!$J$6:$J$205,$D10)+SUMIFS('DECOR INVENTORY'!$Q$6:$Q$105,'DECOR INVENTORY'!$O$6:$O$105,$D10)+SUMIFS('DECORATING PLAN'!$I$6:$I$65,'DECORATING PLAN'!$G$6:$G$65,$D10)+SUMIFS('TABLESCAPE + FLORALS'!$S$6:$S$65,'TABLESCAPE + FLORALS'!$Q$6:$Q$65,$D10)+SUMIFS('TRAVEL PLAN'!$N$6:$N$45,'TRAVEL PLAN'!$L$6:$L$45,$D10)+SUMIFS('VENDORS + APPOINTMENTS'!$Q$6:$Q$65,'VENDORS + APPOINTMENTS'!$L$6:$L$65,$D10)+SUMIFS('EVENTS + WARDROBE'!$O$6:$O$65,'EVENTS + WARDROBE'!$M$6:$M$65,$D10)+SUMIFS('GROCERY LIST'!$M$6:$M$205,'GROCERY LIST'!$K$6:$K$205,$D10)+SUMIFS('MEAL + BAKING PLAN'!$R$6:$R$155,'MEAL + BAKING PLAN'!$P$6:$P$155,$D10)+SUMIFS('TRADITIONS + BUCKET LIST'!$J$6:$J$85,'TRADITIONS + BUCKET LIST'!$H$6:$H$85,$D10)-SUMIFS('RETURNS + EXCHANGES'!$R$6:$R$65,'RETURNS + EXCHANGES'!$K$6:$K$65,$D10))</f>
      </c>
      <c r="H10" s="85">
        <f>IF($D10="","",$E10-$G10)</f>
      </c>
      <c r="I10" s="88">
        <f>IF($D10="","",IF($E10=0,0,$G10/$E10))</f>
      </c>
      <c r="J10" s="78">
        <f>IF($D10="","",IF(AND($E10=0,$G10=0),"NOT SET",IF($G10&gt;$E10,"OVER BUDGET",IF($G10=$E10,"AT BUDGET",IF(AND($E10&gt;0,$G10/$E10&gt;=Set_WarnThreshold),"NEAR LIMIT","ON TRACK")))))</f>
      </c>
      <c r="K10" s="80" t="s">
        <v>273</v>
      </c>
      <c r="L10" s="78">
        <f>IF(AND($C10="Yes",$D10&lt;&gt;"",OR(N($E10)&gt;0,N($G10)&gt;0)),$E10+(100-ROW())/10000,"")</f>
      </c>
      <c r="M10" s="78">
        <f>IF($B10="",0,IF(COUNTIF('MASTER BUDGET'!$B$6:$B$25,$B10)&gt;1,1,0))</f>
      </c>
      <c r="N10" s="75"/>
    </row>
    <row r="11" ht="17" customHeight="1" spans="1:14" x14ac:dyDescent="0.25">
      <c r="A11" s="75"/>
      <c r="B11" s="79" t="s">
        <v>282</v>
      </c>
      <c r="C11" s="79" t="s">
        <v>185</v>
      </c>
      <c r="D11" s="79" t="s">
        <v>283</v>
      </c>
      <c r="E11" s="84">
        <v>700</v>
      </c>
      <c r="F11" s="85">
        <f>IF($D11="","",SUMIFS('CARDS + MAIL'!$I$6:$I$155,'CARDS + MAIL'!$H$6:$H$155,$D11)+SUMIFS('DONATIONS + GIVING'!$G$6:$G$65,'DONATIONS + GIVING'!$F$6:$F$65,$D11)+SUMIFS('GIFT PLANNER'!$Q$6:$Q$205,'GIFT PLANNER'!$G$6:$G$205,$D11)+SUMIFS('STOCKING STUFFERS'!$J$6:$J$155,'STOCKING STUFFERS'!$F$6:$F$155,$D11)+SUMIFS('CHRISTMAS CALENDAR'!$K$6:$K$205,'CHRISTMAS CALENDAR'!$J$6:$J$205,$D11)+SUMIFS('DECOR INVENTORY'!$P$6:$P$105,'DECOR INVENTORY'!$O$6:$O$105,$D11)+SUMIFS('DECORATING PLAN'!$H$6:$H$65,'DECORATING PLAN'!$G$6:$G$65,$D11)+SUMIFS('TABLESCAPE + FLORALS'!$R$6:$R$65,'TABLESCAPE + FLORALS'!$Q$6:$Q$65,$D11)+SUMIFS('TRAVEL PLAN'!$M$6:$M$45,'TRAVEL PLAN'!$L$6:$L$45,$D11)+SUMIFS('VENDORS + APPOINTMENTS'!$M$6:$M$65,'VENDORS + APPOINTMENTS'!$L$6:$L$65,$D11)+SUMIFS('EVENTS + WARDROBE'!$N$6:$N$65,'EVENTS + WARDROBE'!$M$6:$M$65,$D11)+SUMIFS('GROCERY LIST'!$L$6:$L$205,'GROCERY LIST'!$K$6:$K$205,$D11)+SUMIFS('MEAL + BAKING PLAN'!$Q$6:$Q$155,'MEAL + BAKING PLAN'!$P$6:$P$155,$D11)+SUMIFS('TRADITIONS + BUCKET LIST'!$I$6:$I$85,'TRADITIONS + BUCKET LIST'!$H$6:$H$85,$D11))</f>
      </c>
      <c r="G11" s="85">
        <f>IF($D11="","",SUMIFS('CARDS + MAIL'!$J$6:$J$155,'CARDS + MAIL'!$H$6:$H$155,$D11)+SUMIFS('DONATIONS + GIVING'!$H$6:$H$65,'DONATIONS + GIVING'!$F$6:$F$65,$D11)+SUMIFS('GIFT PLANNER'!$R$6:$R$205,'GIFT PLANNER'!$G$6:$G$205,$D11)+SUMIFS('STOCKING STUFFERS'!$K$6:$K$155,'STOCKING STUFFERS'!$F$6:$F$155,$D11)+SUMIFS('CHRISTMAS CALENDAR'!$L$6:$L$205,'CHRISTMAS CALENDAR'!$J$6:$J$205,$D11)+SUMIFS('DECOR INVENTORY'!$Q$6:$Q$105,'DECOR INVENTORY'!$O$6:$O$105,$D11)+SUMIFS('DECORATING PLAN'!$I$6:$I$65,'DECORATING PLAN'!$G$6:$G$65,$D11)+SUMIFS('TABLESCAPE + FLORALS'!$S$6:$S$65,'TABLESCAPE + FLORALS'!$Q$6:$Q$65,$D11)+SUMIFS('TRAVEL PLAN'!$N$6:$N$45,'TRAVEL PLAN'!$L$6:$L$45,$D11)+SUMIFS('VENDORS + APPOINTMENTS'!$Q$6:$Q$65,'VENDORS + APPOINTMENTS'!$L$6:$L$65,$D11)+SUMIFS('EVENTS + WARDROBE'!$O$6:$O$65,'EVENTS + WARDROBE'!$M$6:$M$65,$D11)+SUMIFS('GROCERY LIST'!$M$6:$M$205,'GROCERY LIST'!$K$6:$K$205,$D11)+SUMIFS('MEAL + BAKING PLAN'!$R$6:$R$155,'MEAL + BAKING PLAN'!$P$6:$P$155,$D11)+SUMIFS('TRADITIONS + BUCKET LIST'!$J$6:$J$85,'TRADITIONS + BUCKET LIST'!$H$6:$H$85,$D11)-SUMIFS('RETURNS + EXCHANGES'!$R$6:$R$65,'RETURNS + EXCHANGES'!$K$6:$K$65,$D11))</f>
      </c>
      <c r="H11" s="85">
        <f>IF($D11="","",$E11-$G11)</f>
      </c>
      <c r="I11" s="88">
        <f>IF($D11="","",IF($E11=0,0,$G11/$E11))</f>
      </c>
      <c r="J11" s="78">
        <f>IF($D11="","",IF(AND($E11=0,$G11=0),"NOT SET",IF($G11&gt;$E11,"OVER BUDGET",IF($G11=$E11,"AT BUDGET",IF(AND($E11&gt;0,$G11/$E11&gt;=Set_WarnThreshold),"NEAR LIMIT","ON TRACK")))))</f>
      </c>
      <c r="K11" s="80" t="s">
        <v>273</v>
      </c>
      <c r="L11" s="78">
        <f>IF(AND($C11="Yes",$D11&lt;&gt;"",OR(N($E11)&gt;0,N($G11)&gt;0)),$E11+(100-ROW())/10000,"")</f>
      </c>
      <c r="M11" s="78">
        <f>IF($B11="",0,IF(COUNTIF('MASTER BUDGET'!$B$6:$B$25,$B11)&gt;1,1,0))</f>
      </c>
      <c r="N11" s="75"/>
    </row>
    <row r="12" ht="17" customHeight="1" spans="1:14" x14ac:dyDescent="0.25">
      <c r="A12" s="75"/>
      <c r="B12" s="79" t="s">
        <v>284</v>
      </c>
      <c r="C12" s="79" t="s">
        <v>185</v>
      </c>
      <c r="D12" s="79" t="s">
        <v>285</v>
      </c>
      <c r="E12" s="84">
        <v>400</v>
      </c>
      <c r="F12" s="85">
        <f>IF($D12="","",SUMIFS('CARDS + MAIL'!$I$6:$I$155,'CARDS + MAIL'!$H$6:$H$155,$D12)+SUMIFS('DONATIONS + GIVING'!$G$6:$G$65,'DONATIONS + GIVING'!$F$6:$F$65,$D12)+SUMIFS('GIFT PLANNER'!$Q$6:$Q$205,'GIFT PLANNER'!$G$6:$G$205,$D12)+SUMIFS('STOCKING STUFFERS'!$J$6:$J$155,'STOCKING STUFFERS'!$F$6:$F$155,$D12)+SUMIFS('CHRISTMAS CALENDAR'!$K$6:$K$205,'CHRISTMAS CALENDAR'!$J$6:$J$205,$D12)+SUMIFS('DECOR INVENTORY'!$P$6:$P$105,'DECOR INVENTORY'!$O$6:$O$105,$D12)+SUMIFS('DECORATING PLAN'!$H$6:$H$65,'DECORATING PLAN'!$G$6:$G$65,$D12)+SUMIFS('TABLESCAPE + FLORALS'!$R$6:$R$65,'TABLESCAPE + FLORALS'!$Q$6:$Q$65,$D12)+SUMIFS('TRAVEL PLAN'!$M$6:$M$45,'TRAVEL PLAN'!$L$6:$L$45,$D12)+SUMIFS('VENDORS + APPOINTMENTS'!$M$6:$M$65,'VENDORS + APPOINTMENTS'!$L$6:$L$65,$D12)+SUMIFS('EVENTS + WARDROBE'!$N$6:$N$65,'EVENTS + WARDROBE'!$M$6:$M$65,$D12)+SUMIFS('GROCERY LIST'!$L$6:$L$205,'GROCERY LIST'!$K$6:$K$205,$D12)+SUMIFS('MEAL + BAKING PLAN'!$Q$6:$Q$155,'MEAL + BAKING PLAN'!$P$6:$P$155,$D12)+SUMIFS('TRADITIONS + BUCKET LIST'!$I$6:$I$85,'TRADITIONS + BUCKET LIST'!$H$6:$H$85,$D12))</f>
      </c>
      <c r="G12" s="85">
        <f>IF($D12="","",SUMIFS('CARDS + MAIL'!$J$6:$J$155,'CARDS + MAIL'!$H$6:$H$155,$D12)+SUMIFS('DONATIONS + GIVING'!$H$6:$H$65,'DONATIONS + GIVING'!$F$6:$F$65,$D12)+SUMIFS('GIFT PLANNER'!$R$6:$R$205,'GIFT PLANNER'!$G$6:$G$205,$D12)+SUMIFS('STOCKING STUFFERS'!$K$6:$K$155,'STOCKING STUFFERS'!$F$6:$F$155,$D12)+SUMIFS('CHRISTMAS CALENDAR'!$L$6:$L$205,'CHRISTMAS CALENDAR'!$J$6:$J$205,$D12)+SUMIFS('DECOR INVENTORY'!$Q$6:$Q$105,'DECOR INVENTORY'!$O$6:$O$105,$D12)+SUMIFS('DECORATING PLAN'!$I$6:$I$65,'DECORATING PLAN'!$G$6:$G$65,$D12)+SUMIFS('TABLESCAPE + FLORALS'!$S$6:$S$65,'TABLESCAPE + FLORALS'!$Q$6:$Q$65,$D12)+SUMIFS('TRAVEL PLAN'!$N$6:$N$45,'TRAVEL PLAN'!$L$6:$L$45,$D12)+SUMIFS('VENDORS + APPOINTMENTS'!$Q$6:$Q$65,'VENDORS + APPOINTMENTS'!$L$6:$L$65,$D12)+SUMIFS('EVENTS + WARDROBE'!$O$6:$O$65,'EVENTS + WARDROBE'!$M$6:$M$65,$D12)+SUMIFS('GROCERY LIST'!$M$6:$M$205,'GROCERY LIST'!$K$6:$K$205,$D12)+SUMIFS('MEAL + BAKING PLAN'!$R$6:$R$155,'MEAL + BAKING PLAN'!$P$6:$P$155,$D12)+SUMIFS('TRADITIONS + BUCKET LIST'!$J$6:$J$85,'TRADITIONS + BUCKET LIST'!$H$6:$H$85,$D12)-SUMIFS('RETURNS + EXCHANGES'!$R$6:$R$65,'RETURNS + EXCHANGES'!$K$6:$K$65,$D12))</f>
      </c>
      <c r="H12" s="85">
        <f>IF($D12="","",$E12-$G12)</f>
      </c>
      <c r="I12" s="88">
        <f>IF($D12="","",IF($E12=0,0,$G12/$E12))</f>
      </c>
      <c r="J12" s="78">
        <f>IF($D12="","",IF(AND($E12=0,$G12=0),"NOT SET",IF($G12&gt;$E12,"OVER BUDGET",IF($G12=$E12,"AT BUDGET",IF(AND($E12&gt;0,$G12/$E12&gt;=Set_WarnThreshold),"NEAR LIMIT","ON TRACK")))))</f>
      </c>
      <c r="K12" s="80" t="s">
        <v>273</v>
      </c>
      <c r="L12" s="78">
        <f>IF(AND($C12="Yes",$D12&lt;&gt;"",OR(N($E12)&gt;0,N($G12)&gt;0)),$E12+(100-ROW())/10000,"")</f>
      </c>
      <c r="M12" s="78">
        <f>IF($B12="",0,IF(COUNTIF('MASTER BUDGET'!$B$6:$B$25,$B12)&gt;1,1,0))</f>
      </c>
      <c r="N12" s="75"/>
    </row>
    <row r="13" ht="17" customHeight="1" spans="1:14" x14ac:dyDescent="0.25">
      <c r="A13" s="75"/>
      <c r="B13" s="79" t="s">
        <v>286</v>
      </c>
      <c r="C13" s="79" t="s">
        <v>185</v>
      </c>
      <c r="D13" s="79" t="s">
        <v>287</v>
      </c>
      <c r="E13" s="84">
        <v>1200</v>
      </c>
      <c r="F13" s="85">
        <f>IF($D13="","",SUMIFS('CARDS + MAIL'!$I$6:$I$155,'CARDS + MAIL'!$H$6:$H$155,$D13)+SUMIFS('DONATIONS + GIVING'!$G$6:$G$65,'DONATIONS + GIVING'!$F$6:$F$65,$D13)+SUMIFS('GIFT PLANNER'!$Q$6:$Q$205,'GIFT PLANNER'!$G$6:$G$205,$D13)+SUMIFS('STOCKING STUFFERS'!$J$6:$J$155,'STOCKING STUFFERS'!$F$6:$F$155,$D13)+SUMIFS('CHRISTMAS CALENDAR'!$K$6:$K$205,'CHRISTMAS CALENDAR'!$J$6:$J$205,$D13)+SUMIFS('DECOR INVENTORY'!$P$6:$P$105,'DECOR INVENTORY'!$O$6:$O$105,$D13)+SUMIFS('DECORATING PLAN'!$H$6:$H$65,'DECORATING PLAN'!$G$6:$G$65,$D13)+SUMIFS('TABLESCAPE + FLORALS'!$R$6:$R$65,'TABLESCAPE + FLORALS'!$Q$6:$Q$65,$D13)+SUMIFS('TRAVEL PLAN'!$M$6:$M$45,'TRAVEL PLAN'!$L$6:$L$45,$D13)+SUMIFS('VENDORS + APPOINTMENTS'!$M$6:$M$65,'VENDORS + APPOINTMENTS'!$L$6:$L$65,$D13)+SUMIFS('EVENTS + WARDROBE'!$N$6:$N$65,'EVENTS + WARDROBE'!$M$6:$M$65,$D13)+SUMIFS('GROCERY LIST'!$L$6:$L$205,'GROCERY LIST'!$K$6:$K$205,$D13)+SUMIFS('MEAL + BAKING PLAN'!$Q$6:$Q$155,'MEAL + BAKING PLAN'!$P$6:$P$155,$D13)+SUMIFS('TRADITIONS + BUCKET LIST'!$I$6:$I$85,'TRADITIONS + BUCKET LIST'!$H$6:$H$85,$D13))</f>
      </c>
      <c r="G13" s="85">
        <f>IF($D13="","",SUMIFS('CARDS + MAIL'!$J$6:$J$155,'CARDS + MAIL'!$H$6:$H$155,$D13)+SUMIFS('DONATIONS + GIVING'!$H$6:$H$65,'DONATIONS + GIVING'!$F$6:$F$65,$D13)+SUMIFS('GIFT PLANNER'!$R$6:$R$205,'GIFT PLANNER'!$G$6:$G$205,$D13)+SUMIFS('STOCKING STUFFERS'!$K$6:$K$155,'STOCKING STUFFERS'!$F$6:$F$155,$D13)+SUMIFS('CHRISTMAS CALENDAR'!$L$6:$L$205,'CHRISTMAS CALENDAR'!$J$6:$J$205,$D13)+SUMIFS('DECOR INVENTORY'!$Q$6:$Q$105,'DECOR INVENTORY'!$O$6:$O$105,$D13)+SUMIFS('DECORATING PLAN'!$I$6:$I$65,'DECORATING PLAN'!$G$6:$G$65,$D13)+SUMIFS('TABLESCAPE + FLORALS'!$S$6:$S$65,'TABLESCAPE + FLORALS'!$Q$6:$Q$65,$D13)+SUMIFS('TRAVEL PLAN'!$N$6:$N$45,'TRAVEL PLAN'!$L$6:$L$45,$D13)+SUMIFS('VENDORS + APPOINTMENTS'!$Q$6:$Q$65,'VENDORS + APPOINTMENTS'!$L$6:$L$65,$D13)+SUMIFS('EVENTS + WARDROBE'!$O$6:$O$65,'EVENTS + WARDROBE'!$M$6:$M$65,$D13)+SUMIFS('GROCERY LIST'!$M$6:$M$205,'GROCERY LIST'!$K$6:$K$205,$D13)+SUMIFS('MEAL + BAKING PLAN'!$R$6:$R$155,'MEAL + BAKING PLAN'!$P$6:$P$155,$D13)+SUMIFS('TRADITIONS + BUCKET LIST'!$J$6:$J$85,'TRADITIONS + BUCKET LIST'!$H$6:$H$85,$D13)-SUMIFS('RETURNS + EXCHANGES'!$R$6:$R$65,'RETURNS + EXCHANGES'!$K$6:$K$65,$D13))</f>
      </c>
      <c r="H13" s="85">
        <f>IF($D13="","",$E13-$G13)</f>
      </c>
      <c r="I13" s="88">
        <f>IF($D13="","",IF($E13=0,0,$G13/$E13))</f>
      </c>
      <c r="J13" s="78">
        <f>IF($D13="","",IF(AND($E13=0,$G13=0),"NOT SET",IF($G13&gt;$E13,"OVER BUDGET",IF($G13=$E13,"AT BUDGET",IF(AND($E13&gt;0,$G13/$E13&gt;=Set_WarnThreshold),"NEAR LIMIT","ON TRACK")))))</f>
      </c>
      <c r="K13" s="80" t="s">
        <v>273</v>
      </c>
      <c r="L13" s="78">
        <f>IF(AND($C13="Yes",$D13&lt;&gt;"",OR(N($E13)&gt;0,N($G13)&gt;0)),$E13+(100-ROW())/10000,"")</f>
      </c>
      <c r="M13" s="78">
        <f>IF($B13="",0,IF(COUNTIF('MASTER BUDGET'!$B$6:$B$25,$B13)&gt;1,1,0))</f>
      </c>
      <c r="N13" s="75"/>
    </row>
    <row r="14" ht="17" customHeight="1" spans="1:14" x14ac:dyDescent="0.25">
      <c r="A14" s="75"/>
      <c r="B14" s="79" t="s">
        <v>288</v>
      </c>
      <c r="C14" s="79" t="s">
        <v>185</v>
      </c>
      <c r="D14" s="79" t="s">
        <v>289</v>
      </c>
      <c r="E14" s="84">
        <v>500</v>
      </c>
      <c r="F14" s="85">
        <f>IF($D14="","",SUMIFS('CARDS + MAIL'!$I$6:$I$155,'CARDS + MAIL'!$H$6:$H$155,$D14)+SUMIFS('DONATIONS + GIVING'!$G$6:$G$65,'DONATIONS + GIVING'!$F$6:$F$65,$D14)+SUMIFS('GIFT PLANNER'!$Q$6:$Q$205,'GIFT PLANNER'!$G$6:$G$205,$D14)+SUMIFS('STOCKING STUFFERS'!$J$6:$J$155,'STOCKING STUFFERS'!$F$6:$F$155,$D14)+SUMIFS('CHRISTMAS CALENDAR'!$K$6:$K$205,'CHRISTMAS CALENDAR'!$J$6:$J$205,$D14)+SUMIFS('DECOR INVENTORY'!$P$6:$P$105,'DECOR INVENTORY'!$O$6:$O$105,$D14)+SUMIFS('DECORATING PLAN'!$H$6:$H$65,'DECORATING PLAN'!$G$6:$G$65,$D14)+SUMIFS('TABLESCAPE + FLORALS'!$R$6:$R$65,'TABLESCAPE + FLORALS'!$Q$6:$Q$65,$D14)+SUMIFS('TRAVEL PLAN'!$M$6:$M$45,'TRAVEL PLAN'!$L$6:$L$45,$D14)+SUMIFS('VENDORS + APPOINTMENTS'!$M$6:$M$65,'VENDORS + APPOINTMENTS'!$L$6:$L$65,$D14)+SUMIFS('EVENTS + WARDROBE'!$N$6:$N$65,'EVENTS + WARDROBE'!$M$6:$M$65,$D14)+SUMIFS('GROCERY LIST'!$L$6:$L$205,'GROCERY LIST'!$K$6:$K$205,$D14)+SUMIFS('MEAL + BAKING PLAN'!$Q$6:$Q$155,'MEAL + BAKING PLAN'!$P$6:$P$155,$D14)+SUMIFS('TRADITIONS + BUCKET LIST'!$I$6:$I$85,'TRADITIONS + BUCKET LIST'!$H$6:$H$85,$D14))</f>
      </c>
      <c r="G14" s="85">
        <f>IF($D14="","",SUMIFS('CARDS + MAIL'!$J$6:$J$155,'CARDS + MAIL'!$H$6:$H$155,$D14)+SUMIFS('DONATIONS + GIVING'!$H$6:$H$65,'DONATIONS + GIVING'!$F$6:$F$65,$D14)+SUMIFS('GIFT PLANNER'!$R$6:$R$205,'GIFT PLANNER'!$G$6:$G$205,$D14)+SUMIFS('STOCKING STUFFERS'!$K$6:$K$155,'STOCKING STUFFERS'!$F$6:$F$155,$D14)+SUMIFS('CHRISTMAS CALENDAR'!$L$6:$L$205,'CHRISTMAS CALENDAR'!$J$6:$J$205,$D14)+SUMIFS('DECOR INVENTORY'!$Q$6:$Q$105,'DECOR INVENTORY'!$O$6:$O$105,$D14)+SUMIFS('DECORATING PLAN'!$I$6:$I$65,'DECORATING PLAN'!$G$6:$G$65,$D14)+SUMIFS('TABLESCAPE + FLORALS'!$S$6:$S$65,'TABLESCAPE + FLORALS'!$Q$6:$Q$65,$D14)+SUMIFS('TRAVEL PLAN'!$N$6:$N$45,'TRAVEL PLAN'!$L$6:$L$45,$D14)+SUMIFS('VENDORS + APPOINTMENTS'!$Q$6:$Q$65,'VENDORS + APPOINTMENTS'!$L$6:$L$65,$D14)+SUMIFS('EVENTS + WARDROBE'!$O$6:$O$65,'EVENTS + WARDROBE'!$M$6:$M$65,$D14)+SUMIFS('GROCERY LIST'!$M$6:$M$205,'GROCERY LIST'!$K$6:$K$205,$D14)+SUMIFS('MEAL + BAKING PLAN'!$R$6:$R$155,'MEAL + BAKING PLAN'!$P$6:$P$155,$D14)+SUMIFS('TRADITIONS + BUCKET LIST'!$J$6:$J$85,'TRADITIONS + BUCKET LIST'!$H$6:$H$85,$D14)-SUMIFS('RETURNS + EXCHANGES'!$R$6:$R$65,'RETURNS + EXCHANGES'!$K$6:$K$65,$D14))</f>
      </c>
      <c r="H14" s="85">
        <f>IF($D14="","",$E14-$G14)</f>
      </c>
      <c r="I14" s="88">
        <f>IF($D14="","",IF($E14=0,0,$G14/$E14))</f>
      </c>
      <c r="J14" s="78">
        <f>IF($D14="","",IF(AND($E14=0,$G14=0),"NOT SET",IF($G14&gt;$E14,"OVER BUDGET",IF($G14=$E14,"AT BUDGET",IF(AND($E14&gt;0,$G14/$E14&gt;=Set_WarnThreshold),"NEAR LIMIT","ON TRACK")))))</f>
      </c>
      <c r="K14" s="80" t="s">
        <v>273</v>
      </c>
      <c r="L14" s="78">
        <f>IF(AND($C14="Yes",$D14&lt;&gt;"",OR(N($E14)&gt;0,N($G14)&gt;0)),$E14+(100-ROW())/10000,"")</f>
      </c>
      <c r="M14" s="78">
        <f>IF($B14="",0,IF(COUNTIF('MASTER BUDGET'!$B$6:$B$25,$B14)&gt;1,1,0))</f>
      </c>
      <c r="N14" s="75"/>
    </row>
    <row r="15" ht="17" customHeight="1" spans="1:14" x14ac:dyDescent="0.25">
      <c r="A15" s="75"/>
      <c r="B15" s="79" t="s">
        <v>290</v>
      </c>
      <c r="C15" s="79" t="s">
        <v>185</v>
      </c>
      <c r="D15" s="79" t="s">
        <v>291</v>
      </c>
      <c r="E15" s="84">
        <v>1600</v>
      </c>
      <c r="F15" s="85">
        <f>IF($D15="","",SUMIFS('CARDS + MAIL'!$I$6:$I$155,'CARDS + MAIL'!$H$6:$H$155,$D15)+SUMIFS('DONATIONS + GIVING'!$G$6:$G$65,'DONATIONS + GIVING'!$F$6:$F$65,$D15)+SUMIFS('GIFT PLANNER'!$Q$6:$Q$205,'GIFT PLANNER'!$G$6:$G$205,$D15)+SUMIFS('STOCKING STUFFERS'!$J$6:$J$155,'STOCKING STUFFERS'!$F$6:$F$155,$D15)+SUMIFS('CHRISTMAS CALENDAR'!$K$6:$K$205,'CHRISTMAS CALENDAR'!$J$6:$J$205,$D15)+SUMIFS('DECOR INVENTORY'!$P$6:$P$105,'DECOR INVENTORY'!$O$6:$O$105,$D15)+SUMIFS('DECORATING PLAN'!$H$6:$H$65,'DECORATING PLAN'!$G$6:$G$65,$D15)+SUMIFS('TABLESCAPE + FLORALS'!$R$6:$R$65,'TABLESCAPE + FLORALS'!$Q$6:$Q$65,$D15)+SUMIFS('TRAVEL PLAN'!$M$6:$M$45,'TRAVEL PLAN'!$L$6:$L$45,$D15)+SUMIFS('VENDORS + APPOINTMENTS'!$M$6:$M$65,'VENDORS + APPOINTMENTS'!$L$6:$L$65,$D15)+SUMIFS('EVENTS + WARDROBE'!$N$6:$N$65,'EVENTS + WARDROBE'!$M$6:$M$65,$D15)+SUMIFS('GROCERY LIST'!$L$6:$L$205,'GROCERY LIST'!$K$6:$K$205,$D15)+SUMIFS('MEAL + BAKING PLAN'!$Q$6:$Q$155,'MEAL + BAKING PLAN'!$P$6:$P$155,$D15)+SUMIFS('TRADITIONS + BUCKET LIST'!$I$6:$I$85,'TRADITIONS + BUCKET LIST'!$H$6:$H$85,$D15))</f>
      </c>
      <c r="G15" s="85">
        <f>IF($D15="","",SUMIFS('CARDS + MAIL'!$J$6:$J$155,'CARDS + MAIL'!$H$6:$H$155,$D15)+SUMIFS('DONATIONS + GIVING'!$H$6:$H$65,'DONATIONS + GIVING'!$F$6:$F$65,$D15)+SUMIFS('GIFT PLANNER'!$R$6:$R$205,'GIFT PLANNER'!$G$6:$G$205,$D15)+SUMIFS('STOCKING STUFFERS'!$K$6:$K$155,'STOCKING STUFFERS'!$F$6:$F$155,$D15)+SUMIFS('CHRISTMAS CALENDAR'!$L$6:$L$205,'CHRISTMAS CALENDAR'!$J$6:$J$205,$D15)+SUMIFS('DECOR INVENTORY'!$Q$6:$Q$105,'DECOR INVENTORY'!$O$6:$O$105,$D15)+SUMIFS('DECORATING PLAN'!$I$6:$I$65,'DECORATING PLAN'!$G$6:$G$65,$D15)+SUMIFS('TABLESCAPE + FLORALS'!$S$6:$S$65,'TABLESCAPE + FLORALS'!$Q$6:$Q$65,$D15)+SUMIFS('TRAVEL PLAN'!$N$6:$N$45,'TRAVEL PLAN'!$L$6:$L$45,$D15)+SUMIFS('VENDORS + APPOINTMENTS'!$Q$6:$Q$65,'VENDORS + APPOINTMENTS'!$L$6:$L$65,$D15)+SUMIFS('EVENTS + WARDROBE'!$O$6:$O$65,'EVENTS + WARDROBE'!$M$6:$M$65,$D15)+SUMIFS('GROCERY LIST'!$M$6:$M$205,'GROCERY LIST'!$K$6:$K$205,$D15)+SUMIFS('MEAL + BAKING PLAN'!$R$6:$R$155,'MEAL + BAKING PLAN'!$P$6:$P$155,$D15)+SUMIFS('TRADITIONS + BUCKET LIST'!$J$6:$J$85,'TRADITIONS + BUCKET LIST'!$H$6:$H$85,$D15)-SUMIFS('RETURNS + EXCHANGES'!$R$6:$R$65,'RETURNS + EXCHANGES'!$K$6:$K$65,$D15))</f>
      </c>
      <c r="H15" s="85">
        <f>IF($D15="","",$E15-$G15)</f>
      </c>
      <c r="I15" s="88">
        <f>IF($D15="","",IF($E15=0,0,$G15/$E15))</f>
      </c>
      <c r="J15" s="78">
        <f>IF($D15="","",IF(AND($E15=0,$G15=0),"NOT SET",IF($G15&gt;$E15,"OVER BUDGET",IF($G15=$E15,"AT BUDGET",IF(AND($E15&gt;0,$G15/$E15&gt;=Set_WarnThreshold),"NEAR LIMIT","ON TRACK")))))</f>
      </c>
      <c r="K15" s="80" t="s">
        <v>273</v>
      </c>
      <c r="L15" s="78">
        <f>IF(AND($C15="Yes",$D15&lt;&gt;"",OR(N($E15)&gt;0,N($G15)&gt;0)),$E15+(100-ROW())/10000,"")</f>
      </c>
      <c r="M15" s="78">
        <f>IF($B15="",0,IF(COUNTIF('MASTER BUDGET'!$B$6:$B$25,$B15)&gt;1,1,0))</f>
      </c>
      <c r="N15" s="75"/>
    </row>
    <row r="16" ht="17" customHeight="1" spans="1:14" x14ac:dyDescent="0.25">
      <c r="A16" s="75"/>
      <c r="B16" s="79" t="s">
        <v>292</v>
      </c>
      <c r="C16" s="79" t="s">
        <v>185</v>
      </c>
      <c r="D16" s="79" t="s">
        <v>293</v>
      </c>
      <c r="E16" s="84">
        <v>850</v>
      </c>
      <c r="F16" s="85">
        <f>IF($D16="","",SUMIFS('CARDS + MAIL'!$I$6:$I$155,'CARDS + MAIL'!$H$6:$H$155,$D16)+SUMIFS('DONATIONS + GIVING'!$G$6:$G$65,'DONATIONS + GIVING'!$F$6:$F$65,$D16)+SUMIFS('GIFT PLANNER'!$Q$6:$Q$205,'GIFT PLANNER'!$G$6:$G$205,$D16)+SUMIFS('STOCKING STUFFERS'!$J$6:$J$155,'STOCKING STUFFERS'!$F$6:$F$155,$D16)+SUMIFS('CHRISTMAS CALENDAR'!$K$6:$K$205,'CHRISTMAS CALENDAR'!$J$6:$J$205,$D16)+SUMIFS('DECOR INVENTORY'!$P$6:$P$105,'DECOR INVENTORY'!$O$6:$O$105,$D16)+SUMIFS('DECORATING PLAN'!$H$6:$H$65,'DECORATING PLAN'!$G$6:$G$65,$D16)+SUMIFS('TABLESCAPE + FLORALS'!$R$6:$R$65,'TABLESCAPE + FLORALS'!$Q$6:$Q$65,$D16)+SUMIFS('TRAVEL PLAN'!$M$6:$M$45,'TRAVEL PLAN'!$L$6:$L$45,$D16)+SUMIFS('VENDORS + APPOINTMENTS'!$M$6:$M$65,'VENDORS + APPOINTMENTS'!$L$6:$L$65,$D16)+SUMIFS('EVENTS + WARDROBE'!$N$6:$N$65,'EVENTS + WARDROBE'!$M$6:$M$65,$D16)+SUMIFS('GROCERY LIST'!$L$6:$L$205,'GROCERY LIST'!$K$6:$K$205,$D16)+SUMIFS('MEAL + BAKING PLAN'!$Q$6:$Q$155,'MEAL + BAKING PLAN'!$P$6:$P$155,$D16)+SUMIFS('TRADITIONS + BUCKET LIST'!$I$6:$I$85,'TRADITIONS + BUCKET LIST'!$H$6:$H$85,$D16))</f>
      </c>
      <c r="G16" s="85">
        <f>IF($D16="","",SUMIFS('CARDS + MAIL'!$J$6:$J$155,'CARDS + MAIL'!$H$6:$H$155,$D16)+SUMIFS('DONATIONS + GIVING'!$H$6:$H$65,'DONATIONS + GIVING'!$F$6:$F$65,$D16)+SUMIFS('GIFT PLANNER'!$R$6:$R$205,'GIFT PLANNER'!$G$6:$G$205,$D16)+SUMIFS('STOCKING STUFFERS'!$K$6:$K$155,'STOCKING STUFFERS'!$F$6:$F$155,$D16)+SUMIFS('CHRISTMAS CALENDAR'!$L$6:$L$205,'CHRISTMAS CALENDAR'!$J$6:$J$205,$D16)+SUMIFS('DECOR INVENTORY'!$Q$6:$Q$105,'DECOR INVENTORY'!$O$6:$O$105,$D16)+SUMIFS('DECORATING PLAN'!$I$6:$I$65,'DECORATING PLAN'!$G$6:$G$65,$D16)+SUMIFS('TABLESCAPE + FLORALS'!$S$6:$S$65,'TABLESCAPE + FLORALS'!$Q$6:$Q$65,$D16)+SUMIFS('TRAVEL PLAN'!$N$6:$N$45,'TRAVEL PLAN'!$L$6:$L$45,$D16)+SUMIFS('VENDORS + APPOINTMENTS'!$Q$6:$Q$65,'VENDORS + APPOINTMENTS'!$L$6:$L$65,$D16)+SUMIFS('EVENTS + WARDROBE'!$O$6:$O$65,'EVENTS + WARDROBE'!$M$6:$M$65,$D16)+SUMIFS('GROCERY LIST'!$M$6:$M$205,'GROCERY LIST'!$K$6:$K$205,$D16)+SUMIFS('MEAL + BAKING PLAN'!$R$6:$R$155,'MEAL + BAKING PLAN'!$P$6:$P$155,$D16)+SUMIFS('TRADITIONS + BUCKET LIST'!$J$6:$J$85,'TRADITIONS + BUCKET LIST'!$H$6:$H$85,$D16)-SUMIFS('RETURNS + EXCHANGES'!$R$6:$R$65,'RETURNS + EXCHANGES'!$K$6:$K$65,$D16))</f>
      </c>
      <c r="H16" s="85">
        <f>IF($D16="","",$E16-$G16)</f>
      </c>
      <c r="I16" s="88">
        <f>IF($D16="","",IF($E16=0,0,$G16/$E16))</f>
      </c>
      <c r="J16" s="78">
        <f>IF($D16="","",IF(AND($E16=0,$G16=0),"NOT SET",IF($G16&gt;$E16,"OVER BUDGET",IF($G16=$E16,"AT BUDGET",IF(AND($E16&gt;0,$G16/$E16&gt;=Set_WarnThreshold),"NEAR LIMIT","ON TRACK")))))</f>
      </c>
      <c r="K16" s="80" t="s">
        <v>273</v>
      </c>
      <c r="L16" s="78">
        <f>IF(AND($C16="Yes",$D16&lt;&gt;"",OR(N($E16)&gt;0,N($G16)&gt;0)),$E16+(100-ROW())/10000,"")</f>
      </c>
      <c r="M16" s="78">
        <f>IF($B16="",0,IF(COUNTIF('MASTER BUDGET'!$B$6:$B$25,$B16)&gt;1,1,0))</f>
      </c>
      <c r="N16" s="75"/>
    </row>
    <row r="17" ht="17" customHeight="1" spans="1:14" x14ac:dyDescent="0.25">
      <c r="A17" s="75"/>
      <c r="B17" s="79" t="s">
        <v>294</v>
      </c>
      <c r="C17" s="79" t="s">
        <v>185</v>
      </c>
      <c r="D17" s="79" t="s">
        <v>295</v>
      </c>
      <c r="E17" s="84">
        <v>200</v>
      </c>
      <c r="F17" s="85">
        <f>IF($D17="","",SUMIFS('CARDS + MAIL'!$I$6:$I$155,'CARDS + MAIL'!$H$6:$H$155,$D17)+SUMIFS('DONATIONS + GIVING'!$G$6:$G$65,'DONATIONS + GIVING'!$F$6:$F$65,$D17)+SUMIFS('GIFT PLANNER'!$Q$6:$Q$205,'GIFT PLANNER'!$G$6:$G$205,$D17)+SUMIFS('STOCKING STUFFERS'!$J$6:$J$155,'STOCKING STUFFERS'!$F$6:$F$155,$D17)+SUMIFS('CHRISTMAS CALENDAR'!$K$6:$K$205,'CHRISTMAS CALENDAR'!$J$6:$J$205,$D17)+SUMIFS('DECOR INVENTORY'!$P$6:$P$105,'DECOR INVENTORY'!$O$6:$O$105,$D17)+SUMIFS('DECORATING PLAN'!$H$6:$H$65,'DECORATING PLAN'!$G$6:$G$65,$D17)+SUMIFS('TABLESCAPE + FLORALS'!$R$6:$R$65,'TABLESCAPE + FLORALS'!$Q$6:$Q$65,$D17)+SUMIFS('TRAVEL PLAN'!$M$6:$M$45,'TRAVEL PLAN'!$L$6:$L$45,$D17)+SUMIFS('VENDORS + APPOINTMENTS'!$M$6:$M$65,'VENDORS + APPOINTMENTS'!$L$6:$L$65,$D17)+SUMIFS('EVENTS + WARDROBE'!$N$6:$N$65,'EVENTS + WARDROBE'!$M$6:$M$65,$D17)+SUMIFS('GROCERY LIST'!$L$6:$L$205,'GROCERY LIST'!$K$6:$K$205,$D17)+SUMIFS('MEAL + BAKING PLAN'!$Q$6:$Q$155,'MEAL + BAKING PLAN'!$P$6:$P$155,$D17)+SUMIFS('TRADITIONS + BUCKET LIST'!$I$6:$I$85,'TRADITIONS + BUCKET LIST'!$H$6:$H$85,$D17))</f>
      </c>
      <c r="G17" s="85">
        <f>IF($D17="","",SUMIFS('CARDS + MAIL'!$J$6:$J$155,'CARDS + MAIL'!$H$6:$H$155,$D17)+SUMIFS('DONATIONS + GIVING'!$H$6:$H$65,'DONATIONS + GIVING'!$F$6:$F$65,$D17)+SUMIFS('GIFT PLANNER'!$R$6:$R$205,'GIFT PLANNER'!$G$6:$G$205,$D17)+SUMIFS('STOCKING STUFFERS'!$K$6:$K$155,'STOCKING STUFFERS'!$F$6:$F$155,$D17)+SUMIFS('CHRISTMAS CALENDAR'!$L$6:$L$205,'CHRISTMAS CALENDAR'!$J$6:$J$205,$D17)+SUMIFS('DECOR INVENTORY'!$Q$6:$Q$105,'DECOR INVENTORY'!$O$6:$O$105,$D17)+SUMIFS('DECORATING PLAN'!$I$6:$I$65,'DECORATING PLAN'!$G$6:$G$65,$D17)+SUMIFS('TABLESCAPE + FLORALS'!$S$6:$S$65,'TABLESCAPE + FLORALS'!$Q$6:$Q$65,$D17)+SUMIFS('TRAVEL PLAN'!$N$6:$N$45,'TRAVEL PLAN'!$L$6:$L$45,$D17)+SUMIFS('VENDORS + APPOINTMENTS'!$Q$6:$Q$65,'VENDORS + APPOINTMENTS'!$L$6:$L$65,$D17)+SUMIFS('EVENTS + WARDROBE'!$O$6:$O$65,'EVENTS + WARDROBE'!$M$6:$M$65,$D17)+SUMIFS('GROCERY LIST'!$M$6:$M$205,'GROCERY LIST'!$K$6:$K$205,$D17)+SUMIFS('MEAL + BAKING PLAN'!$R$6:$R$155,'MEAL + BAKING PLAN'!$P$6:$P$155,$D17)+SUMIFS('TRADITIONS + BUCKET LIST'!$J$6:$J$85,'TRADITIONS + BUCKET LIST'!$H$6:$H$85,$D17)-SUMIFS('RETURNS + EXCHANGES'!$R$6:$R$65,'RETURNS + EXCHANGES'!$K$6:$K$65,$D17))</f>
      </c>
      <c r="H17" s="85">
        <f>IF($D17="","",$E17-$G17)</f>
      </c>
      <c r="I17" s="88">
        <f>IF($D17="","",IF($E17=0,0,$G17/$E17))</f>
      </c>
      <c r="J17" s="78">
        <f>IF($D17="","",IF(AND($E17=0,$G17=0),"NOT SET",IF($G17&gt;$E17,"OVER BUDGET",IF($G17=$E17,"AT BUDGET",IF(AND($E17&gt;0,$G17/$E17&gt;=Set_WarnThreshold),"NEAR LIMIT","ON TRACK")))))</f>
      </c>
      <c r="K17" s="80" t="s">
        <v>273</v>
      </c>
      <c r="L17" s="78">
        <f>IF(AND($C17="Yes",$D17&lt;&gt;"",OR(N($E17)&gt;0,N($G17)&gt;0)),$E17+(100-ROW())/10000,"")</f>
      </c>
      <c r="M17" s="78">
        <f>IF($B17="",0,IF(COUNTIF('MASTER BUDGET'!$B$6:$B$25,$B17)&gt;1,1,0))</f>
      </c>
      <c r="N17" s="75"/>
    </row>
    <row r="18" ht="17" customHeight="1" spans="1:14" x14ac:dyDescent="0.25">
      <c r="A18" s="75"/>
      <c r="B18" s="79"/>
      <c r="C18" s="79"/>
      <c r="D18" s="79"/>
      <c r="E18" s="86"/>
      <c r="F18" s="85">
        <f>IF($D18="","",SUMIFS('CARDS + MAIL'!$I$6:$I$155,'CARDS + MAIL'!$H$6:$H$155,$D18)+SUMIFS('DONATIONS + GIVING'!$G$6:$G$65,'DONATIONS + GIVING'!$F$6:$F$65,$D18)+SUMIFS('GIFT PLANNER'!$Q$6:$Q$205,'GIFT PLANNER'!$G$6:$G$205,$D18)+SUMIFS('STOCKING STUFFERS'!$J$6:$J$155,'STOCKING STUFFERS'!$F$6:$F$155,$D18)+SUMIFS('CHRISTMAS CALENDAR'!$K$6:$K$205,'CHRISTMAS CALENDAR'!$J$6:$J$205,$D18)+SUMIFS('DECOR INVENTORY'!$P$6:$P$105,'DECOR INVENTORY'!$O$6:$O$105,$D18)+SUMIFS('DECORATING PLAN'!$H$6:$H$65,'DECORATING PLAN'!$G$6:$G$65,$D18)+SUMIFS('TABLESCAPE + FLORALS'!$R$6:$R$65,'TABLESCAPE + FLORALS'!$Q$6:$Q$65,$D18)+SUMIFS('TRAVEL PLAN'!$M$6:$M$45,'TRAVEL PLAN'!$L$6:$L$45,$D18)+SUMIFS('VENDORS + APPOINTMENTS'!$M$6:$M$65,'VENDORS + APPOINTMENTS'!$L$6:$L$65,$D18)+SUMIFS('EVENTS + WARDROBE'!$N$6:$N$65,'EVENTS + WARDROBE'!$M$6:$M$65,$D18)+SUMIFS('GROCERY LIST'!$L$6:$L$205,'GROCERY LIST'!$K$6:$K$205,$D18)+SUMIFS('MEAL + BAKING PLAN'!$Q$6:$Q$155,'MEAL + BAKING PLAN'!$P$6:$P$155,$D18)+SUMIFS('TRADITIONS + BUCKET LIST'!$I$6:$I$85,'TRADITIONS + BUCKET LIST'!$H$6:$H$85,$D18))</f>
      </c>
      <c r="G18" s="85">
        <f>IF($D18="","",SUMIFS('CARDS + MAIL'!$J$6:$J$155,'CARDS + MAIL'!$H$6:$H$155,$D18)+SUMIFS('DONATIONS + GIVING'!$H$6:$H$65,'DONATIONS + GIVING'!$F$6:$F$65,$D18)+SUMIFS('GIFT PLANNER'!$R$6:$R$205,'GIFT PLANNER'!$G$6:$G$205,$D18)+SUMIFS('STOCKING STUFFERS'!$K$6:$K$155,'STOCKING STUFFERS'!$F$6:$F$155,$D18)+SUMIFS('CHRISTMAS CALENDAR'!$L$6:$L$205,'CHRISTMAS CALENDAR'!$J$6:$J$205,$D18)+SUMIFS('DECOR INVENTORY'!$Q$6:$Q$105,'DECOR INVENTORY'!$O$6:$O$105,$D18)+SUMIFS('DECORATING PLAN'!$I$6:$I$65,'DECORATING PLAN'!$G$6:$G$65,$D18)+SUMIFS('TABLESCAPE + FLORALS'!$S$6:$S$65,'TABLESCAPE + FLORALS'!$Q$6:$Q$65,$D18)+SUMIFS('TRAVEL PLAN'!$N$6:$N$45,'TRAVEL PLAN'!$L$6:$L$45,$D18)+SUMIFS('VENDORS + APPOINTMENTS'!$Q$6:$Q$65,'VENDORS + APPOINTMENTS'!$L$6:$L$65,$D18)+SUMIFS('EVENTS + WARDROBE'!$O$6:$O$65,'EVENTS + WARDROBE'!$M$6:$M$65,$D18)+SUMIFS('GROCERY LIST'!$M$6:$M$205,'GROCERY LIST'!$K$6:$K$205,$D18)+SUMIFS('MEAL + BAKING PLAN'!$R$6:$R$155,'MEAL + BAKING PLAN'!$P$6:$P$155,$D18)+SUMIFS('TRADITIONS + BUCKET LIST'!$J$6:$J$85,'TRADITIONS + BUCKET LIST'!$H$6:$H$85,$D18)-SUMIFS('RETURNS + EXCHANGES'!$R$6:$R$65,'RETURNS + EXCHANGES'!$K$6:$K$65,$D18))</f>
      </c>
      <c r="H18" s="85">
        <f>IF($D18="","",$E18-$G18)</f>
      </c>
      <c r="I18" s="88">
        <f>IF($D18="","",IF($E18=0,0,$G18/$E18))</f>
      </c>
      <c r="J18" s="78">
        <f>IF($D18="","",IF(AND($E18=0,$G18=0),"NOT SET",IF($G18&gt;$E18,"OVER BUDGET",IF($G18=$E18,"AT BUDGET",IF(AND($E18&gt;0,$G18/$E18&gt;=Set_WarnThreshold),"NEAR LIMIT","ON TRACK")))))</f>
      </c>
      <c r="K18" s="80"/>
      <c r="L18" s="78">
        <f>IF(AND($C18="Yes",$D18&lt;&gt;"",OR(N($E18)&gt;0,N($G18)&gt;0)),$E18+(100-ROW())/10000,"")</f>
      </c>
      <c r="M18" s="78">
        <f>IF($B18="",0,IF(COUNTIF('MASTER BUDGET'!$B$6:$B$25,$B18)&gt;1,1,0))</f>
      </c>
      <c r="N18" s="75"/>
    </row>
    <row r="19" ht="17" customHeight="1" spans="1:14" x14ac:dyDescent="0.25">
      <c r="A19" s="75"/>
      <c r="B19" s="79"/>
      <c r="C19" s="79"/>
      <c r="D19" s="79"/>
      <c r="E19" s="86"/>
      <c r="F19" s="85">
        <f>IF($D19="","",SUMIFS('CARDS + MAIL'!$I$6:$I$155,'CARDS + MAIL'!$H$6:$H$155,$D19)+SUMIFS('DONATIONS + GIVING'!$G$6:$G$65,'DONATIONS + GIVING'!$F$6:$F$65,$D19)+SUMIFS('GIFT PLANNER'!$Q$6:$Q$205,'GIFT PLANNER'!$G$6:$G$205,$D19)+SUMIFS('STOCKING STUFFERS'!$J$6:$J$155,'STOCKING STUFFERS'!$F$6:$F$155,$D19)+SUMIFS('CHRISTMAS CALENDAR'!$K$6:$K$205,'CHRISTMAS CALENDAR'!$J$6:$J$205,$D19)+SUMIFS('DECOR INVENTORY'!$P$6:$P$105,'DECOR INVENTORY'!$O$6:$O$105,$D19)+SUMIFS('DECORATING PLAN'!$H$6:$H$65,'DECORATING PLAN'!$G$6:$G$65,$D19)+SUMIFS('TABLESCAPE + FLORALS'!$R$6:$R$65,'TABLESCAPE + FLORALS'!$Q$6:$Q$65,$D19)+SUMIFS('TRAVEL PLAN'!$M$6:$M$45,'TRAVEL PLAN'!$L$6:$L$45,$D19)+SUMIFS('VENDORS + APPOINTMENTS'!$M$6:$M$65,'VENDORS + APPOINTMENTS'!$L$6:$L$65,$D19)+SUMIFS('EVENTS + WARDROBE'!$N$6:$N$65,'EVENTS + WARDROBE'!$M$6:$M$65,$D19)+SUMIFS('GROCERY LIST'!$L$6:$L$205,'GROCERY LIST'!$K$6:$K$205,$D19)+SUMIFS('MEAL + BAKING PLAN'!$Q$6:$Q$155,'MEAL + BAKING PLAN'!$P$6:$P$155,$D19)+SUMIFS('TRADITIONS + BUCKET LIST'!$I$6:$I$85,'TRADITIONS + BUCKET LIST'!$H$6:$H$85,$D19))</f>
      </c>
      <c r="G19" s="85">
        <f>IF($D19="","",SUMIFS('CARDS + MAIL'!$J$6:$J$155,'CARDS + MAIL'!$H$6:$H$155,$D19)+SUMIFS('DONATIONS + GIVING'!$H$6:$H$65,'DONATIONS + GIVING'!$F$6:$F$65,$D19)+SUMIFS('GIFT PLANNER'!$R$6:$R$205,'GIFT PLANNER'!$G$6:$G$205,$D19)+SUMIFS('STOCKING STUFFERS'!$K$6:$K$155,'STOCKING STUFFERS'!$F$6:$F$155,$D19)+SUMIFS('CHRISTMAS CALENDAR'!$L$6:$L$205,'CHRISTMAS CALENDAR'!$J$6:$J$205,$D19)+SUMIFS('DECOR INVENTORY'!$Q$6:$Q$105,'DECOR INVENTORY'!$O$6:$O$105,$D19)+SUMIFS('DECORATING PLAN'!$I$6:$I$65,'DECORATING PLAN'!$G$6:$G$65,$D19)+SUMIFS('TABLESCAPE + FLORALS'!$S$6:$S$65,'TABLESCAPE + FLORALS'!$Q$6:$Q$65,$D19)+SUMIFS('TRAVEL PLAN'!$N$6:$N$45,'TRAVEL PLAN'!$L$6:$L$45,$D19)+SUMIFS('VENDORS + APPOINTMENTS'!$Q$6:$Q$65,'VENDORS + APPOINTMENTS'!$L$6:$L$65,$D19)+SUMIFS('EVENTS + WARDROBE'!$O$6:$O$65,'EVENTS + WARDROBE'!$M$6:$M$65,$D19)+SUMIFS('GROCERY LIST'!$M$6:$M$205,'GROCERY LIST'!$K$6:$K$205,$D19)+SUMIFS('MEAL + BAKING PLAN'!$R$6:$R$155,'MEAL + BAKING PLAN'!$P$6:$P$155,$D19)+SUMIFS('TRADITIONS + BUCKET LIST'!$J$6:$J$85,'TRADITIONS + BUCKET LIST'!$H$6:$H$85,$D19)-SUMIFS('RETURNS + EXCHANGES'!$R$6:$R$65,'RETURNS + EXCHANGES'!$K$6:$K$65,$D19))</f>
      </c>
      <c r="H19" s="85">
        <f>IF($D19="","",$E19-$G19)</f>
      </c>
      <c r="I19" s="88">
        <f>IF($D19="","",IF($E19=0,0,$G19/$E19))</f>
      </c>
      <c r="J19" s="78">
        <f>IF($D19="","",IF(AND($E19=0,$G19=0),"NOT SET",IF($G19&gt;$E19,"OVER BUDGET",IF($G19=$E19,"AT BUDGET",IF(AND($E19&gt;0,$G19/$E19&gt;=Set_WarnThreshold),"NEAR LIMIT","ON TRACK")))))</f>
      </c>
      <c r="K19" s="80"/>
      <c r="L19" s="78">
        <f>IF(AND($C19="Yes",$D19&lt;&gt;"",OR(N($E19)&gt;0,N($G19)&gt;0)),$E19+(100-ROW())/10000,"")</f>
      </c>
      <c r="M19" s="78">
        <f>IF($B19="",0,IF(COUNTIF('MASTER BUDGET'!$B$6:$B$25,$B19)&gt;1,1,0))</f>
      </c>
      <c r="N19" s="75"/>
    </row>
    <row r="20" ht="17" customHeight="1" spans="1:14" x14ac:dyDescent="0.25">
      <c r="A20" s="75"/>
      <c r="B20" s="79"/>
      <c r="C20" s="79"/>
      <c r="D20" s="79"/>
      <c r="E20" s="86"/>
      <c r="F20" s="85">
        <f>IF($D20="","",SUMIFS('CARDS + MAIL'!$I$6:$I$155,'CARDS + MAIL'!$H$6:$H$155,$D20)+SUMIFS('DONATIONS + GIVING'!$G$6:$G$65,'DONATIONS + GIVING'!$F$6:$F$65,$D20)+SUMIFS('GIFT PLANNER'!$Q$6:$Q$205,'GIFT PLANNER'!$G$6:$G$205,$D20)+SUMIFS('STOCKING STUFFERS'!$J$6:$J$155,'STOCKING STUFFERS'!$F$6:$F$155,$D20)+SUMIFS('CHRISTMAS CALENDAR'!$K$6:$K$205,'CHRISTMAS CALENDAR'!$J$6:$J$205,$D20)+SUMIFS('DECOR INVENTORY'!$P$6:$P$105,'DECOR INVENTORY'!$O$6:$O$105,$D20)+SUMIFS('DECORATING PLAN'!$H$6:$H$65,'DECORATING PLAN'!$G$6:$G$65,$D20)+SUMIFS('TABLESCAPE + FLORALS'!$R$6:$R$65,'TABLESCAPE + FLORALS'!$Q$6:$Q$65,$D20)+SUMIFS('TRAVEL PLAN'!$M$6:$M$45,'TRAVEL PLAN'!$L$6:$L$45,$D20)+SUMIFS('VENDORS + APPOINTMENTS'!$M$6:$M$65,'VENDORS + APPOINTMENTS'!$L$6:$L$65,$D20)+SUMIFS('EVENTS + WARDROBE'!$N$6:$N$65,'EVENTS + WARDROBE'!$M$6:$M$65,$D20)+SUMIFS('GROCERY LIST'!$L$6:$L$205,'GROCERY LIST'!$K$6:$K$205,$D20)+SUMIFS('MEAL + BAKING PLAN'!$Q$6:$Q$155,'MEAL + BAKING PLAN'!$P$6:$P$155,$D20)+SUMIFS('TRADITIONS + BUCKET LIST'!$I$6:$I$85,'TRADITIONS + BUCKET LIST'!$H$6:$H$85,$D20))</f>
      </c>
      <c r="G20" s="85">
        <f>IF($D20="","",SUMIFS('CARDS + MAIL'!$J$6:$J$155,'CARDS + MAIL'!$H$6:$H$155,$D20)+SUMIFS('DONATIONS + GIVING'!$H$6:$H$65,'DONATIONS + GIVING'!$F$6:$F$65,$D20)+SUMIFS('GIFT PLANNER'!$R$6:$R$205,'GIFT PLANNER'!$G$6:$G$205,$D20)+SUMIFS('STOCKING STUFFERS'!$K$6:$K$155,'STOCKING STUFFERS'!$F$6:$F$155,$D20)+SUMIFS('CHRISTMAS CALENDAR'!$L$6:$L$205,'CHRISTMAS CALENDAR'!$J$6:$J$205,$D20)+SUMIFS('DECOR INVENTORY'!$Q$6:$Q$105,'DECOR INVENTORY'!$O$6:$O$105,$D20)+SUMIFS('DECORATING PLAN'!$I$6:$I$65,'DECORATING PLAN'!$G$6:$G$65,$D20)+SUMIFS('TABLESCAPE + FLORALS'!$S$6:$S$65,'TABLESCAPE + FLORALS'!$Q$6:$Q$65,$D20)+SUMIFS('TRAVEL PLAN'!$N$6:$N$45,'TRAVEL PLAN'!$L$6:$L$45,$D20)+SUMIFS('VENDORS + APPOINTMENTS'!$Q$6:$Q$65,'VENDORS + APPOINTMENTS'!$L$6:$L$65,$D20)+SUMIFS('EVENTS + WARDROBE'!$O$6:$O$65,'EVENTS + WARDROBE'!$M$6:$M$65,$D20)+SUMIFS('GROCERY LIST'!$M$6:$M$205,'GROCERY LIST'!$K$6:$K$205,$D20)+SUMIFS('MEAL + BAKING PLAN'!$R$6:$R$155,'MEAL + BAKING PLAN'!$P$6:$P$155,$D20)+SUMIFS('TRADITIONS + BUCKET LIST'!$J$6:$J$85,'TRADITIONS + BUCKET LIST'!$H$6:$H$85,$D20)-SUMIFS('RETURNS + EXCHANGES'!$R$6:$R$65,'RETURNS + EXCHANGES'!$K$6:$K$65,$D20))</f>
      </c>
      <c r="H20" s="85">
        <f>IF($D20="","",$E20-$G20)</f>
      </c>
      <c r="I20" s="88">
        <f>IF($D20="","",IF($E20=0,0,$G20/$E20))</f>
      </c>
      <c r="J20" s="78">
        <f>IF($D20="","",IF(AND($E20=0,$G20=0),"NOT SET",IF($G20&gt;$E20,"OVER BUDGET",IF($G20=$E20,"AT BUDGET",IF(AND($E20&gt;0,$G20/$E20&gt;=Set_WarnThreshold),"NEAR LIMIT","ON TRACK")))))</f>
      </c>
      <c r="K20" s="80"/>
      <c r="L20" s="78">
        <f>IF(AND($C20="Yes",$D20&lt;&gt;"",OR(N($E20)&gt;0,N($G20)&gt;0)),$E20+(100-ROW())/10000,"")</f>
      </c>
      <c r="M20" s="78">
        <f>IF($B20="",0,IF(COUNTIF('MASTER BUDGET'!$B$6:$B$25,$B20)&gt;1,1,0))</f>
      </c>
      <c r="N20" s="75"/>
    </row>
    <row r="21" ht="17" customHeight="1" spans="1:14" x14ac:dyDescent="0.25">
      <c r="A21" s="75"/>
      <c r="B21" s="79"/>
      <c r="C21" s="79"/>
      <c r="D21" s="79"/>
      <c r="E21" s="86"/>
      <c r="F21" s="85">
        <f>IF($D21="","",SUMIFS('CARDS + MAIL'!$I$6:$I$155,'CARDS + MAIL'!$H$6:$H$155,$D21)+SUMIFS('DONATIONS + GIVING'!$G$6:$G$65,'DONATIONS + GIVING'!$F$6:$F$65,$D21)+SUMIFS('GIFT PLANNER'!$Q$6:$Q$205,'GIFT PLANNER'!$G$6:$G$205,$D21)+SUMIFS('STOCKING STUFFERS'!$J$6:$J$155,'STOCKING STUFFERS'!$F$6:$F$155,$D21)+SUMIFS('CHRISTMAS CALENDAR'!$K$6:$K$205,'CHRISTMAS CALENDAR'!$J$6:$J$205,$D21)+SUMIFS('DECOR INVENTORY'!$P$6:$P$105,'DECOR INVENTORY'!$O$6:$O$105,$D21)+SUMIFS('DECORATING PLAN'!$H$6:$H$65,'DECORATING PLAN'!$G$6:$G$65,$D21)+SUMIFS('TABLESCAPE + FLORALS'!$R$6:$R$65,'TABLESCAPE + FLORALS'!$Q$6:$Q$65,$D21)+SUMIFS('TRAVEL PLAN'!$M$6:$M$45,'TRAVEL PLAN'!$L$6:$L$45,$D21)+SUMIFS('VENDORS + APPOINTMENTS'!$M$6:$M$65,'VENDORS + APPOINTMENTS'!$L$6:$L$65,$D21)+SUMIFS('EVENTS + WARDROBE'!$N$6:$N$65,'EVENTS + WARDROBE'!$M$6:$M$65,$D21)+SUMIFS('GROCERY LIST'!$L$6:$L$205,'GROCERY LIST'!$K$6:$K$205,$D21)+SUMIFS('MEAL + BAKING PLAN'!$Q$6:$Q$155,'MEAL + BAKING PLAN'!$P$6:$P$155,$D21)+SUMIFS('TRADITIONS + BUCKET LIST'!$I$6:$I$85,'TRADITIONS + BUCKET LIST'!$H$6:$H$85,$D21))</f>
      </c>
      <c r="G21" s="85">
        <f>IF($D21="","",SUMIFS('CARDS + MAIL'!$J$6:$J$155,'CARDS + MAIL'!$H$6:$H$155,$D21)+SUMIFS('DONATIONS + GIVING'!$H$6:$H$65,'DONATIONS + GIVING'!$F$6:$F$65,$D21)+SUMIFS('GIFT PLANNER'!$R$6:$R$205,'GIFT PLANNER'!$G$6:$G$205,$D21)+SUMIFS('STOCKING STUFFERS'!$K$6:$K$155,'STOCKING STUFFERS'!$F$6:$F$155,$D21)+SUMIFS('CHRISTMAS CALENDAR'!$L$6:$L$205,'CHRISTMAS CALENDAR'!$J$6:$J$205,$D21)+SUMIFS('DECOR INVENTORY'!$Q$6:$Q$105,'DECOR INVENTORY'!$O$6:$O$105,$D21)+SUMIFS('DECORATING PLAN'!$I$6:$I$65,'DECORATING PLAN'!$G$6:$G$65,$D21)+SUMIFS('TABLESCAPE + FLORALS'!$S$6:$S$65,'TABLESCAPE + FLORALS'!$Q$6:$Q$65,$D21)+SUMIFS('TRAVEL PLAN'!$N$6:$N$45,'TRAVEL PLAN'!$L$6:$L$45,$D21)+SUMIFS('VENDORS + APPOINTMENTS'!$Q$6:$Q$65,'VENDORS + APPOINTMENTS'!$L$6:$L$65,$D21)+SUMIFS('EVENTS + WARDROBE'!$O$6:$O$65,'EVENTS + WARDROBE'!$M$6:$M$65,$D21)+SUMIFS('GROCERY LIST'!$M$6:$M$205,'GROCERY LIST'!$K$6:$K$205,$D21)+SUMIFS('MEAL + BAKING PLAN'!$R$6:$R$155,'MEAL + BAKING PLAN'!$P$6:$P$155,$D21)+SUMIFS('TRADITIONS + BUCKET LIST'!$J$6:$J$85,'TRADITIONS + BUCKET LIST'!$H$6:$H$85,$D21)-SUMIFS('RETURNS + EXCHANGES'!$R$6:$R$65,'RETURNS + EXCHANGES'!$K$6:$K$65,$D21))</f>
      </c>
      <c r="H21" s="85">
        <f>IF($D21="","",$E21-$G21)</f>
      </c>
      <c r="I21" s="88">
        <f>IF($D21="","",IF($E21=0,0,$G21/$E21))</f>
      </c>
      <c r="J21" s="78">
        <f>IF($D21="","",IF(AND($E21=0,$G21=0),"NOT SET",IF($G21&gt;$E21,"OVER BUDGET",IF($G21=$E21,"AT BUDGET",IF(AND($E21&gt;0,$G21/$E21&gt;=Set_WarnThreshold),"NEAR LIMIT","ON TRACK")))))</f>
      </c>
      <c r="K21" s="80"/>
      <c r="L21" s="78">
        <f>IF(AND($C21="Yes",$D21&lt;&gt;"",OR(N($E21)&gt;0,N($G21)&gt;0)),$E21+(100-ROW())/10000,"")</f>
      </c>
      <c r="M21" s="78">
        <f>IF($B21="",0,IF(COUNTIF('MASTER BUDGET'!$B$6:$B$25,$B21)&gt;1,1,0))</f>
      </c>
      <c r="N21" s="75"/>
    </row>
    <row r="22" ht="17" customHeight="1" spans="1:14" x14ac:dyDescent="0.25">
      <c r="A22" s="75"/>
      <c r="B22" s="79"/>
      <c r="C22" s="79"/>
      <c r="D22" s="79"/>
      <c r="E22" s="86"/>
      <c r="F22" s="85">
        <f>IF($D22="","",SUMIFS('CARDS + MAIL'!$I$6:$I$155,'CARDS + MAIL'!$H$6:$H$155,$D22)+SUMIFS('DONATIONS + GIVING'!$G$6:$G$65,'DONATIONS + GIVING'!$F$6:$F$65,$D22)+SUMIFS('GIFT PLANNER'!$Q$6:$Q$205,'GIFT PLANNER'!$G$6:$G$205,$D22)+SUMIFS('STOCKING STUFFERS'!$J$6:$J$155,'STOCKING STUFFERS'!$F$6:$F$155,$D22)+SUMIFS('CHRISTMAS CALENDAR'!$K$6:$K$205,'CHRISTMAS CALENDAR'!$J$6:$J$205,$D22)+SUMIFS('DECOR INVENTORY'!$P$6:$P$105,'DECOR INVENTORY'!$O$6:$O$105,$D22)+SUMIFS('DECORATING PLAN'!$H$6:$H$65,'DECORATING PLAN'!$G$6:$G$65,$D22)+SUMIFS('TABLESCAPE + FLORALS'!$R$6:$R$65,'TABLESCAPE + FLORALS'!$Q$6:$Q$65,$D22)+SUMIFS('TRAVEL PLAN'!$M$6:$M$45,'TRAVEL PLAN'!$L$6:$L$45,$D22)+SUMIFS('VENDORS + APPOINTMENTS'!$M$6:$M$65,'VENDORS + APPOINTMENTS'!$L$6:$L$65,$D22)+SUMIFS('EVENTS + WARDROBE'!$N$6:$N$65,'EVENTS + WARDROBE'!$M$6:$M$65,$D22)+SUMIFS('GROCERY LIST'!$L$6:$L$205,'GROCERY LIST'!$K$6:$K$205,$D22)+SUMIFS('MEAL + BAKING PLAN'!$Q$6:$Q$155,'MEAL + BAKING PLAN'!$P$6:$P$155,$D22)+SUMIFS('TRADITIONS + BUCKET LIST'!$I$6:$I$85,'TRADITIONS + BUCKET LIST'!$H$6:$H$85,$D22))</f>
      </c>
      <c r="G22" s="85">
        <f>IF($D22="","",SUMIFS('CARDS + MAIL'!$J$6:$J$155,'CARDS + MAIL'!$H$6:$H$155,$D22)+SUMIFS('DONATIONS + GIVING'!$H$6:$H$65,'DONATIONS + GIVING'!$F$6:$F$65,$D22)+SUMIFS('GIFT PLANNER'!$R$6:$R$205,'GIFT PLANNER'!$G$6:$G$205,$D22)+SUMIFS('STOCKING STUFFERS'!$K$6:$K$155,'STOCKING STUFFERS'!$F$6:$F$155,$D22)+SUMIFS('CHRISTMAS CALENDAR'!$L$6:$L$205,'CHRISTMAS CALENDAR'!$J$6:$J$205,$D22)+SUMIFS('DECOR INVENTORY'!$Q$6:$Q$105,'DECOR INVENTORY'!$O$6:$O$105,$D22)+SUMIFS('DECORATING PLAN'!$I$6:$I$65,'DECORATING PLAN'!$G$6:$G$65,$D22)+SUMIFS('TABLESCAPE + FLORALS'!$S$6:$S$65,'TABLESCAPE + FLORALS'!$Q$6:$Q$65,$D22)+SUMIFS('TRAVEL PLAN'!$N$6:$N$45,'TRAVEL PLAN'!$L$6:$L$45,$D22)+SUMIFS('VENDORS + APPOINTMENTS'!$Q$6:$Q$65,'VENDORS + APPOINTMENTS'!$L$6:$L$65,$D22)+SUMIFS('EVENTS + WARDROBE'!$O$6:$O$65,'EVENTS + WARDROBE'!$M$6:$M$65,$D22)+SUMIFS('GROCERY LIST'!$M$6:$M$205,'GROCERY LIST'!$K$6:$K$205,$D22)+SUMIFS('MEAL + BAKING PLAN'!$R$6:$R$155,'MEAL + BAKING PLAN'!$P$6:$P$155,$D22)+SUMIFS('TRADITIONS + BUCKET LIST'!$J$6:$J$85,'TRADITIONS + BUCKET LIST'!$H$6:$H$85,$D22)-SUMIFS('RETURNS + EXCHANGES'!$R$6:$R$65,'RETURNS + EXCHANGES'!$K$6:$K$65,$D22))</f>
      </c>
      <c r="H22" s="85">
        <f>IF($D22="","",$E22-$G22)</f>
      </c>
      <c r="I22" s="88">
        <f>IF($D22="","",IF($E22=0,0,$G22/$E22))</f>
      </c>
      <c r="J22" s="78">
        <f>IF($D22="","",IF(AND($E22=0,$G22=0),"NOT SET",IF($G22&gt;$E22,"OVER BUDGET",IF($G22=$E22,"AT BUDGET",IF(AND($E22&gt;0,$G22/$E22&gt;=Set_WarnThreshold),"NEAR LIMIT","ON TRACK")))))</f>
      </c>
      <c r="K22" s="80"/>
      <c r="L22" s="78">
        <f>IF(AND($C22="Yes",$D22&lt;&gt;"",OR(N($E22)&gt;0,N($G22)&gt;0)),$E22+(100-ROW())/10000,"")</f>
      </c>
      <c r="M22" s="78">
        <f>IF($B22="",0,IF(COUNTIF('MASTER BUDGET'!$B$6:$B$25,$B22)&gt;1,1,0))</f>
      </c>
      <c r="N22" s="75"/>
    </row>
    <row r="23" ht="17" customHeight="1" spans="1:14" x14ac:dyDescent="0.25">
      <c r="A23" s="75"/>
      <c r="B23" s="79"/>
      <c r="C23" s="79"/>
      <c r="D23" s="79"/>
      <c r="E23" s="86"/>
      <c r="F23" s="85">
        <f>IF($D23="","",SUMIFS('CARDS + MAIL'!$I$6:$I$155,'CARDS + MAIL'!$H$6:$H$155,$D23)+SUMIFS('DONATIONS + GIVING'!$G$6:$G$65,'DONATIONS + GIVING'!$F$6:$F$65,$D23)+SUMIFS('GIFT PLANNER'!$Q$6:$Q$205,'GIFT PLANNER'!$G$6:$G$205,$D23)+SUMIFS('STOCKING STUFFERS'!$J$6:$J$155,'STOCKING STUFFERS'!$F$6:$F$155,$D23)+SUMIFS('CHRISTMAS CALENDAR'!$K$6:$K$205,'CHRISTMAS CALENDAR'!$J$6:$J$205,$D23)+SUMIFS('DECOR INVENTORY'!$P$6:$P$105,'DECOR INVENTORY'!$O$6:$O$105,$D23)+SUMIFS('DECORATING PLAN'!$H$6:$H$65,'DECORATING PLAN'!$G$6:$G$65,$D23)+SUMIFS('TABLESCAPE + FLORALS'!$R$6:$R$65,'TABLESCAPE + FLORALS'!$Q$6:$Q$65,$D23)+SUMIFS('TRAVEL PLAN'!$M$6:$M$45,'TRAVEL PLAN'!$L$6:$L$45,$D23)+SUMIFS('VENDORS + APPOINTMENTS'!$M$6:$M$65,'VENDORS + APPOINTMENTS'!$L$6:$L$65,$D23)+SUMIFS('EVENTS + WARDROBE'!$N$6:$N$65,'EVENTS + WARDROBE'!$M$6:$M$65,$D23)+SUMIFS('GROCERY LIST'!$L$6:$L$205,'GROCERY LIST'!$K$6:$K$205,$D23)+SUMIFS('MEAL + BAKING PLAN'!$Q$6:$Q$155,'MEAL + BAKING PLAN'!$P$6:$P$155,$D23)+SUMIFS('TRADITIONS + BUCKET LIST'!$I$6:$I$85,'TRADITIONS + BUCKET LIST'!$H$6:$H$85,$D23))</f>
      </c>
      <c r="G23" s="85">
        <f>IF($D23="","",SUMIFS('CARDS + MAIL'!$J$6:$J$155,'CARDS + MAIL'!$H$6:$H$155,$D23)+SUMIFS('DONATIONS + GIVING'!$H$6:$H$65,'DONATIONS + GIVING'!$F$6:$F$65,$D23)+SUMIFS('GIFT PLANNER'!$R$6:$R$205,'GIFT PLANNER'!$G$6:$G$205,$D23)+SUMIFS('STOCKING STUFFERS'!$K$6:$K$155,'STOCKING STUFFERS'!$F$6:$F$155,$D23)+SUMIFS('CHRISTMAS CALENDAR'!$L$6:$L$205,'CHRISTMAS CALENDAR'!$J$6:$J$205,$D23)+SUMIFS('DECOR INVENTORY'!$Q$6:$Q$105,'DECOR INVENTORY'!$O$6:$O$105,$D23)+SUMIFS('DECORATING PLAN'!$I$6:$I$65,'DECORATING PLAN'!$G$6:$G$65,$D23)+SUMIFS('TABLESCAPE + FLORALS'!$S$6:$S$65,'TABLESCAPE + FLORALS'!$Q$6:$Q$65,$D23)+SUMIFS('TRAVEL PLAN'!$N$6:$N$45,'TRAVEL PLAN'!$L$6:$L$45,$D23)+SUMIFS('VENDORS + APPOINTMENTS'!$Q$6:$Q$65,'VENDORS + APPOINTMENTS'!$L$6:$L$65,$D23)+SUMIFS('EVENTS + WARDROBE'!$O$6:$O$65,'EVENTS + WARDROBE'!$M$6:$M$65,$D23)+SUMIFS('GROCERY LIST'!$M$6:$M$205,'GROCERY LIST'!$K$6:$K$205,$D23)+SUMIFS('MEAL + BAKING PLAN'!$R$6:$R$155,'MEAL + BAKING PLAN'!$P$6:$P$155,$D23)+SUMIFS('TRADITIONS + BUCKET LIST'!$J$6:$J$85,'TRADITIONS + BUCKET LIST'!$H$6:$H$85,$D23)-SUMIFS('RETURNS + EXCHANGES'!$R$6:$R$65,'RETURNS + EXCHANGES'!$K$6:$K$65,$D23))</f>
      </c>
      <c r="H23" s="85">
        <f>IF($D23="","",$E23-$G23)</f>
      </c>
      <c r="I23" s="88">
        <f>IF($D23="","",IF($E23=0,0,$G23/$E23))</f>
      </c>
      <c r="J23" s="78">
        <f>IF($D23="","",IF(AND($E23=0,$G23=0),"NOT SET",IF($G23&gt;$E23,"OVER BUDGET",IF($G23=$E23,"AT BUDGET",IF(AND($E23&gt;0,$G23/$E23&gt;=Set_WarnThreshold),"NEAR LIMIT","ON TRACK")))))</f>
      </c>
      <c r="K23" s="80"/>
      <c r="L23" s="78">
        <f>IF(AND($C23="Yes",$D23&lt;&gt;"",OR(N($E23)&gt;0,N($G23)&gt;0)),$E23+(100-ROW())/10000,"")</f>
      </c>
      <c r="M23" s="78">
        <f>IF($B23="",0,IF(COUNTIF('MASTER BUDGET'!$B$6:$B$25,$B23)&gt;1,1,0))</f>
      </c>
      <c r="N23" s="75"/>
    </row>
    <row r="24" ht="17" customHeight="1" spans="1:14" x14ac:dyDescent="0.25">
      <c r="A24" s="75"/>
      <c r="B24" s="79"/>
      <c r="C24" s="79"/>
      <c r="D24" s="79"/>
      <c r="E24" s="86"/>
      <c r="F24" s="85">
        <f>IF($D24="","",SUMIFS('CARDS + MAIL'!$I$6:$I$155,'CARDS + MAIL'!$H$6:$H$155,$D24)+SUMIFS('DONATIONS + GIVING'!$G$6:$G$65,'DONATIONS + GIVING'!$F$6:$F$65,$D24)+SUMIFS('GIFT PLANNER'!$Q$6:$Q$205,'GIFT PLANNER'!$G$6:$G$205,$D24)+SUMIFS('STOCKING STUFFERS'!$J$6:$J$155,'STOCKING STUFFERS'!$F$6:$F$155,$D24)+SUMIFS('CHRISTMAS CALENDAR'!$K$6:$K$205,'CHRISTMAS CALENDAR'!$J$6:$J$205,$D24)+SUMIFS('DECOR INVENTORY'!$P$6:$P$105,'DECOR INVENTORY'!$O$6:$O$105,$D24)+SUMIFS('DECORATING PLAN'!$H$6:$H$65,'DECORATING PLAN'!$G$6:$G$65,$D24)+SUMIFS('TABLESCAPE + FLORALS'!$R$6:$R$65,'TABLESCAPE + FLORALS'!$Q$6:$Q$65,$D24)+SUMIFS('TRAVEL PLAN'!$M$6:$M$45,'TRAVEL PLAN'!$L$6:$L$45,$D24)+SUMIFS('VENDORS + APPOINTMENTS'!$M$6:$M$65,'VENDORS + APPOINTMENTS'!$L$6:$L$65,$D24)+SUMIFS('EVENTS + WARDROBE'!$N$6:$N$65,'EVENTS + WARDROBE'!$M$6:$M$65,$D24)+SUMIFS('GROCERY LIST'!$L$6:$L$205,'GROCERY LIST'!$K$6:$K$205,$D24)+SUMIFS('MEAL + BAKING PLAN'!$Q$6:$Q$155,'MEAL + BAKING PLAN'!$P$6:$P$155,$D24)+SUMIFS('TRADITIONS + BUCKET LIST'!$I$6:$I$85,'TRADITIONS + BUCKET LIST'!$H$6:$H$85,$D24))</f>
      </c>
      <c r="G24" s="85">
        <f>IF($D24="","",SUMIFS('CARDS + MAIL'!$J$6:$J$155,'CARDS + MAIL'!$H$6:$H$155,$D24)+SUMIFS('DONATIONS + GIVING'!$H$6:$H$65,'DONATIONS + GIVING'!$F$6:$F$65,$D24)+SUMIFS('GIFT PLANNER'!$R$6:$R$205,'GIFT PLANNER'!$G$6:$G$205,$D24)+SUMIFS('STOCKING STUFFERS'!$K$6:$K$155,'STOCKING STUFFERS'!$F$6:$F$155,$D24)+SUMIFS('CHRISTMAS CALENDAR'!$L$6:$L$205,'CHRISTMAS CALENDAR'!$J$6:$J$205,$D24)+SUMIFS('DECOR INVENTORY'!$Q$6:$Q$105,'DECOR INVENTORY'!$O$6:$O$105,$D24)+SUMIFS('DECORATING PLAN'!$I$6:$I$65,'DECORATING PLAN'!$G$6:$G$65,$D24)+SUMIFS('TABLESCAPE + FLORALS'!$S$6:$S$65,'TABLESCAPE + FLORALS'!$Q$6:$Q$65,$D24)+SUMIFS('TRAVEL PLAN'!$N$6:$N$45,'TRAVEL PLAN'!$L$6:$L$45,$D24)+SUMIFS('VENDORS + APPOINTMENTS'!$Q$6:$Q$65,'VENDORS + APPOINTMENTS'!$L$6:$L$65,$D24)+SUMIFS('EVENTS + WARDROBE'!$O$6:$O$65,'EVENTS + WARDROBE'!$M$6:$M$65,$D24)+SUMIFS('GROCERY LIST'!$M$6:$M$205,'GROCERY LIST'!$K$6:$K$205,$D24)+SUMIFS('MEAL + BAKING PLAN'!$R$6:$R$155,'MEAL + BAKING PLAN'!$P$6:$P$155,$D24)+SUMIFS('TRADITIONS + BUCKET LIST'!$J$6:$J$85,'TRADITIONS + BUCKET LIST'!$H$6:$H$85,$D24)-SUMIFS('RETURNS + EXCHANGES'!$R$6:$R$65,'RETURNS + EXCHANGES'!$K$6:$K$65,$D24))</f>
      </c>
      <c r="H24" s="85">
        <f>IF($D24="","",$E24-$G24)</f>
      </c>
      <c r="I24" s="88">
        <f>IF($D24="","",IF($E24=0,0,$G24/$E24))</f>
      </c>
      <c r="J24" s="78">
        <f>IF($D24="","",IF(AND($E24=0,$G24=0),"NOT SET",IF($G24&gt;$E24,"OVER BUDGET",IF($G24=$E24,"AT BUDGET",IF(AND($E24&gt;0,$G24/$E24&gt;=Set_WarnThreshold),"NEAR LIMIT","ON TRACK")))))</f>
      </c>
      <c r="K24" s="80"/>
      <c r="L24" s="78">
        <f>IF(AND($C24="Yes",$D24&lt;&gt;"",OR(N($E24)&gt;0,N($G24)&gt;0)),$E24+(100-ROW())/10000,"")</f>
      </c>
      <c r="M24" s="78">
        <f>IF($B24="",0,IF(COUNTIF('MASTER BUDGET'!$B$6:$B$25,$B24)&gt;1,1,0))</f>
      </c>
      <c r="N24" s="75"/>
    </row>
    <row r="25" ht="17" customHeight="1" spans="1:14" x14ac:dyDescent="0.25">
      <c r="A25" s="75"/>
      <c r="B25" s="79"/>
      <c r="C25" s="79"/>
      <c r="D25" s="79"/>
      <c r="E25" s="86"/>
      <c r="F25" s="85">
        <f>IF($D25="","",SUMIFS('CARDS + MAIL'!$I$6:$I$155,'CARDS + MAIL'!$H$6:$H$155,$D25)+SUMIFS('DONATIONS + GIVING'!$G$6:$G$65,'DONATIONS + GIVING'!$F$6:$F$65,$D25)+SUMIFS('GIFT PLANNER'!$Q$6:$Q$205,'GIFT PLANNER'!$G$6:$G$205,$D25)+SUMIFS('STOCKING STUFFERS'!$J$6:$J$155,'STOCKING STUFFERS'!$F$6:$F$155,$D25)+SUMIFS('CHRISTMAS CALENDAR'!$K$6:$K$205,'CHRISTMAS CALENDAR'!$J$6:$J$205,$D25)+SUMIFS('DECOR INVENTORY'!$P$6:$P$105,'DECOR INVENTORY'!$O$6:$O$105,$D25)+SUMIFS('DECORATING PLAN'!$H$6:$H$65,'DECORATING PLAN'!$G$6:$G$65,$D25)+SUMIFS('TABLESCAPE + FLORALS'!$R$6:$R$65,'TABLESCAPE + FLORALS'!$Q$6:$Q$65,$D25)+SUMIFS('TRAVEL PLAN'!$M$6:$M$45,'TRAVEL PLAN'!$L$6:$L$45,$D25)+SUMIFS('VENDORS + APPOINTMENTS'!$M$6:$M$65,'VENDORS + APPOINTMENTS'!$L$6:$L$65,$D25)+SUMIFS('EVENTS + WARDROBE'!$N$6:$N$65,'EVENTS + WARDROBE'!$M$6:$M$65,$D25)+SUMIFS('GROCERY LIST'!$L$6:$L$205,'GROCERY LIST'!$K$6:$K$205,$D25)+SUMIFS('MEAL + BAKING PLAN'!$Q$6:$Q$155,'MEAL + BAKING PLAN'!$P$6:$P$155,$D25)+SUMIFS('TRADITIONS + BUCKET LIST'!$I$6:$I$85,'TRADITIONS + BUCKET LIST'!$H$6:$H$85,$D25))</f>
      </c>
      <c r="G25" s="85">
        <f>IF($D25="","",SUMIFS('CARDS + MAIL'!$J$6:$J$155,'CARDS + MAIL'!$H$6:$H$155,$D25)+SUMIFS('DONATIONS + GIVING'!$H$6:$H$65,'DONATIONS + GIVING'!$F$6:$F$65,$D25)+SUMIFS('GIFT PLANNER'!$R$6:$R$205,'GIFT PLANNER'!$G$6:$G$205,$D25)+SUMIFS('STOCKING STUFFERS'!$K$6:$K$155,'STOCKING STUFFERS'!$F$6:$F$155,$D25)+SUMIFS('CHRISTMAS CALENDAR'!$L$6:$L$205,'CHRISTMAS CALENDAR'!$J$6:$J$205,$D25)+SUMIFS('DECOR INVENTORY'!$Q$6:$Q$105,'DECOR INVENTORY'!$O$6:$O$105,$D25)+SUMIFS('DECORATING PLAN'!$I$6:$I$65,'DECORATING PLAN'!$G$6:$G$65,$D25)+SUMIFS('TABLESCAPE + FLORALS'!$S$6:$S$65,'TABLESCAPE + FLORALS'!$Q$6:$Q$65,$D25)+SUMIFS('TRAVEL PLAN'!$N$6:$N$45,'TRAVEL PLAN'!$L$6:$L$45,$D25)+SUMIFS('VENDORS + APPOINTMENTS'!$Q$6:$Q$65,'VENDORS + APPOINTMENTS'!$L$6:$L$65,$D25)+SUMIFS('EVENTS + WARDROBE'!$O$6:$O$65,'EVENTS + WARDROBE'!$M$6:$M$65,$D25)+SUMIFS('GROCERY LIST'!$M$6:$M$205,'GROCERY LIST'!$K$6:$K$205,$D25)+SUMIFS('MEAL + BAKING PLAN'!$R$6:$R$155,'MEAL + BAKING PLAN'!$P$6:$P$155,$D25)+SUMIFS('TRADITIONS + BUCKET LIST'!$J$6:$J$85,'TRADITIONS + BUCKET LIST'!$H$6:$H$85,$D25)-SUMIFS('RETURNS + EXCHANGES'!$R$6:$R$65,'RETURNS + EXCHANGES'!$K$6:$K$65,$D25))</f>
      </c>
      <c r="H25" s="85">
        <f>IF($D25="","",$E25-$G25)</f>
      </c>
      <c r="I25" s="88">
        <f>IF($D25="","",IF($E25=0,0,$G25/$E25))</f>
      </c>
      <c r="J25" s="78">
        <f>IF($D25="","",IF(AND($E25=0,$G25=0),"NOT SET",IF($G25&gt;$E25,"OVER BUDGET",IF($G25=$E25,"AT BUDGET",IF(AND($E25&gt;0,$G25/$E25&gt;=Set_WarnThreshold),"NEAR LIMIT","ON TRACK")))))</f>
      </c>
      <c r="K25" s="80"/>
      <c r="L25" s="78">
        <f>IF(AND($C25="Yes",$D25&lt;&gt;"",OR(N($E25)&gt;0,N($G25)&gt;0)),$E25+(100-ROW())/10000,"")</f>
      </c>
      <c r="M25" s="78">
        <f>IF($B25="",0,IF(COUNTIF('MASTER BUDGET'!$B$6:$B$25,$B25)&gt;1,1,0))</f>
      </c>
      <c r="N25" s="75"/>
    </row>
  </sheetData>
  <autoFilter ref="B5:M25"/>
  <mergeCells count="1">
    <mergeCell ref="B1:C1"/>
  </mergeCells>
  <conditionalFormatting sqref="J6:J25">
    <cfRule type="containsText" dxfId="35" priority="1">
      <formula>NOT(ISERROR(SEARCH("OVER BUDGET",J6)))</formula>
    </cfRule>
  </conditionalFormatting>
  <conditionalFormatting sqref="J6:J25">
    <cfRule type="containsText" dxfId="36" priority="2">
      <formula>NOT(ISERROR(SEARCH("OVERDUE",J6)))</formula>
    </cfRule>
  </conditionalFormatting>
  <conditionalFormatting sqref="J6:J25">
    <cfRule type="containsText" dxfId="37" priority="3">
      <formula>NOT(ISERROR(SEARCH("LATE",J6)))</formula>
    </cfRule>
  </conditionalFormatting>
  <conditionalFormatting sqref="J6:J25">
    <cfRule type="containsText" dxfId="38" priority="4">
      <formula>NOT(ISERROR(SEARCH("WINDOW CLOSED",J6)))</formula>
    </cfRule>
  </conditionalFormatting>
  <conditionalFormatting sqref="J6:J25">
    <cfRule type="containsText" dxfId="39" priority="5">
      <formula>NOT(ISERROR(SEARCH("BALANCE OVERDUE",J6)))</formula>
    </cfRule>
  </conditionalFormatting>
  <conditionalFormatting sqref="J6:J25">
    <cfRule type="containsText" dxfId="40" priority="6">
      <formula>NOT(ISERROR(SEARCH("PREP OVERDUE",J6)))</formula>
    </cfRule>
  </conditionalFormatting>
  <conditionalFormatting sqref="J6:J25">
    <cfRule type="containsText" dxfId="41" priority="7">
      <formula>NOT(ISERROR(SEARCH("CHECK DUPLICATE",J6)))</formula>
    </cfRule>
  </conditionalFormatting>
  <conditionalFormatting sqref="J6:J25">
    <cfRule type="containsText" dxfId="42" priority="8">
      <formula>NOT(ISERROR(SEARCH("MISSING DATE",J6)))</formula>
    </cfRule>
  </conditionalFormatting>
  <conditionalFormatting sqref="J6:J25">
    <cfRule type="containsText" dxfId="43" priority="9">
      <formula>NOT(ISERROR(SEARCH("NOT FOUND",J6)))</formula>
    </cfRule>
  </conditionalFormatting>
  <conditionalFormatting sqref="J6:J25">
    <cfRule type="containsText" dxfId="44" priority="10">
      <formula>NOT(ISERROR(SEARCH("NEAR LIMIT",J6)))</formula>
    </cfRule>
  </conditionalFormatting>
  <conditionalFormatting sqref="J6:J25">
    <cfRule type="containsText" dxfId="45" priority="11">
      <formula>NOT(ISERROR(SEARCH("THIS WEEK",J6)))</formula>
    </cfRule>
  </conditionalFormatting>
  <conditionalFormatting sqref="J6:J25">
    <cfRule type="containsText" dxfId="46" priority="12">
      <formula>NOT(ISERROR(SEARCH("CLOSING SOON",J6)))</formula>
    </cfRule>
  </conditionalFormatting>
  <conditionalFormatting sqref="J6:J25">
    <cfRule type="containsText" dxfId="47" priority="13">
      <formula>NOT(ISERROR(SEARCH("NO TRACKING",J6)))</formula>
    </cfRule>
  </conditionalFormatting>
  <conditionalFormatting sqref="J6:J25">
    <cfRule type="containsText" dxfId="48" priority="14">
      <formula>NOT(ISERROR(SEARCH("LOW",J6)))</formula>
    </cfRule>
  </conditionalFormatting>
  <conditionalFormatting sqref="J6:J25">
    <cfRule type="containsText" dxfId="49" priority="15">
      <formula>NOT(ISERROR(SEARCH("AWAITING REFUND",J6)))</formula>
    </cfRule>
  </conditionalFormatting>
  <conditionalFormatting sqref="J6:J25">
    <cfRule type="containsText" dxfId="50" priority="16">
      <formula>NOT(ISERROR(SEARCH("BALANCE DUE SOON",J6)))</formula>
    </cfRule>
  </conditionalFormatting>
  <conditionalFormatting sqref="J6:J25">
    <cfRule type="containsText" dxfId="51" priority="17">
      <formula>NOT(ISERROR(SEARCH("TO BUY",J6)))</formula>
    </cfRule>
  </conditionalFormatting>
  <conditionalFormatting sqref="J6:J25">
    <cfRule type="containsText" dxfId="52" priority="18">
      <formula>NOT(ISERROR(SEARCH("NO DATE",J6)))</formula>
    </cfRule>
  </conditionalFormatting>
  <conditionalFormatting sqref="J6:J25">
    <cfRule type="containsText" dxfId="53" priority="19">
      <formula>NOT(ISERROR(SEARCH("NO COUNT",J6)))</formula>
    </cfRule>
  </conditionalFormatting>
  <conditionalFormatting sqref="J6:J25">
    <cfRule type="containsText" dxfId="54" priority="20">
      <formula>NOT(ISERROR(SEARCH("ON TRACK",J6)))</formula>
    </cfRule>
  </conditionalFormatting>
  <conditionalFormatting sqref="J6:J25">
    <cfRule type="containsText" dxfId="55" priority="21">
      <formula>NOT(ISERROR(SEARCH("COMPLETE",J6)))</formula>
    </cfRule>
  </conditionalFormatting>
  <conditionalFormatting sqref="J6:J25">
    <cfRule type="containsText" dxfId="56" priority="22">
      <formula>NOT(ISERROR(SEARCH("DONE",J6)))</formula>
    </cfRule>
  </conditionalFormatting>
  <conditionalFormatting sqref="J6:J25">
    <cfRule type="containsText" dxfId="57" priority="23">
      <formula>NOT(ISERROR(SEARCH("ARRIVED",J6)))</formula>
    </cfRule>
  </conditionalFormatting>
  <conditionalFormatting sqref="J6:J25">
    <cfRule type="containsText" dxfId="58" priority="24">
      <formula>NOT(ISERROR(SEARCH("SETTLED",J6)))</formula>
    </cfRule>
  </conditionalFormatting>
  <conditionalFormatting sqref="J6:J25">
    <cfRule type="containsText" dxfId="59" priority="25">
      <formula>NOT(ISERROR(SEARCH("AT BUDGET",J6)))</formula>
    </cfRule>
  </conditionalFormatting>
  <conditionalFormatting sqref="J6:J25">
    <cfRule type="containsText" dxfId="60" priority="26">
      <formula>NOT(ISERROR(SEARCH("IN STOCK",J6)))</formula>
    </cfRule>
  </conditionalFormatting>
  <conditionalFormatting sqref="J6:J25">
    <cfRule type="containsText" dxfId="61" priority="27">
      <formula>NOT(ISERROR(SEARCH("BOUGHT",J6)))</formula>
    </cfRule>
  </conditionalFormatting>
  <conditionalFormatting sqref="J6:J25">
    <cfRule type="containsText" dxfId="62" priority="28">
      <formula>NOT(ISERROR(SEARCH("READY",J6)))</formula>
    </cfRule>
  </conditionalFormatting>
  <conditionalFormatting sqref="J6:J25">
    <cfRule type="containsText" dxfId="63" priority="29">
      <formula>NOT(ISERROR(SEARCH("NOT SET",J6)))</formula>
    </cfRule>
  </conditionalFormatting>
  <conditionalFormatting sqref="J6:J25">
    <cfRule type="containsText" dxfId="64" priority="30">
      <formula>NOT(ISERROR(SEARCH("NOT STARTED",J6)))</formula>
    </cfRule>
  </conditionalFormatting>
  <conditionalFormatting sqref="J6:J25">
    <cfRule type="containsText" dxfId="65" priority="31">
      <formula>NOT(ISERROR(SEARCH("SCHEDULED",J6)))</formula>
    </cfRule>
  </conditionalFormatting>
  <conditionalFormatting sqref="J6:J25">
    <cfRule type="containsText" dxfId="66" priority="32">
      <formula>NOT(ISERROR(SEARCH("CLOSED",J6)))</formula>
    </cfRule>
  </conditionalFormatting>
  <conditionalFormatting sqref="J6:J25">
    <cfRule type="containsText" dxfId="67" priority="33">
      <formula>NOT(ISERROR(SEARCH("IN THE PANTRY",J6)))</formula>
    </cfRule>
  </conditionalFormatting>
  <conditionalFormatting sqref="J6:J25">
    <cfRule type="containsText" dxfId="68" priority="34">
      <formula>NOT(ISERROR(SEARCH("BALANCE OPEN",J6)))</formula>
    </cfRule>
  </conditionalFormatting>
  <dataValidations count="2">
    <dataValidation type="list" allowBlank="1" showErrorMessage="1" errorStyle="warning" errorTitle="Not one of the usual values" error="This column normally uses a value from the YesNo list on LISTS. You can keep what you typed, or add it to the list so it appears in the dropdown." sqref="C6:C25">
      <formula1>=List_YesNo</formula1>
    </dataValidation>
    <dataValidation type="custom" allowBlank="1" showErrorMessage="1" errorStyle="warning" errorTitle="That looks like text" error="Type the number on its own — no currency symbol and no words. The column adds the symbol for you." sqref="E6:E25">
      <formula1>=OR(E6="",ISNUMBER(E6))</formula1>
    </dataValidation>
  </dataValidations>
  <hyperlinks>
    <hyperlink ref="B1" r:id="rId1" location="#'DASHBOARD'!A1"/>
    <hyperlink ref="D1" r:id="rId2" location="#'START HERE'!A1"/>
    <hyperlink ref="E1" r:id="rId3" location="#'CHRISTMAS CALENDAR'!A1"/>
    <hyperlink ref="G1" r:id="rId4" location="#'SHEET INDEX'!A1"/>
  </hyperlinks>
  <pageMargins left="0.4" right="0.4" top="0.6" bottom="0.6" header="0.3" footer="0.3"/>
  <pageSetup orientation="landscape" fitToWidth="1" fitToHeight="0"/>
  <headerFooter>
    <oddFooter>&amp;LMASTER BUDGET&amp;C&amp;P of &amp;N&amp;RThe Christmas Season Master Command Center™</oddFooter>
  </headerFooter>
  <legacy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AK20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3" width="11" customWidth="1"/>
    <col min="4" max="4" width="20" customWidth="1"/>
    <col min="5" max="5" width="10" customWidth="1"/>
    <col min="6" max="6" width="30" customWidth="1"/>
    <col min="7" max="7" width="17" customWidth="1"/>
    <col min="8" max="8" width="11" customWidth="1"/>
    <col min="9" max="9" width="18" customWidth="1"/>
    <col min="10" max="10" width="26" customWidth="1"/>
    <col min="11" max="11" width="18" customWidth="1"/>
    <col min="12" max="12" width="10" customWidth="1"/>
    <col min="13" max="18" width="13" customWidth="1"/>
    <col min="19" max="19" width="14" customWidth="1"/>
    <col min="20" max="20" width="12" customWidth="1"/>
    <col min="21" max="21" width="11" customWidth="1"/>
    <col min="22" max="22" width="17" customWidth="1"/>
    <col min="23" max="23" width="11" customWidth="1"/>
    <col min="24" max="24" width="20" customWidth="1"/>
    <col min="25" max="25" width="13" customWidth="1"/>
    <col min="26" max="27" width="11" customWidth="1"/>
    <col min="28" max="29" width="13" customWidth="1"/>
    <col min="30" max="30" width="18" hidden="1" customWidth="1"/>
    <col min="31" max="31" width="15" customWidth="1"/>
    <col min="32" max="32" width="34" customWidth="1"/>
    <col min="33" max="36" width="18" hidden="1" customWidth="1"/>
    <col min="37" max="37" width="2" customWidth="1"/>
  </cols>
  <sheetData>
    <row r="1" ht="21" customHeight="1" spans="1:37" x14ac:dyDescent="0.25">
      <c r="A1" s="62"/>
      <c r="B1" s="63" t="s">
        <v>8</v>
      </c>
      <c r="C1" s="63"/>
      <c r="D1" s="63" t="s">
        <v>9</v>
      </c>
      <c r="E1" s="63" t="s">
        <v>10</v>
      </c>
      <c r="F1" s="63"/>
      <c r="G1" s="63" t="s">
        <v>11</v>
      </c>
      <c r="H1" s="63" t="s">
        <v>12</v>
      </c>
      <c r="I1" s="63"/>
      <c r="J1" s="62"/>
      <c r="K1" s="62"/>
      <c r="L1" s="62"/>
      <c r="M1" s="62"/>
      <c r="N1" s="62"/>
      <c r="O1" s="62"/>
      <c r="P1" s="62"/>
      <c r="Q1" s="62"/>
      <c r="R1" s="62"/>
      <c r="S1" s="62"/>
      <c r="T1" s="62"/>
      <c r="U1" s="62"/>
      <c r="V1" s="62"/>
      <c r="W1" s="62"/>
      <c r="X1" s="62"/>
      <c r="Y1" s="62"/>
      <c r="Z1" s="62"/>
      <c r="AA1" s="62"/>
      <c r="AB1" s="62"/>
      <c r="AC1" s="62"/>
      <c r="AD1" s="62"/>
      <c r="AE1" s="62"/>
      <c r="AF1" s="62"/>
      <c r="AG1" s="62"/>
      <c r="AH1" s="62"/>
      <c r="AI1" s="62"/>
      <c r="AJ1" s="62"/>
      <c r="AK1" s="62"/>
    </row>
    <row r="2" ht="34" customHeight="1" spans="1:37" x14ac:dyDescent="0.25">
      <c r="A2" s="64"/>
      <c r="B2" s="65" t="s">
        <v>128</v>
      </c>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row>
    <row r="3" ht="18" customHeight="1" spans="1:37" x14ac:dyDescent="0.25">
      <c r="A3" s="64"/>
      <c r="B3" s="66" t="s">
        <v>296</v>
      </c>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row>
    <row r="4" ht="17" customHeight="1" spans="1:37" x14ac:dyDescent="0.25">
      <c r="A4" s="64"/>
      <c r="B4" s="67" t="s">
        <v>160</v>
      </c>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row>
    <row r="5" ht="32" customHeight="1" spans="1:37" x14ac:dyDescent="0.25">
      <c r="A5" s="73"/>
      <c r="B5" s="74" t="s">
        <v>297</v>
      </c>
      <c r="C5" s="74" t="s">
        <v>197</v>
      </c>
      <c r="D5" s="74" t="s">
        <v>298</v>
      </c>
      <c r="E5" s="74" t="s">
        <v>261</v>
      </c>
      <c r="F5" s="74" t="s">
        <v>299</v>
      </c>
      <c r="G5" s="74" t="s">
        <v>300</v>
      </c>
      <c r="H5" s="74" t="s">
        <v>174</v>
      </c>
      <c r="I5" s="74" t="s">
        <v>301</v>
      </c>
      <c r="J5" s="74" t="s">
        <v>302</v>
      </c>
      <c r="K5" s="74" t="s">
        <v>303</v>
      </c>
      <c r="L5" s="74" t="s">
        <v>304</v>
      </c>
      <c r="M5" s="74" t="s">
        <v>305</v>
      </c>
      <c r="N5" s="74" t="s">
        <v>306</v>
      </c>
      <c r="O5" s="74" t="s">
        <v>307</v>
      </c>
      <c r="P5" s="74" t="s">
        <v>308</v>
      </c>
      <c r="Q5" s="74" t="s">
        <v>309</v>
      </c>
      <c r="R5" s="74" t="s">
        <v>310</v>
      </c>
      <c r="S5" s="74" t="s">
        <v>260</v>
      </c>
      <c r="T5" s="74" t="s">
        <v>311</v>
      </c>
      <c r="U5" s="74" t="s">
        <v>312</v>
      </c>
      <c r="V5" s="74" t="s">
        <v>313</v>
      </c>
      <c r="W5" s="74" t="s">
        <v>314</v>
      </c>
      <c r="X5" s="74" t="s">
        <v>315</v>
      </c>
      <c r="Y5" s="74" t="s">
        <v>316</v>
      </c>
      <c r="Z5" s="74" t="s">
        <v>317</v>
      </c>
      <c r="AA5" s="74" t="s">
        <v>318</v>
      </c>
      <c r="AB5" s="74" t="s">
        <v>319</v>
      </c>
      <c r="AC5" s="74" t="s">
        <v>320</v>
      </c>
      <c r="AD5" s="74" t="s">
        <v>321</v>
      </c>
      <c r="AE5" s="74" t="s">
        <v>322</v>
      </c>
      <c r="AF5" s="74" t="s">
        <v>179</v>
      </c>
      <c r="AG5" s="74" t="s">
        <v>180</v>
      </c>
      <c r="AH5" s="74" t="s">
        <v>323</v>
      </c>
      <c r="AI5" s="74" t="s">
        <v>324</v>
      </c>
      <c r="AJ5" s="74" t="s">
        <v>325</v>
      </c>
      <c r="AK5" s="73"/>
    </row>
    <row r="6" ht="17" customHeight="1" spans="1:37" x14ac:dyDescent="0.25">
      <c r="A6" s="75"/>
      <c r="B6" s="76" t="s">
        <v>326</v>
      </c>
      <c r="C6" s="76" t="s">
        <v>213</v>
      </c>
      <c r="D6" s="78">
        <f>IF($B6="","",IF($C6="","",IFERROR(IF(INDEX('PEOPLE + BUDGETS'!$C$6:$C$105,MATCH($C6,'PEOPLE + BUDGETS'!$B$6:$B$105,0))="","",INDEX('PEOPLE + BUDGETS'!$C$6:$C$105,MATCH($C6,'PEOPLE + BUDGETS'!$B$6:$B$105,0))),"")))</f>
      </c>
      <c r="E6" s="78">
        <f>IF($B6="","",IF(OR($S6="Cancelled",$S6="Returned"),"No",IFERROR(INDEX('PEOPLE + BUDGETS'!$O$6:$O$105,MATCH($C6,'PEOPLE + BUDGETS'!$B$6:$B$105,0)),"Yes")))</f>
      </c>
      <c r="F6" s="77" t="s">
        <v>327</v>
      </c>
      <c r="G6" s="76" t="s">
        <v>272</v>
      </c>
      <c r="H6" s="76" t="s">
        <v>328</v>
      </c>
      <c r="I6" s="76" t="s">
        <v>329</v>
      </c>
      <c r="J6" s="77"/>
      <c r="K6" s="76" t="s">
        <v>330</v>
      </c>
      <c r="L6" s="89">
        <v>1</v>
      </c>
      <c r="M6" s="84">
        <v>145</v>
      </c>
      <c r="N6" s="84">
        <v>0</v>
      </c>
      <c r="O6" s="84">
        <v>12</v>
      </c>
      <c r="P6" s="84">
        <v>18.85</v>
      </c>
      <c r="Q6" s="85">
        <f>IF($B6="","",ROUND(MAX(0,$L6*$M6-$N6)+$O6+$P6,2))</f>
      </c>
      <c r="R6" s="84">
        <v>175.85</v>
      </c>
      <c r="S6" s="76" t="s">
        <v>331</v>
      </c>
      <c r="T6" s="78">
        <f>IF($B6="","",IF($S6="Purchased","Yes","No"))</f>
      </c>
      <c r="U6" s="76" t="s">
        <v>332</v>
      </c>
      <c r="V6" s="76" t="s">
        <v>333</v>
      </c>
      <c r="W6" s="78">
        <f>IF($B6="","",IF($U6="","—",IF($U6="","",IFERROR(IF(INDEX('ONLINE ORDERS'!$M$6:$M$155,MATCH($U6,'ONLINE ORDERS'!$B$6:$B$155,0))="","",INDEX('ONLINE ORDERS'!$M$6:$M$155,MATCH($U6,'ONLINE ORDERS'!$B$6:$B$155,0))),""))))</f>
      </c>
      <c r="X6" s="76" t="s">
        <v>226</v>
      </c>
      <c r="Y6" s="76" t="s">
        <v>334</v>
      </c>
      <c r="Z6" s="76" t="s">
        <v>194</v>
      </c>
      <c r="AA6" s="76" t="s">
        <v>194</v>
      </c>
      <c r="AB6" s="81">
        <v>46340</v>
      </c>
      <c r="AC6" s="81">
        <v>46401</v>
      </c>
      <c r="AD6" s="78">
        <f>IF($F6="","",LOWER(TRIM($C6&amp;"|"&amp;TRIM($F6))))</f>
      </c>
      <c r="AE6" s="78">
        <f>IF($AD6="","",IF(COUNTIF('GIFT PLANNER'!$AD$6:$AD$205,$AD6)&gt;1,"CHECK DUPLICATE",""))</f>
      </c>
      <c r="AF6" s="77" t="s">
        <v>186</v>
      </c>
      <c r="AG6" s="78">
        <f>IF($B6="",0,IF(COUNTIF('GIFT PLANNER'!$B$6:$B$205,$B6)&gt;1,1,0))</f>
      </c>
      <c r="AH6" s="78">
        <f>IF(OR(N($Q6)&gt;0,N($R6)&gt;0),IF($G6="",1,IF(COUNTIF('MASTER BUDGET'!$D$6:$D$25,$G6)=0,1,0)),0)</f>
      </c>
      <c r="AI6" s="78">
        <f>IF($C6="",0,IF(COUNTIF('PEOPLE + BUDGETS'!$B$6:$B$105,$C6)=0,1,0))</f>
      </c>
      <c r="AJ6" s="78">
        <f>IF($U6="",0,IF(COUNTIF('ONLINE ORDERS'!$B$6:$B$155,$U6)=0,1,0))</f>
      </c>
      <c r="AK6" s="75"/>
    </row>
    <row r="7" ht="17" customHeight="1" spans="1:37" x14ac:dyDescent="0.25">
      <c r="A7" s="75"/>
      <c r="B7" s="76" t="s">
        <v>335</v>
      </c>
      <c r="C7" s="76" t="s">
        <v>227</v>
      </c>
      <c r="D7" s="78">
        <f>IF($B7="","",IF($C7="","",IFERROR(IF(INDEX('PEOPLE + BUDGETS'!$C$6:$C$105,MATCH($C7,'PEOPLE + BUDGETS'!$B$6:$B$105,0))="","",INDEX('PEOPLE + BUDGETS'!$C$6:$C$105,MATCH($C7,'PEOPLE + BUDGETS'!$B$6:$B$105,0))),"")))</f>
      </c>
      <c r="E7" s="78">
        <f>IF($B7="","",IF(OR($S7="Cancelled",$S7="Returned"),"No",IFERROR(INDEX('PEOPLE + BUDGETS'!$O$6:$O$105,MATCH($C7,'PEOPLE + BUDGETS'!$B$6:$B$105,0)),"Yes")))</f>
      </c>
      <c r="F7" s="77" t="s">
        <v>336</v>
      </c>
      <c r="G7" s="76" t="s">
        <v>272</v>
      </c>
      <c r="H7" s="76" t="s">
        <v>337</v>
      </c>
      <c r="I7" s="76" t="s">
        <v>338</v>
      </c>
      <c r="J7" s="77"/>
      <c r="K7" s="76" t="s">
        <v>339</v>
      </c>
      <c r="L7" s="89">
        <v>1</v>
      </c>
      <c r="M7" s="84">
        <v>220</v>
      </c>
      <c r="N7" s="84">
        <v>20</v>
      </c>
      <c r="O7" s="84">
        <v>0</v>
      </c>
      <c r="P7" s="84">
        <v>26</v>
      </c>
      <c r="Q7" s="85">
        <f>IF($B7="","",ROUND(MAX(0,$L7*$M7-$N7)+$O7+$P7,2))</f>
      </c>
      <c r="R7" s="84"/>
      <c r="S7" s="76" t="s">
        <v>340</v>
      </c>
      <c r="T7" s="78">
        <f>IF($B7="","",IF($S7="Purchased","Yes","No"))</f>
      </c>
      <c r="U7" s="76"/>
      <c r="V7" s="76" t="s">
        <v>341</v>
      </c>
      <c r="W7" s="78">
        <f>IF($B7="","",IF($U7="","—",IF($U7="","",IFERROR(IF(INDEX('ONLINE ORDERS'!$M$6:$M$155,MATCH($U7,'ONLINE ORDERS'!$B$6:$B$155,0))="","",INDEX('ONLINE ORDERS'!$M$6:$M$155,MATCH($U7,'ONLINE ORDERS'!$B$6:$B$155,0))),""))))</f>
      </c>
      <c r="X7" s="76"/>
      <c r="Y7" s="76" t="s">
        <v>334</v>
      </c>
      <c r="Z7" s="76" t="s">
        <v>194</v>
      </c>
      <c r="AA7" s="76" t="s">
        <v>194</v>
      </c>
      <c r="AB7" s="81"/>
      <c r="AC7" s="81"/>
      <c r="AD7" s="78">
        <f>IF($F7="","",LOWER(TRIM($C7&amp;"|"&amp;TRIM($F7))))</f>
      </c>
      <c r="AE7" s="78">
        <f>IF($AD7="","",IF(COUNTIF('GIFT PLANNER'!$AD$6:$AD$205,$AD7)&gt;1,"CHECK DUPLICATE",""))</f>
      </c>
      <c r="AF7" s="77" t="s">
        <v>186</v>
      </c>
      <c r="AG7" s="78">
        <f>IF($B7="",0,IF(COUNTIF('GIFT PLANNER'!$B$6:$B$205,$B7)&gt;1,1,0))</f>
      </c>
      <c r="AH7" s="78">
        <f>IF(OR(N($Q7)&gt;0,N($R7)&gt;0),IF($G7="",1,IF(COUNTIF('MASTER BUDGET'!$D$6:$D$25,$G7)=0,1,0)),0)</f>
      </c>
      <c r="AI7" s="78">
        <f>IF($C7="",0,IF(COUNTIF('PEOPLE + BUDGETS'!$B$6:$B$105,$C7)=0,1,0))</f>
      </c>
      <c r="AJ7" s="78">
        <f>IF($U7="",0,IF(COUNTIF('ONLINE ORDERS'!$B$6:$B$155,$U7)=0,1,0))</f>
      </c>
      <c r="AK7" s="75"/>
    </row>
    <row r="8" ht="17" customHeight="1" spans="1:37" x14ac:dyDescent="0.25">
      <c r="A8" s="75"/>
      <c r="B8" s="76" t="s">
        <v>342</v>
      </c>
      <c r="C8" s="76" t="s">
        <v>239</v>
      </c>
      <c r="D8" s="78">
        <f>IF($B8="","",IF($C8="","",IFERROR(IF(INDEX('PEOPLE + BUDGETS'!$C$6:$C$105,MATCH($C8,'PEOPLE + BUDGETS'!$B$6:$B$105,0))="","",INDEX('PEOPLE + BUDGETS'!$C$6:$C$105,MATCH($C8,'PEOPLE + BUDGETS'!$B$6:$B$105,0))),"")))</f>
      </c>
      <c r="E8" s="78">
        <f>IF($B8="","",IF(OR($S8="Cancelled",$S8="Returned"),"No",IFERROR(INDEX('PEOPLE + BUDGETS'!$O$6:$O$105,MATCH($C8,'PEOPLE + BUDGETS'!$B$6:$B$105,0)),"Yes")))</f>
      </c>
      <c r="F8" s="77" t="s">
        <v>343</v>
      </c>
      <c r="G8" s="76" t="s">
        <v>272</v>
      </c>
      <c r="H8" s="76" t="s">
        <v>344</v>
      </c>
      <c r="I8" s="76" t="s">
        <v>345</v>
      </c>
      <c r="J8" s="77"/>
      <c r="K8" s="76" t="s">
        <v>346</v>
      </c>
      <c r="L8" s="89">
        <v>1</v>
      </c>
      <c r="M8" s="84">
        <v>96</v>
      </c>
      <c r="N8" s="84">
        <v>0</v>
      </c>
      <c r="O8" s="84">
        <v>0</v>
      </c>
      <c r="P8" s="84">
        <v>0</v>
      </c>
      <c r="Q8" s="85">
        <f>IF($B8="","",ROUND(MAX(0,$L8*$M8-$N8)+$O8+$P8,2))</f>
      </c>
      <c r="R8" s="84">
        <v>96</v>
      </c>
      <c r="S8" s="76" t="s">
        <v>331</v>
      </c>
      <c r="T8" s="78">
        <f>IF($B8="","",IF($S8="Purchased","Yes","No"))</f>
      </c>
      <c r="U8" s="76"/>
      <c r="V8" s="76" t="s">
        <v>347</v>
      </c>
      <c r="W8" s="78">
        <f>IF($B8="","",IF($U8="","—",IF($U8="","",IFERROR(IF(INDEX('ONLINE ORDERS'!$M$6:$M$155,MATCH($U8,'ONLINE ORDERS'!$B$6:$B$155,0))="","",INDEX('ONLINE ORDERS'!$M$6:$M$155,MATCH($U8,'ONLINE ORDERS'!$B$6:$B$155,0))),""))))</f>
      </c>
      <c r="X8" s="76"/>
      <c r="Y8" s="76" t="s">
        <v>348</v>
      </c>
      <c r="Z8" s="76" t="s">
        <v>194</v>
      </c>
      <c r="AA8" s="76" t="s">
        <v>185</v>
      </c>
      <c r="AB8" s="81">
        <v>46346</v>
      </c>
      <c r="AC8" s="81"/>
      <c r="AD8" s="78">
        <f>IF($F8="","",LOWER(TRIM($C8&amp;"|"&amp;TRIM($F8))))</f>
      </c>
      <c r="AE8" s="78">
        <f>IF($AD8="","",IF(COUNTIF('GIFT PLANNER'!$AD$6:$AD$205,$AD8)&gt;1,"CHECK DUPLICATE",""))</f>
      </c>
      <c r="AF8" s="77" t="s">
        <v>186</v>
      </c>
      <c r="AG8" s="78">
        <f>IF($B8="",0,IF(COUNTIF('GIFT PLANNER'!$B$6:$B$205,$B8)&gt;1,1,0))</f>
      </c>
      <c r="AH8" s="78">
        <f>IF(OR(N($Q8)&gt;0,N($R8)&gt;0),IF($G8="",1,IF(COUNTIF('MASTER BUDGET'!$D$6:$D$25,$G8)=0,1,0)),0)</f>
      </c>
      <c r="AI8" s="78">
        <f>IF($C8="",0,IF(COUNTIF('PEOPLE + BUDGETS'!$B$6:$B$105,$C8)=0,1,0))</f>
      </c>
      <c r="AJ8" s="78">
        <f>IF($U8="",0,IF(COUNTIF('ONLINE ORDERS'!$B$6:$B$155,$U8)=0,1,0))</f>
      </c>
      <c r="AK8" s="75"/>
    </row>
    <row r="9" ht="17" customHeight="1" spans="1:37" x14ac:dyDescent="0.25">
      <c r="A9" s="75"/>
      <c r="B9" s="79"/>
      <c r="C9" s="79"/>
      <c r="D9" s="78">
        <f>IF($B9="","",IF($C9="","",IFERROR(IF(INDEX('PEOPLE + BUDGETS'!$C$6:$C$105,MATCH($C9,'PEOPLE + BUDGETS'!$B$6:$B$105,0))="","",INDEX('PEOPLE + BUDGETS'!$C$6:$C$105,MATCH($C9,'PEOPLE + BUDGETS'!$B$6:$B$105,0))),"")))</f>
      </c>
      <c r="E9" s="78">
        <f>IF($B9="","",IF(OR($S9="Cancelled",$S9="Returned"),"No",IFERROR(INDEX('PEOPLE + BUDGETS'!$O$6:$O$105,MATCH($C9,'PEOPLE + BUDGETS'!$B$6:$B$105,0)),"Yes")))</f>
      </c>
      <c r="F9" s="80"/>
      <c r="G9" s="79"/>
      <c r="H9" s="79"/>
      <c r="I9" s="79"/>
      <c r="J9" s="80"/>
      <c r="K9" s="79"/>
      <c r="L9" s="90"/>
      <c r="M9" s="86"/>
      <c r="N9" s="86"/>
      <c r="O9" s="86"/>
      <c r="P9" s="86"/>
      <c r="Q9" s="85">
        <f>IF($B9="","",ROUND(MAX(0,$L9*$M9-$N9)+$O9+$P9,2))</f>
      </c>
      <c r="R9" s="86"/>
      <c r="S9" s="79"/>
      <c r="T9" s="78">
        <f>IF($B9="","",IF($S9="Purchased","Yes","No"))</f>
      </c>
      <c r="U9" s="79"/>
      <c r="V9" s="79"/>
      <c r="W9" s="78">
        <f>IF($B9="","",IF($U9="","—",IF($U9="","",IFERROR(IF(INDEX('ONLINE ORDERS'!$M$6:$M$155,MATCH($U9,'ONLINE ORDERS'!$B$6:$B$155,0))="","",INDEX('ONLINE ORDERS'!$M$6:$M$155,MATCH($U9,'ONLINE ORDERS'!$B$6:$B$155,0))),""))))</f>
      </c>
      <c r="X9" s="79"/>
      <c r="Y9" s="79"/>
      <c r="Z9" s="79"/>
      <c r="AA9" s="79"/>
      <c r="AB9" s="82"/>
      <c r="AC9" s="82"/>
      <c r="AD9" s="78">
        <f>IF($F9="","",LOWER(TRIM($C9&amp;"|"&amp;TRIM($F9))))</f>
      </c>
      <c r="AE9" s="78">
        <f>IF($AD9="","",IF(COUNTIF('GIFT PLANNER'!$AD$6:$AD$205,$AD9)&gt;1,"CHECK DUPLICATE",""))</f>
      </c>
      <c r="AF9" s="80"/>
      <c r="AG9" s="78">
        <f>IF($B9="",0,IF(COUNTIF('GIFT PLANNER'!$B$6:$B$205,$B9)&gt;1,1,0))</f>
      </c>
      <c r="AH9" s="78">
        <f>IF(OR(N($Q9)&gt;0,N($R9)&gt;0),IF($G9="",1,IF(COUNTIF('MASTER BUDGET'!$D$6:$D$25,$G9)=0,1,0)),0)</f>
      </c>
      <c r="AI9" s="78">
        <f>IF($C9="",0,IF(COUNTIF('PEOPLE + BUDGETS'!$B$6:$B$105,$C9)=0,1,0))</f>
      </c>
      <c r="AJ9" s="78">
        <f>IF($U9="",0,IF(COUNTIF('ONLINE ORDERS'!$B$6:$B$155,$U9)=0,1,0))</f>
      </c>
      <c r="AK9" s="75"/>
    </row>
    <row r="10" ht="17" customHeight="1" spans="1:37" x14ac:dyDescent="0.25">
      <c r="A10" s="75"/>
      <c r="B10" s="79"/>
      <c r="C10" s="79"/>
      <c r="D10" s="78">
        <f>IF($B10="","",IF($C10="","",IFERROR(IF(INDEX('PEOPLE + BUDGETS'!$C$6:$C$105,MATCH($C10,'PEOPLE + BUDGETS'!$B$6:$B$105,0))="","",INDEX('PEOPLE + BUDGETS'!$C$6:$C$105,MATCH($C10,'PEOPLE + BUDGETS'!$B$6:$B$105,0))),"")))</f>
      </c>
      <c r="E10" s="78">
        <f>IF($B10="","",IF(OR($S10="Cancelled",$S10="Returned"),"No",IFERROR(INDEX('PEOPLE + BUDGETS'!$O$6:$O$105,MATCH($C10,'PEOPLE + BUDGETS'!$B$6:$B$105,0)),"Yes")))</f>
      </c>
      <c r="F10" s="80"/>
      <c r="G10" s="79"/>
      <c r="H10" s="79"/>
      <c r="I10" s="79"/>
      <c r="J10" s="80"/>
      <c r="K10" s="79"/>
      <c r="L10" s="90"/>
      <c r="M10" s="86"/>
      <c r="N10" s="86"/>
      <c r="O10" s="86"/>
      <c r="P10" s="86"/>
      <c r="Q10" s="85">
        <f>IF($B10="","",ROUND(MAX(0,$L10*$M10-$N10)+$O10+$P10,2))</f>
      </c>
      <c r="R10" s="86"/>
      <c r="S10" s="79"/>
      <c r="T10" s="78">
        <f>IF($B10="","",IF($S10="Purchased","Yes","No"))</f>
      </c>
      <c r="U10" s="79"/>
      <c r="V10" s="79"/>
      <c r="W10" s="78">
        <f>IF($B10="","",IF($U10="","—",IF($U10="","",IFERROR(IF(INDEX('ONLINE ORDERS'!$M$6:$M$155,MATCH($U10,'ONLINE ORDERS'!$B$6:$B$155,0))="","",INDEX('ONLINE ORDERS'!$M$6:$M$155,MATCH($U10,'ONLINE ORDERS'!$B$6:$B$155,0))),""))))</f>
      </c>
      <c r="X10" s="79"/>
      <c r="Y10" s="79"/>
      <c r="Z10" s="79"/>
      <c r="AA10" s="79"/>
      <c r="AB10" s="82"/>
      <c r="AC10" s="82"/>
      <c r="AD10" s="78">
        <f>IF($F10="","",LOWER(TRIM($C10&amp;"|"&amp;TRIM($F10))))</f>
      </c>
      <c r="AE10" s="78">
        <f>IF($AD10="","",IF(COUNTIF('GIFT PLANNER'!$AD$6:$AD$205,$AD10)&gt;1,"CHECK DUPLICATE",""))</f>
      </c>
      <c r="AF10" s="80"/>
      <c r="AG10" s="78">
        <f>IF($B10="",0,IF(COUNTIF('GIFT PLANNER'!$B$6:$B$205,$B10)&gt;1,1,0))</f>
      </c>
      <c r="AH10" s="78">
        <f>IF(OR(N($Q10)&gt;0,N($R10)&gt;0),IF($G10="",1,IF(COUNTIF('MASTER BUDGET'!$D$6:$D$25,$G10)=0,1,0)),0)</f>
      </c>
      <c r="AI10" s="78">
        <f>IF($C10="",0,IF(COUNTIF('PEOPLE + BUDGETS'!$B$6:$B$105,$C10)=0,1,0))</f>
      </c>
      <c r="AJ10" s="78">
        <f>IF($U10="",0,IF(COUNTIF('ONLINE ORDERS'!$B$6:$B$155,$U10)=0,1,0))</f>
      </c>
      <c r="AK10" s="75"/>
    </row>
    <row r="11" ht="17" customHeight="1" spans="1:37" x14ac:dyDescent="0.25">
      <c r="A11" s="75"/>
      <c r="B11" s="79"/>
      <c r="C11" s="79"/>
      <c r="D11" s="78">
        <f>IF($B11="","",IF($C11="","",IFERROR(IF(INDEX('PEOPLE + BUDGETS'!$C$6:$C$105,MATCH($C11,'PEOPLE + BUDGETS'!$B$6:$B$105,0))="","",INDEX('PEOPLE + BUDGETS'!$C$6:$C$105,MATCH($C11,'PEOPLE + BUDGETS'!$B$6:$B$105,0))),"")))</f>
      </c>
      <c r="E11" s="78">
        <f>IF($B11="","",IF(OR($S11="Cancelled",$S11="Returned"),"No",IFERROR(INDEX('PEOPLE + BUDGETS'!$O$6:$O$105,MATCH($C11,'PEOPLE + BUDGETS'!$B$6:$B$105,0)),"Yes")))</f>
      </c>
      <c r="F11" s="80"/>
      <c r="G11" s="79"/>
      <c r="H11" s="79"/>
      <c r="I11" s="79"/>
      <c r="J11" s="80"/>
      <c r="K11" s="79"/>
      <c r="L11" s="90"/>
      <c r="M11" s="86"/>
      <c r="N11" s="86"/>
      <c r="O11" s="86"/>
      <c r="P11" s="86"/>
      <c r="Q11" s="85">
        <f>IF($B11="","",ROUND(MAX(0,$L11*$M11-$N11)+$O11+$P11,2))</f>
      </c>
      <c r="R11" s="86"/>
      <c r="S11" s="79"/>
      <c r="T11" s="78">
        <f>IF($B11="","",IF($S11="Purchased","Yes","No"))</f>
      </c>
      <c r="U11" s="79"/>
      <c r="V11" s="79"/>
      <c r="W11" s="78">
        <f>IF($B11="","",IF($U11="","—",IF($U11="","",IFERROR(IF(INDEX('ONLINE ORDERS'!$M$6:$M$155,MATCH($U11,'ONLINE ORDERS'!$B$6:$B$155,0))="","",INDEX('ONLINE ORDERS'!$M$6:$M$155,MATCH($U11,'ONLINE ORDERS'!$B$6:$B$155,0))),""))))</f>
      </c>
      <c r="X11" s="79"/>
      <c r="Y11" s="79"/>
      <c r="Z11" s="79"/>
      <c r="AA11" s="79"/>
      <c r="AB11" s="82"/>
      <c r="AC11" s="82"/>
      <c r="AD11" s="78">
        <f>IF($F11="","",LOWER(TRIM($C11&amp;"|"&amp;TRIM($F11))))</f>
      </c>
      <c r="AE11" s="78">
        <f>IF($AD11="","",IF(COUNTIF('GIFT PLANNER'!$AD$6:$AD$205,$AD11)&gt;1,"CHECK DUPLICATE",""))</f>
      </c>
      <c r="AF11" s="80"/>
      <c r="AG11" s="78">
        <f>IF($B11="",0,IF(COUNTIF('GIFT PLANNER'!$B$6:$B$205,$B11)&gt;1,1,0))</f>
      </c>
      <c r="AH11" s="78">
        <f>IF(OR(N($Q11)&gt;0,N($R11)&gt;0),IF($G11="",1,IF(COUNTIF('MASTER BUDGET'!$D$6:$D$25,$G11)=0,1,0)),0)</f>
      </c>
      <c r="AI11" s="78">
        <f>IF($C11="",0,IF(COUNTIF('PEOPLE + BUDGETS'!$B$6:$B$105,$C11)=0,1,0))</f>
      </c>
      <c r="AJ11" s="78">
        <f>IF($U11="",0,IF(COUNTIF('ONLINE ORDERS'!$B$6:$B$155,$U11)=0,1,0))</f>
      </c>
      <c r="AK11" s="75"/>
    </row>
    <row r="12" ht="17" customHeight="1" spans="1:37" x14ac:dyDescent="0.25">
      <c r="A12" s="75"/>
      <c r="B12" s="79"/>
      <c r="C12" s="79"/>
      <c r="D12" s="78">
        <f>IF($B12="","",IF($C12="","",IFERROR(IF(INDEX('PEOPLE + BUDGETS'!$C$6:$C$105,MATCH($C12,'PEOPLE + BUDGETS'!$B$6:$B$105,0))="","",INDEX('PEOPLE + BUDGETS'!$C$6:$C$105,MATCH($C12,'PEOPLE + BUDGETS'!$B$6:$B$105,0))),"")))</f>
      </c>
      <c r="E12" s="78">
        <f>IF($B12="","",IF(OR($S12="Cancelled",$S12="Returned"),"No",IFERROR(INDEX('PEOPLE + BUDGETS'!$O$6:$O$105,MATCH($C12,'PEOPLE + BUDGETS'!$B$6:$B$105,0)),"Yes")))</f>
      </c>
      <c r="F12" s="80"/>
      <c r="G12" s="79"/>
      <c r="H12" s="79"/>
      <c r="I12" s="79"/>
      <c r="J12" s="80"/>
      <c r="K12" s="79"/>
      <c r="L12" s="90"/>
      <c r="M12" s="86"/>
      <c r="N12" s="86"/>
      <c r="O12" s="86"/>
      <c r="P12" s="86"/>
      <c r="Q12" s="85">
        <f>IF($B12="","",ROUND(MAX(0,$L12*$M12-$N12)+$O12+$P12,2))</f>
      </c>
      <c r="R12" s="86"/>
      <c r="S12" s="79"/>
      <c r="T12" s="78">
        <f>IF($B12="","",IF($S12="Purchased","Yes","No"))</f>
      </c>
      <c r="U12" s="79"/>
      <c r="V12" s="79"/>
      <c r="W12" s="78">
        <f>IF($B12="","",IF($U12="","—",IF($U12="","",IFERROR(IF(INDEX('ONLINE ORDERS'!$M$6:$M$155,MATCH($U12,'ONLINE ORDERS'!$B$6:$B$155,0))="","",INDEX('ONLINE ORDERS'!$M$6:$M$155,MATCH($U12,'ONLINE ORDERS'!$B$6:$B$155,0))),""))))</f>
      </c>
      <c r="X12" s="79"/>
      <c r="Y12" s="79"/>
      <c r="Z12" s="79"/>
      <c r="AA12" s="79"/>
      <c r="AB12" s="82"/>
      <c r="AC12" s="82"/>
      <c r="AD12" s="78">
        <f>IF($F12="","",LOWER(TRIM($C12&amp;"|"&amp;TRIM($F12))))</f>
      </c>
      <c r="AE12" s="78">
        <f>IF($AD12="","",IF(COUNTIF('GIFT PLANNER'!$AD$6:$AD$205,$AD12)&gt;1,"CHECK DUPLICATE",""))</f>
      </c>
      <c r="AF12" s="80"/>
      <c r="AG12" s="78">
        <f>IF($B12="",0,IF(COUNTIF('GIFT PLANNER'!$B$6:$B$205,$B12)&gt;1,1,0))</f>
      </c>
      <c r="AH12" s="78">
        <f>IF(OR(N($Q12)&gt;0,N($R12)&gt;0),IF($G12="",1,IF(COUNTIF('MASTER BUDGET'!$D$6:$D$25,$G12)=0,1,0)),0)</f>
      </c>
      <c r="AI12" s="78">
        <f>IF($C12="",0,IF(COUNTIF('PEOPLE + BUDGETS'!$B$6:$B$105,$C12)=0,1,0))</f>
      </c>
      <c r="AJ12" s="78">
        <f>IF($U12="",0,IF(COUNTIF('ONLINE ORDERS'!$B$6:$B$155,$U12)=0,1,0))</f>
      </c>
      <c r="AK12" s="75"/>
    </row>
    <row r="13" ht="17" customHeight="1" spans="1:37" x14ac:dyDescent="0.25">
      <c r="A13" s="75"/>
      <c r="B13" s="79"/>
      <c r="C13" s="79"/>
      <c r="D13" s="78">
        <f>IF($B13="","",IF($C13="","",IFERROR(IF(INDEX('PEOPLE + BUDGETS'!$C$6:$C$105,MATCH($C13,'PEOPLE + BUDGETS'!$B$6:$B$105,0))="","",INDEX('PEOPLE + BUDGETS'!$C$6:$C$105,MATCH($C13,'PEOPLE + BUDGETS'!$B$6:$B$105,0))),"")))</f>
      </c>
      <c r="E13" s="78">
        <f>IF($B13="","",IF(OR($S13="Cancelled",$S13="Returned"),"No",IFERROR(INDEX('PEOPLE + BUDGETS'!$O$6:$O$105,MATCH($C13,'PEOPLE + BUDGETS'!$B$6:$B$105,0)),"Yes")))</f>
      </c>
      <c r="F13" s="80"/>
      <c r="G13" s="79"/>
      <c r="H13" s="79"/>
      <c r="I13" s="79"/>
      <c r="J13" s="80"/>
      <c r="K13" s="79"/>
      <c r="L13" s="90"/>
      <c r="M13" s="86"/>
      <c r="N13" s="86"/>
      <c r="O13" s="86"/>
      <c r="P13" s="86"/>
      <c r="Q13" s="85">
        <f>IF($B13="","",ROUND(MAX(0,$L13*$M13-$N13)+$O13+$P13,2))</f>
      </c>
      <c r="R13" s="86"/>
      <c r="S13" s="79"/>
      <c r="T13" s="78">
        <f>IF($B13="","",IF($S13="Purchased","Yes","No"))</f>
      </c>
      <c r="U13" s="79"/>
      <c r="V13" s="79"/>
      <c r="W13" s="78">
        <f>IF($B13="","",IF($U13="","—",IF($U13="","",IFERROR(IF(INDEX('ONLINE ORDERS'!$M$6:$M$155,MATCH($U13,'ONLINE ORDERS'!$B$6:$B$155,0))="","",INDEX('ONLINE ORDERS'!$M$6:$M$155,MATCH($U13,'ONLINE ORDERS'!$B$6:$B$155,0))),""))))</f>
      </c>
      <c r="X13" s="79"/>
      <c r="Y13" s="79"/>
      <c r="Z13" s="79"/>
      <c r="AA13" s="79"/>
      <c r="AB13" s="82"/>
      <c r="AC13" s="82"/>
      <c r="AD13" s="78">
        <f>IF($F13="","",LOWER(TRIM($C13&amp;"|"&amp;TRIM($F13))))</f>
      </c>
      <c r="AE13" s="78">
        <f>IF($AD13="","",IF(COUNTIF('GIFT PLANNER'!$AD$6:$AD$205,$AD13)&gt;1,"CHECK DUPLICATE",""))</f>
      </c>
      <c r="AF13" s="80"/>
      <c r="AG13" s="78">
        <f>IF($B13="",0,IF(COUNTIF('GIFT PLANNER'!$B$6:$B$205,$B13)&gt;1,1,0))</f>
      </c>
      <c r="AH13" s="78">
        <f>IF(OR(N($Q13)&gt;0,N($R13)&gt;0),IF($G13="",1,IF(COUNTIF('MASTER BUDGET'!$D$6:$D$25,$G13)=0,1,0)),0)</f>
      </c>
      <c r="AI13" s="78">
        <f>IF($C13="",0,IF(COUNTIF('PEOPLE + BUDGETS'!$B$6:$B$105,$C13)=0,1,0))</f>
      </c>
      <c r="AJ13" s="78">
        <f>IF($U13="",0,IF(COUNTIF('ONLINE ORDERS'!$B$6:$B$155,$U13)=0,1,0))</f>
      </c>
      <c r="AK13" s="75"/>
    </row>
    <row r="14" ht="17" customHeight="1" spans="1:37" x14ac:dyDescent="0.25">
      <c r="A14" s="75"/>
      <c r="B14" s="79"/>
      <c r="C14" s="79"/>
      <c r="D14" s="78">
        <f>IF($B14="","",IF($C14="","",IFERROR(IF(INDEX('PEOPLE + BUDGETS'!$C$6:$C$105,MATCH($C14,'PEOPLE + BUDGETS'!$B$6:$B$105,0))="","",INDEX('PEOPLE + BUDGETS'!$C$6:$C$105,MATCH($C14,'PEOPLE + BUDGETS'!$B$6:$B$105,0))),"")))</f>
      </c>
      <c r="E14" s="78">
        <f>IF($B14="","",IF(OR($S14="Cancelled",$S14="Returned"),"No",IFERROR(INDEX('PEOPLE + BUDGETS'!$O$6:$O$105,MATCH($C14,'PEOPLE + BUDGETS'!$B$6:$B$105,0)),"Yes")))</f>
      </c>
      <c r="F14" s="80"/>
      <c r="G14" s="79"/>
      <c r="H14" s="79"/>
      <c r="I14" s="79"/>
      <c r="J14" s="80"/>
      <c r="K14" s="79"/>
      <c r="L14" s="90"/>
      <c r="M14" s="86"/>
      <c r="N14" s="86"/>
      <c r="O14" s="86"/>
      <c r="P14" s="86"/>
      <c r="Q14" s="85">
        <f>IF($B14="","",ROUND(MAX(0,$L14*$M14-$N14)+$O14+$P14,2))</f>
      </c>
      <c r="R14" s="86"/>
      <c r="S14" s="79"/>
      <c r="T14" s="78">
        <f>IF($B14="","",IF($S14="Purchased","Yes","No"))</f>
      </c>
      <c r="U14" s="79"/>
      <c r="V14" s="79"/>
      <c r="W14" s="78">
        <f>IF($B14="","",IF($U14="","—",IF($U14="","",IFERROR(IF(INDEX('ONLINE ORDERS'!$M$6:$M$155,MATCH($U14,'ONLINE ORDERS'!$B$6:$B$155,0))="","",INDEX('ONLINE ORDERS'!$M$6:$M$155,MATCH($U14,'ONLINE ORDERS'!$B$6:$B$155,0))),""))))</f>
      </c>
      <c r="X14" s="79"/>
      <c r="Y14" s="79"/>
      <c r="Z14" s="79"/>
      <c r="AA14" s="79"/>
      <c r="AB14" s="82"/>
      <c r="AC14" s="82"/>
      <c r="AD14" s="78">
        <f>IF($F14="","",LOWER(TRIM($C14&amp;"|"&amp;TRIM($F14))))</f>
      </c>
      <c r="AE14" s="78">
        <f>IF($AD14="","",IF(COUNTIF('GIFT PLANNER'!$AD$6:$AD$205,$AD14)&gt;1,"CHECK DUPLICATE",""))</f>
      </c>
      <c r="AF14" s="80"/>
      <c r="AG14" s="78">
        <f>IF($B14="",0,IF(COUNTIF('GIFT PLANNER'!$B$6:$B$205,$B14)&gt;1,1,0))</f>
      </c>
      <c r="AH14" s="78">
        <f>IF(OR(N($Q14)&gt;0,N($R14)&gt;0),IF($G14="",1,IF(COUNTIF('MASTER BUDGET'!$D$6:$D$25,$G14)=0,1,0)),0)</f>
      </c>
      <c r="AI14" s="78">
        <f>IF($C14="",0,IF(COUNTIF('PEOPLE + BUDGETS'!$B$6:$B$105,$C14)=0,1,0))</f>
      </c>
      <c r="AJ14" s="78">
        <f>IF($U14="",0,IF(COUNTIF('ONLINE ORDERS'!$B$6:$B$155,$U14)=0,1,0))</f>
      </c>
      <c r="AK14" s="75"/>
    </row>
    <row r="15" ht="17" customHeight="1" spans="1:37" x14ac:dyDescent="0.25">
      <c r="A15" s="75"/>
      <c r="B15" s="79"/>
      <c r="C15" s="79"/>
      <c r="D15" s="78">
        <f>IF($B15="","",IF($C15="","",IFERROR(IF(INDEX('PEOPLE + BUDGETS'!$C$6:$C$105,MATCH($C15,'PEOPLE + BUDGETS'!$B$6:$B$105,0))="","",INDEX('PEOPLE + BUDGETS'!$C$6:$C$105,MATCH($C15,'PEOPLE + BUDGETS'!$B$6:$B$105,0))),"")))</f>
      </c>
      <c r="E15" s="78">
        <f>IF($B15="","",IF(OR($S15="Cancelled",$S15="Returned"),"No",IFERROR(INDEX('PEOPLE + BUDGETS'!$O$6:$O$105,MATCH($C15,'PEOPLE + BUDGETS'!$B$6:$B$105,0)),"Yes")))</f>
      </c>
      <c r="F15" s="80"/>
      <c r="G15" s="79"/>
      <c r="H15" s="79"/>
      <c r="I15" s="79"/>
      <c r="J15" s="80"/>
      <c r="K15" s="79"/>
      <c r="L15" s="90"/>
      <c r="M15" s="86"/>
      <c r="N15" s="86"/>
      <c r="O15" s="86"/>
      <c r="P15" s="86"/>
      <c r="Q15" s="85">
        <f>IF($B15="","",ROUND(MAX(0,$L15*$M15-$N15)+$O15+$P15,2))</f>
      </c>
      <c r="R15" s="86"/>
      <c r="S15" s="79"/>
      <c r="T15" s="78">
        <f>IF($B15="","",IF($S15="Purchased","Yes","No"))</f>
      </c>
      <c r="U15" s="79"/>
      <c r="V15" s="79"/>
      <c r="W15" s="78">
        <f>IF($B15="","",IF($U15="","—",IF($U15="","",IFERROR(IF(INDEX('ONLINE ORDERS'!$M$6:$M$155,MATCH($U15,'ONLINE ORDERS'!$B$6:$B$155,0))="","",INDEX('ONLINE ORDERS'!$M$6:$M$155,MATCH($U15,'ONLINE ORDERS'!$B$6:$B$155,0))),""))))</f>
      </c>
      <c r="X15" s="79"/>
      <c r="Y15" s="79"/>
      <c r="Z15" s="79"/>
      <c r="AA15" s="79"/>
      <c r="AB15" s="82"/>
      <c r="AC15" s="82"/>
      <c r="AD15" s="78">
        <f>IF($F15="","",LOWER(TRIM($C15&amp;"|"&amp;TRIM($F15))))</f>
      </c>
      <c r="AE15" s="78">
        <f>IF($AD15="","",IF(COUNTIF('GIFT PLANNER'!$AD$6:$AD$205,$AD15)&gt;1,"CHECK DUPLICATE",""))</f>
      </c>
      <c r="AF15" s="80"/>
      <c r="AG15" s="78">
        <f>IF($B15="",0,IF(COUNTIF('GIFT PLANNER'!$B$6:$B$205,$B15)&gt;1,1,0))</f>
      </c>
      <c r="AH15" s="78">
        <f>IF(OR(N($Q15)&gt;0,N($R15)&gt;0),IF($G15="",1,IF(COUNTIF('MASTER BUDGET'!$D$6:$D$25,$G15)=0,1,0)),0)</f>
      </c>
      <c r="AI15" s="78">
        <f>IF($C15="",0,IF(COUNTIF('PEOPLE + BUDGETS'!$B$6:$B$105,$C15)=0,1,0))</f>
      </c>
      <c r="AJ15" s="78">
        <f>IF($U15="",0,IF(COUNTIF('ONLINE ORDERS'!$B$6:$B$155,$U15)=0,1,0))</f>
      </c>
      <c r="AK15" s="75"/>
    </row>
    <row r="16" ht="17" customHeight="1" spans="1:37" x14ac:dyDescent="0.25">
      <c r="A16" s="75"/>
      <c r="B16" s="79"/>
      <c r="C16" s="79"/>
      <c r="D16" s="78">
        <f>IF($B16="","",IF($C16="","",IFERROR(IF(INDEX('PEOPLE + BUDGETS'!$C$6:$C$105,MATCH($C16,'PEOPLE + BUDGETS'!$B$6:$B$105,0))="","",INDEX('PEOPLE + BUDGETS'!$C$6:$C$105,MATCH($C16,'PEOPLE + BUDGETS'!$B$6:$B$105,0))),"")))</f>
      </c>
      <c r="E16" s="78">
        <f>IF($B16="","",IF(OR($S16="Cancelled",$S16="Returned"),"No",IFERROR(INDEX('PEOPLE + BUDGETS'!$O$6:$O$105,MATCH($C16,'PEOPLE + BUDGETS'!$B$6:$B$105,0)),"Yes")))</f>
      </c>
      <c r="F16" s="80"/>
      <c r="G16" s="79"/>
      <c r="H16" s="79"/>
      <c r="I16" s="79"/>
      <c r="J16" s="80"/>
      <c r="K16" s="79"/>
      <c r="L16" s="90"/>
      <c r="M16" s="86"/>
      <c r="N16" s="86"/>
      <c r="O16" s="86"/>
      <c r="P16" s="86"/>
      <c r="Q16" s="85">
        <f>IF($B16="","",ROUND(MAX(0,$L16*$M16-$N16)+$O16+$P16,2))</f>
      </c>
      <c r="R16" s="86"/>
      <c r="S16" s="79"/>
      <c r="T16" s="78">
        <f>IF($B16="","",IF($S16="Purchased","Yes","No"))</f>
      </c>
      <c r="U16" s="79"/>
      <c r="V16" s="79"/>
      <c r="W16" s="78">
        <f>IF($B16="","",IF($U16="","—",IF($U16="","",IFERROR(IF(INDEX('ONLINE ORDERS'!$M$6:$M$155,MATCH($U16,'ONLINE ORDERS'!$B$6:$B$155,0))="","",INDEX('ONLINE ORDERS'!$M$6:$M$155,MATCH($U16,'ONLINE ORDERS'!$B$6:$B$155,0))),""))))</f>
      </c>
      <c r="X16" s="79"/>
      <c r="Y16" s="79"/>
      <c r="Z16" s="79"/>
      <c r="AA16" s="79"/>
      <c r="AB16" s="82"/>
      <c r="AC16" s="82"/>
      <c r="AD16" s="78">
        <f>IF($F16="","",LOWER(TRIM($C16&amp;"|"&amp;TRIM($F16))))</f>
      </c>
      <c r="AE16" s="78">
        <f>IF($AD16="","",IF(COUNTIF('GIFT PLANNER'!$AD$6:$AD$205,$AD16)&gt;1,"CHECK DUPLICATE",""))</f>
      </c>
      <c r="AF16" s="80"/>
      <c r="AG16" s="78">
        <f>IF($B16="",0,IF(COUNTIF('GIFT PLANNER'!$B$6:$B$205,$B16)&gt;1,1,0))</f>
      </c>
      <c r="AH16" s="78">
        <f>IF(OR(N($Q16)&gt;0,N($R16)&gt;0),IF($G16="",1,IF(COUNTIF('MASTER BUDGET'!$D$6:$D$25,$G16)=0,1,0)),0)</f>
      </c>
      <c r="AI16" s="78">
        <f>IF($C16="",0,IF(COUNTIF('PEOPLE + BUDGETS'!$B$6:$B$105,$C16)=0,1,0))</f>
      </c>
      <c r="AJ16" s="78">
        <f>IF($U16="",0,IF(COUNTIF('ONLINE ORDERS'!$B$6:$B$155,$U16)=0,1,0))</f>
      </c>
      <c r="AK16" s="75"/>
    </row>
    <row r="17" ht="17" customHeight="1" spans="1:37" x14ac:dyDescent="0.25">
      <c r="A17" s="75"/>
      <c r="B17" s="79"/>
      <c r="C17" s="79"/>
      <c r="D17" s="78">
        <f>IF($B17="","",IF($C17="","",IFERROR(IF(INDEX('PEOPLE + BUDGETS'!$C$6:$C$105,MATCH($C17,'PEOPLE + BUDGETS'!$B$6:$B$105,0))="","",INDEX('PEOPLE + BUDGETS'!$C$6:$C$105,MATCH($C17,'PEOPLE + BUDGETS'!$B$6:$B$105,0))),"")))</f>
      </c>
      <c r="E17" s="78">
        <f>IF($B17="","",IF(OR($S17="Cancelled",$S17="Returned"),"No",IFERROR(INDEX('PEOPLE + BUDGETS'!$O$6:$O$105,MATCH($C17,'PEOPLE + BUDGETS'!$B$6:$B$105,0)),"Yes")))</f>
      </c>
      <c r="F17" s="80"/>
      <c r="G17" s="79"/>
      <c r="H17" s="79"/>
      <c r="I17" s="79"/>
      <c r="J17" s="80"/>
      <c r="K17" s="79"/>
      <c r="L17" s="90"/>
      <c r="M17" s="86"/>
      <c r="N17" s="86"/>
      <c r="O17" s="86"/>
      <c r="P17" s="86"/>
      <c r="Q17" s="85">
        <f>IF($B17="","",ROUND(MAX(0,$L17*$M17-$N17)+$O17+$P17,2))</f>
      </c>
      <c r="R17" s="86"/>
      <c r="S17" s="79"/>
      <c r="T17" s="78">
        <f>IF($B17="","",IF($S17="Purchased","Yes","No"))</f>
      </c>
      <c r="U17" s="79"/>
      <c r="V17" s="79"/>
      <c r="W17" s="78">
        <f>IF($B17="","",IF($U17="","—",IF($U17="","",IFERROR(IF(INDEX('ONLINE ORDERS'!$M$6:$M$155,MATCH($U17,'ONLINE ORDERS'!$B$6:$B$155,0))="","",INDEX('ONLINE ORDERS'!$M$6:$M$155,MATCH($U17,'ONLINE ORDERS'!$B$6:$B$155,0))),""))))</f>
      </c>
      <c r="X17" s="79"/>
      <c r="Y17" s="79"/>
      <c r="Z17" s="79"/>
      <c r="AA17" s="79"/>
      <c r="AB17" s="82"/>
      <c r="AC17" s="82"/>
      <c r="AD17" s="78">
        <f>IF($F17="","",LOWER(TRIM($C17&amp;"|"&amp;TRIM($F17))))</f>
      </c>
      <c r="AE17" s="78">
        <f>IF($AD17="","",IF(COUNTIF('GIFT PLANNER'!$AD$6:$AD$205,$AD17)&gt;1,"CHECK DUPLICATE",""))</f>
      </c>
      <c r="AF17" s="80"/>
      <c r="AG17" s="78">
        <f>IF($B17="",0,IF(COUNTIF('GIFT PLANNER'!$B$6:$B$205,$B17)&gt;1,1,0))</f>
      </c>
      <c r="AH17" s="78">
        <f>IF(OR(N($Q17)&gt;0,N($R17)&gt;0),IF($G17="",1,IF(COUNTIF('MASTER BUDGET'!$D$6:$D$25,$G17)=0,1,0)),0)</f>
      </c>
      <c r="AI17" s="78">
        <f>IF($C17="",0,IF(COUNTIF('PEOPLE + BUDGETS'!$B$6:$B$105,$C17)=0,1,0))</f>
      </c>
      <c r="AJ17" s="78">
        <f>IF($U17="",0,IF(COUNTIF('ONLINE ORDERS'!$B$6:$B$155,$U17)=0,1,0))</f>
      </c>
      <c r="AK17" s="75"/>
    </row>
    <row r="18" ht="17" customHeight="1" spans="1:37" x14ac:dyDescent="0.25">
      <c r="A18" s="75"/>
      <c r="B18" s="79"/>
      <c r="C18" s="79"/>
      <c r="D18" s="78">
        <f>IF($B18="","",IF($C18="","",IFERROR(IF(INDEX('PEOPLE + BUDGETS'!$C$6:$C$105,MATCH($C18,'PEOPLE + BUDGETS'!$B$6:$B$105,0))="","",INDEX('PEOPLE + BUDGETS'!$C$6:$C$105,MATCH($C18,'PEOPLE + BUDGETS'!$B$6:$B$105,0))),"")))</f>
      </c>
      <c r="E18" s="78">
        <f>IF($B18="","",IF(OR($S18="Cancelled",$S18="Returned"),"No",IFERROR(INDEX('PEOPLE + BUDGETS'!$O$6:$O$105,MATCH($C18,'PEOPLE + BUDGETS'!$B$6:$B$105,0)),"Yes")))</f>
      </c>
      <c r="F18" s="80"/>
      <c r="G18" s="79"/>
      <c r="H18" s="79"/>
      <c r="I18" s="79"/>
      <c r="J18" s="80"/>
      <c r="K18" s="79"/>
      <c r="L18" s="90"/>
      <c r="M18" s="86"/>
      <c r="N18" s="86"/>
      <c r="O18" s="86"/>
      <c r="P18" s="86"/>
      <c r="Q18" s="85">
        <f>IF($B18="","",ROUND(MAX(0,$L18*$M18-$N18)+$O18+$P18,2))</f>
      </c>
      <c r="R18" s="86"/>
      <c r="S18" s="79"/>
      <c r="T18" s="78">
        <f>IF($B18="","",IF($S18="Purchased","Yes","No"))</f>
      </c>
      <c r="U18" s="79"/>
      <c r="V18" s="79"/>
      <c r="W18" s="78">
        <f>IF($B18="","",IF($U18="","—",IF($U18="","",IFERROR(IF(INDEX('ONLINE ORDERS'!$M$6:$M$155,MATCH($U18,'ONLINE ORDERS'!$B$6:$B$155,0))="","",INDEX('ONLINE ORDERS'!$M$6:$M$155,MATCH($U18,'ONLINE ORDERS'!$B$6:$B$155,0))),""))))</f>
      </c>
      <c r="X18" s="79"/>
      <c r="Y18" s="79"/>
      <c r="Z18" s="79"/>
      <c r="AA18" s="79"/>
      <c r="AB18" s="82"/>
      <c r="AC18" s="82"/>
      <c r="AD18" s="78">
        <f>IF($F18="","",LOWER(TRIM($C18&amp;"|"&amp;TRIM($F18))))</f>
      </c>
      <c r="AE18" s="78">
        <f>IF($AD18="","",IF(COUNTIF('GIFT PLANNER'!$AD$6:$AD$205,$AD18)&gt;1,"CHECK DUPLICATE",""))</f>
      </c>
      <c r="AF18" s="80"/>
      <c r="AG18" s="78">
        <f>IF($B18="",0,IF(COUNTIF('GIFT PLANNER'!$B$6:$B$205,$B18)&gt;1,1,0))</f>
      </c>
      <c r="AH18" s="78">
        <f>IF(OR(N($Q18)&gt;0,N($R18)&gt;0),IF($G18="",1,IF(COUNTIF('MASTER BUDGET'!$D$6:$D$25,$G18)=0,1,0)),0)</f>
      </c>
      <c r="AI18" s="78">
        <f>IF($C18="",0,IF(COUNTIF('PEOPLE + BUDGETS'!$B$6:$B$105,$C18)=0,1,0))</f>
      </c>
      <c r="AJ18" s="78">
        <f>IF($U18="",0,IF(COUNTIF('ONLINE ORDERS'!$B$6:$B$155,$U18)=0,1,0))</f>
      </c>
      <c r="AK18" s="75"/>
    </row>
    <row r="19" ht="17" customHeight="1" spans="1:37" x14ac:dyDescent="0.25">
      <c r="A19" s="75"/>
      <c r="B19" s="79"/>
      <c r="C19" s="79"/>
      <c r="D19" s="78">
        <f>IF($B19="","",IF($C19="","",IFERROR(IF(INDEX('PEOPLE + BUDGETS'!$C$6:$C$105,MATCH($C19,'PEOPLE + BUDGETS'!$B$6:$B$105,0))="","",INDEX('PEOPLE + BUDGETS'!$C$6:$C$105,MATCH($C19,'PEOPLE + BUDGETS'!$B$6:$B$105,0))),"")))</f>
      </c>
      <c r="E19" s="78">
        <f>IF($B19="","",IF(OR($S19="Cancelled",$S19="Returned"),"No",IFERROR(INDEX('PEOPLE + BUDGETS'!$O$6:$O$105,MATCH($C19,'PEOPLE + BUDGETS'!$B$6:$B$105,0)),"Yes")))</f>
      </c>
      <c r="F19" s="80"/>
      <c r="G19" s="79"/>
      <c r="H19" s="79"/>
      <c r="I19" s="79"/>
      <c r="J19" s="80"/>
      <c r="K19" s="79"/>
      <c r="L19" s="90"/>
      <c r="M19" s="86"/>
      <c r="N19" s="86"/>
      <c r="O19" s="86"/>
      <c r="P19" s="86"/>
      <c r="Q19" s="85">
        <f>IF($B19="","",ROUND(MAX(0,$L19*$M19-$N19)+$O19+$P19,2))</f>
      </c>
      <c r="R19" s="86"/>
      <c r="S19" s="79"/>
      <c r="T19" s="78">
        <f>IF($B19="","",IF($S19="Purchased","Yes","No"))</f>
      </c>
      <c r="U19" s="79"/>
      <c r="V19" s="79"/>
      <c r="W19" s="78">
        <f>IF($B19="","",IF($U19="","—",IF($U19="","",IFERROR(IF(INDEX('ONLINE ORDERS'!$M$6:$M$155,MATCH($U19,'ONLINE ORDERS'!$B$6:$B$155,0))="","",INDEX('ONLINE ORDERS'!$M$6:$M$155,MATCH($U19,'ONLINE ORDERS'!$B$6:$B$155,0))),""))))</f>
      </c>
      <c r="X19" s="79"/>
      <c r="Y19" s="79"/>
      <c r="Z19" s="79"/>
      <c r="AA19" s="79"/>
      <c r="AB19" s="82"/>
      <c r="AC19" s="82"/>
      <c r="AD19" s="78">
        <f>IF($F19="","",LOWER(TRIM($C19&amp;"|"&amp;TRIM($F19))))</f>
      </c>
      <c r="AE19" s="78">
        <f>IF($AD19="","",IF(COUNTIF('GIFT PLANNER'!$AD$6:$AD$205,$AD19)&gt;1,"CHECK DUPLICATE",""))</f>
      </c>
      <c r="AF19" s="80"/>
      <c r="AG19" s="78">
        <f>IF($B19="",0,IF(COUNTIF('GIFT PLANNER'!$B$6:$B$205,$B19)&gt;1,1,0))</f>
      </c>
      <c r="AH19" s="78">
        <f>IF(OR(N($Q19)&gt;0,N($R19)&gt;0),IF($G19="",1,IF(COUNTIF('MASTER BUDGET'!$D$6:$D$25,$G19)=0,1,0)),0)</f>
      </c>
      <c r="AI19" s="78">
        <f>IF($C19="",0,IF(COUNTIF('PEOPLE + BUDGETS'!$B$6:$B$105,$C19)=0,1,0))</f>
      </c>
      <c r="AJ19" s="78">
        <f>IF($U19="",0,IF(COUNTIF('ONLINE ORDERS'!$B$6:$B$155,$U19)=0,1,0))</f>
      </c>
      <c r="AK19" s="75"/>
    </row>
    <row r="20" ht="17" customHeight="1" spans="1:37" x14ac:dyDescent="0.25">
      <c r="A20" s="75"/>
      <c r="B20" s="79"/>
      <c r="C20" s="79"/>
      <c r="D20" s="78">
        <f>IF($B20="","",IF($C20="","",IFERROR(IF(INDEX('PEOPLE + BUDGETS'!$C$6:$C$105,MATCH($C20,'PEOPLE + BUDGETS'!$B$6:$B$105,0))="","",INDEX('PEOPLE + BUDGETS'!$C$6:$C$105,MATCH($C20,'PEOPLE + BUDGETS'!$B$6:$B$105,0))),"")))</f>
      </c>
      <c r="E20" s="78">
        <f>IF($B20="","",IF(OR($S20="Cancelled",$S20="Returned"),"No",IFERROR(INDEX('PEOPLE + BUDGETS'!$O$6:$O$105,MATCH($C20,'PEOPLE + BUDGETS'!$B$6:$B$105,0)),"Yes")))</f>
      </c>
      <c r="F20" s="80"/>
      <c r="G20" s="79"/>
      <c r="H20" s="79"/>
      <c r="I20" s="79"/>
      <c r="J20" s="80"/>
      <c r="K20" s="79"/>
      <c r="L20" s="90"/>
      <c r="M20" s="86"/>
      <c r="N20" s="86"/>
      <c r="O20" s="86"/>
      <c r="P20" s="86"/>
      <c r="Q20" s="85">
        <f>IF($B20="","",ROUND(MAX(0,$L20*$M20-$N20)+$O20+$P20,2))</f>
      </c>
      <c r="R20" s="86"/>
      <c r="S20" s="79"/>
      <c r="T20" s="78">
        <f>IF($B20="","",IF($S20="Purchased","Yes","No"))</f>
      </c>
      <c r="U20" s="79"/>
      <c r="V20" s="79"/>
      <c r="W20" s="78">
        <f>IF($B20="","",IF($U20="","—",IF($U20="","",IFERROR(IF(INDEX('ONLINE ORDERS'!$M$6:$M$155,MATCH($U20,'ONLINE ORDERS'!$B$6:$B$155,0))="","",INDEX('ONLINE ORDERS'!$M$6:$M$155,MATCH($U20,'ONLINE ORDERS'!$B$6:$B$155,0))),""))))</f>
      </c>
      <c r="X20" s="79"/>
      <c r="Y20" s="79"/>
      <c r="Z20" s="79"/>
      <c r="AA20" s="79"/>
      <c r="AB20" s="82"/>
      <c r="AC20" s="82"/>
      <c r="AD20" s="78">
        <f>IF($F20="","",LOWER(TRIM($C20&amp;"|"&amp;TRIM($F20))))</f>
      </c>
      <c r="AE20" s="78">
        <f>IF($AD20="","",IF(COUNTIF('GIFT PLANNER'!$AD$6:$AD$205,$AD20)&gt;1,"CHECK DUPLICATE",""))</f>
      </c>
      <c r="AF20" s="80"/>
      <c r="AG20" s="78">
        <f>IF($B20="",0,IF(COUNTIF('GIFT PLANNER'!$B$6:$B$205,$B20)&gt;1,1,0))</f>
      </c>
      <c r="AH20" s="78">
        <f>IF(OR(N($Q20)&gt;0,N($R20)&gt;0),IF($G20="",1,IF(COUNTIF('MASTER BUDGET'!$D$6:$D$25,$G20)=0,1,0)),0)</f>
      </c>
      <c r="AI20" s="78">
        <f>IF($C20="",0,IF(COUNTIF('PEOPLE + BUDGETS'!$B$6:$B$105,$C20)=0,1,0))</f>
      </c>
      <c r="AJ20" s="78">
        <f>IF($U20="",0,IF(COUNTIF('ONLINE ORDERS'!$B$6:$B$155,$U20)=0,1,0))</f>
      </c>
      <c r="AK20" s="75"/>
    </row>
    <row r="21" ht="17" customHeight="1" spans="1:37" x14ac:dyDescent="0.25">
      <c r="A21" s="75"/>
      <c r="B21" s="79"/>
      <c r="C21" s="79"/>
      <c r="D21" s="78">
        <f>IF($B21="","",IF($C21="","",IFERROR(IF(INDEX('PEOPLE + BUDGETS'!$C$6:$C$105,MATCH($C21,'PEOPLE + BUDGETS'!$B$6:$B$105,0))="","",INDEX('PEOPLE + BUDGETS'!$C$6:$C$105,MATCH($C21,'PEOPLE + BUDGETS'!$B$6:$B$105,0))),"")))</f>
      </c>
      <c r="E21" s="78">
        <f>IF($B21="","",IF(OR($S21="Cancelled",$S21="Returned"),"No",IFERROR(INDEX('PEOPLE + BUDGETS'!$O$6:$O$105,MATCH($C21,'PEOPLE + BUDGETS'!$B$6:$B$105,0)),"Yes")))</f>
      </c>
      <c r="F21" s="80"/>
      <c r="G21" s="79"/>
      <c r="H21" s="79"/>
      <c r="I21" s="79"/>
      <c r="J21" s="80"/>
      <c r="K21" s="79"/>
      <c r="L21" s="90"/>
      <c r="M21" s="86"/>
      <c r="N21" s="86"/>
      <c r="O21" s="86"/>
      <c r="P21" s="86"/>
      <c r="Q21" s="85">
        <f>IF($B21="","",ROUND(MAX(0,$L21*$M21-$N21)+$O21+$P21,2))</f>
      </c>
      <c r="R21" s="86"/>
      <c r="S21" s="79"/>
      <c r="T21" s="78">
        <f>IF($B21="","",IF($S21="Purchased","Yes","No"))</f>
      </c>
      <c r="U21" s="79"/>
      <c r="V21" s="79"/>
      <c r="W21" s="78">
        <f>IF($B21="","",IF($U21="","—",IF($U21="","",IFERROR(IF(INDEX('ONLINE ORDERS'!$M$6:$M$155,MATCH($U21,'ONLINE ORDERS'!$B$6:$B$155,0))="","",INDEX('ONLINE ORDERS'!$M$6:$M$155,MATCH($U21,'ONLINE ORDERS'!$B$6:$B$155,0))),""))))</f>
      </c>
      <c r="X21" s="79"/>
      <c r="Y21" s="79"/>
      <c r="Z21" s="79"/>
      <c r="AA21" s="79"/>
      <c r="AB21" s="82"/>
      <c r="AC21" s="82"/>
      <c r="AD21" s="78">
        <f>IF($F21="","",LOWER(TRIM($C21&amp;"|"&amp;TRIM($F21))))</f>
      </c>
      <c r="AE21" s="78">
        <f>IF($AD21="","",IF(COUNTIF('GIFT PLANNER'!$AD$6:$AD$205,$AD21)&gt;1,"CHECK DUPLICATE",""))</f>
      </c>
      <c r="AF21" s="80"/>
      <c r="AG21" s="78">
        <f>IF($B21="",0,IF(COUNTIF('GIFT PLANNER'!$B$6:$B$205,$B21)&gt;1,1,0))</f>
      </c>
      <c r="AH21" s="78">
        <f>IF(OR(N($Q21)&gt;0,N($R21)&gt;0),IF($G21="",1,IF(COUNTIF('MASTER BUDGET'!$D$6:$D$25,$G21)=0,1,0)),0)</f>
      </c>
      <c r="AI21" s="78">
        <f>IF($C21="",0,IF(COUNTIF('PEOPLE + BUDGETS'!$B$6:$B$105,$C21)=0,1,0))</f>
      </c>
      <c r="AJ21" s="78">
        <f>IF($U21="",0,IF(COUNTIF('ONLINE ORDERS'!$B$6:$B$155,$U21)=0,1,0))</f>
      </c>
      <c r="AK21" s="75"/>
    </row>
    <row r="22" ht="17" customHeight="1" spans="1:37" x14ac:dyDescent="0.25">
      <c r="A22" s="75"/>
      <c r="B22" s="79"/>
      <c r="C22" s="79"/>
      <c r="D22" s="78">
        <f>IF($B22="","",IF($C22="","",IFERROR(IF(INDEX('PEOPLE + BUDGETS'!$C$6:$C$105,MATCH($C22,'PEOPLE + BUDGETS'!$B$6:$B$105,0))="","",INDEX('PEOPLE + BUDGETS'!$C$6:$C$105,MATCH($C22,'PEOPLE + BUDGETS'!$B$6:$B$105,0))),"")))</f>
      </c>
      <c r="E22" s="78">
        <f>IF($B22="","",IF(OR($S22="Cancelled",$S22="Returned"),"No",IFERROR(INDEX('PEOPLE + BUDGETS'!$O$6:$O$105,MATCH($C22,'PEOPLE + BUDGETS'!$B$6:$B$105,0)),"Yes")))</f>
      </c>
      <c r="F22" s="80"/>
      <c r="G22" s="79"/>
      <c r="H22" s="79"/>
      <c r="I22" s="79"/>
      <c r="J22" s="80"/>
      <c r="K22" s="79"/>
      <c r="L22" s="90"/>
      <c r="M22" s="86"/>
      <c r="N22" s="86"/>
      <c r="O22" s="86"/>
      <c r="P22" s="86"/>
      <c r="Q22" s="85">
        <f>IF($B22="","",ROUND(MAX(0,$L22*$M22-$N22)+$O22+$P22,2))</f>
      </c>
      <c r="R22" s="86"/>
      <c r="S22" s="79"/>
      <c r="T22" s="78">
        <f>IF($B22="","",IF($S22="Purchased","Yes","No"))</f>
      </c>
      <c r="U22" s="79"/>
      <c r="V22" s="79"/>
      <c r="W22" s="78">
        <f>IF($B22="","",IF($U22="","—",IF($U22="","",IFERROR(IF(INDEX('ONLINE ORDERS'!$M$6:$M$155,MATCH($U22,'ONLINE ORDERS'!$B$6:$B$155,0))="","",INDEX('ONLINE ORDERS'!$M$6:$M$155,MATCH($U22,'ONLINE ORDERS'!$B$6:$B$155,0))),""))))</f>
      </c>
      <c r="X22" s="79"/>
      <c r="Y22" s="79"/>
      <c r="Z22" s="79"/>
      <c r="AA22" s="79"/>
      <c r="AB22" s="82"/>
      <c r="AC22" s="82"/>
      <c r="AD22" s="78">
        <f>IF($F22="","",LOWER(TRIM($C22&amp;"|"&amp;TRIM($F22))))</f>
      </c>
      <c r="AE22" s="78">
        <f>IF($AD22="","",IF(COUNTIF('GIFT PLANNER'!$AD$6:$AD$205,$AD22)&gt;1,"CHECK DUPLICATE",""))</f>
      </c>
      <c r="AF22" s="80"/>
      <c r="AG22" s="78">
        <f>IF($B22="",0,IF(COUNTIF('GIFT PLANNER'!$B$6:$B$205,$B22)&gt;1,1,0))</f>
      </c>
      <c r="AH22" s="78">
        <f>IF(OR(N($Q22)&gt;0,N($R22)&gt;0),IF($G22="",1,IF(COUNTIF('MASTER BUDGET'!$D$6:$D$25,$G22)=0,1,0)),0)</f>
      </c>
      <c r="AI22" s="78">
        <f>IF($C22="",0,IF(COUNTIF('PEOPLE + BUDGETS'!$B$6:$B$105,$C22)=0,1,0))</f>
      </c>
      <c r="AJ22" s="78">
        <f>IF($U22="",0,IF(COUNTIF('ONLINE ORDERS'!$B$6:$B$155,$U22)=0,1,0))</f>
      </c>
      <c r="AK22" s="75"/>
    </row>
    <row r="23" ht="17" customHeight="1" spans="1:37" x14ac:dyDescent="0.25">
      <c r="A23" s="75"/>
      <c r="B23" s="79"/>
      <c r="C23" s="79"/>
      <c r="D23" s="78">
        <f>IF($B23="","",IF($C23="","",IFERROR(IF(INDEX('PEOPLE + BUDGETS'!$C$6:$C$105,MATCH($C23,'PEOPLE + BUDGETS'!$B$6:$B$105,0))="","",INDEX('PEOPLE + BUDGETS'!$C$6:$C$105,MATCH($C23,'PEOPLE + BUDGETS'!$B$6:$B$105,0))),"")))</f>
      </c>
      <c r="E23" s="78">
        <f>IF($B23="","",IF(OR($S23="Cancelled",$S23="Returned"),"No",IFERROR(INDEX('PEOPLE + BUDGETS'!$O$6:$O$105,MATCH($C23,'PEOPLE + BUDGETS'!$B$6:$B$105,0)),"Yes")))</f>
      </c>
      <c r="F23" s="80"/>
      <c r="G23" s="79"/>
      <c r="H23" s="79"/>
      <c r="I23" s="79"/>
      <c r="J23" s="80"/>
      <c r="K23" s="79"/>
      <c r="L23" s="90"/>
      <c r="M23" s="86"/>
      <c r="N23" s="86"/>
      <c r="O23" s="86"/>
      <c r="P23" s="86"/>
      <c r="Q23" s="85">
        <f>IF($B23="","",ROUND(MAX(0,$L23*$M23-$N23)+$O23+$P23,2))</f>
      </c>
      <c r="R23" s="86"/>
      <c r="S23" s="79"/>
      <c r="T23" s="78">
        <f>IF($B23="","",IF($S23="Purchased","Yes","No"))</f>
      </c>
      <c r="U23" s="79"/>
      <c r="V23" s="79"/>
      <c r="W23" s="78">
        <f>IF($B23="","",IF($U23="","—",IF($U23="","",IFERROR(IF(INDEX('ONLINE ORDERS'!$M$6:$M$155,MATCH($U23,'ONLINE ORDERS'!$B$6:$B$155,0))="","",INDEX('ONLINE ORDERS'!$M$6:$M$155,MATCH($U23,'ONLINE ORDERS'!$B$6:$B$155,0))),""))))</f>
      </c>
      <c r="X23" s="79"/>
      <c r="Y23" s="79"/>
      <c r="Z23" s="79"/>
      <c r="AA23" s="79"/>
      <c r="AB23" s="82"/>
      <c r="AC23" s="82"/>
      <c r="AD23" s="78">
        <f>IF($F23="","",LOWER(TRIM($C23&amp;"|"&amp;TRIM($F23))))</f>
      </c>
      <c r="AE23" s="78">
        <f>IF($AD23="","",IF(COUNTIF('GIFT PLANNER'!$AD$6:$AD$205,$AD23)&gt;1,"CHECK DUPLICATE",""))</f>
      </c>
      <c r="AF23" s="80"/>
      <c r="AG23" s="78">
        <f>IF($B23="",0,IF(COUNTIF('GIFT PLANNER'!$B$6:$B$205,$B23)&gt;1,1,0))</f>
      </c>
      <c r="AH23" s="78">
        <f>IF(OR(N($Q23)&gt;0,N($R23)&gt;0),IF($G23="",1,IF(COUNTIF('MASTER BUDGET'!$D$6:$D$25,$G23)=0,1,0)),0)</f>
      </c>
      <c r="AI23" s="78">
        <f>IF($C23="",0,IF(COUNTIF('PEOPLE + BUDGETS'!$B$6:$B$105,$C23)=0,1,0))</f>
      </c>
      <c r="AJ23" s="78">
        <f>IF($U23="",0,IF(COUNTIF('ONLINE ORDERS'!$B$6:$B$155,$U23)=0,1,0))</f>
      </c>
      <c r="AK23" s="75"/>
    </row>
    <row r="24" ht="17" customHeight="1" spans="1:37" x14ac:dyDescent="0.25">
      <c r="A24" s="75"/>
      <c r="B24" s="79"/>
      <c r="C24" s="79"/>
      <c r="D24" s="78">
        <f>IF($B24="","",IF($C24="","",IFERROR(IF(INDEX('PEOPLE + BUDGETS'!$C$6:$C$105,MATCH($C24,'PEOPLE + BUDGETS'!$B$6:$B$105,0))="","",INDEX('PEOPLE + BUDGETS'!$C$6:$C$105,MATCH($C24,'PEOPLE + BUDGETS'!$B$6:$B$105,0))),"")))</f>
      </c>
      <c r="E24" s="78">
        <f>IF($B24="","",IF(OR($S24="Cancelled",$S24="Returned"),"No",IFERROR(INDEX('PEOPLE + BUDGETS'!$O$6:$O$105,MATCH($C24,'PEOPLE + BUDGETS'!$B$6:$B$105,0)),"Yes")))</f>
      </c>
      <c r="F24" s="80"/>
      <c r="G24" s="79"/>
      <c r="H24" s="79"/>
      <c r="I24" s="79"/>
      <c r="J24" s="80"/>
      <c r="K24" s="79"/>
      <c r="L24" s="90"/>
      <c r="M24" s="86"/>
      <c r="N24" s="86"/>
      <c r="O24" s="86"/>
      <c r="P24" s="86"/>
      <c r="Q24" s="85">
        <f>IF($B24="","",ROUND(MAX(0,$L24*$M24-$N24)+$O24+$P24,2))</f>
      </c>
      <c r="R24" s="86"/>
      <c r="S24" s="79"/>
      <c r="T24" s="78">
        <f>IF($B24="","",IF($S24="Purchased","Yes","No"))</f>
      </c>
      <c r="U24" s="79"/>
      <c r="V24" s="79"/>
      <c r="W24" s="78">
        <f>IF($B24="","",IF($U24="","—",IF($U24="","",IFERROR(IF(INDEX('ONLINE ORDERS'!$M$6:$M$155,MATCH($U24,'ONLINE ORDERS'!$B$6:$B$155,0))="","",INDEX('ONLINE ORDERS'!$M$6:$M$155,MATCH($U24,'ONLINE ORDERS'!$B$6:$B$155,0))),""))))</f>
      </c>
      <c r="X24" s="79"/>
      <c r="Y24" s="79"/>
      <c r="Z24" s="79"/>
      <c r="AA24" s="79"/>
      <c r="AB24" s="82"/>
      <c r="AC24" s="82"/>
      <c r="AD24" s="78">
        <f>IF($F24="","",LOWER(TRIM($C24&amp;"|"&amp;TRIM($F24))))</f>
      </c>
      <c r="AE24" s="78">
        <f>IF($AD24="","",IF(COUNTIF('GIFT PLANNER'!$AD$6:$AD$205,$AD24)&gt;1,"CHECK DUPLICATE",""))</f>
      </c>
      <c r="AF24" s="80"/>
      <c r="AG24" s="78">
        <f>IF($B24="",0,IF(COUNTIF('GIFT PLANNER'!$B$6:$B$205,$B24)&gt;1,1,0))</f>
      </c>
      <c r="AH24" s="78">
        <f>IF(OR(N($Q24)&gt;0,N($R24)&gt;0),IF($G24="",1,IF(COUNTIF('MASTER BUDGET'!$D$6:$D$25,$G24)=0,1,0)),0)</f>
      </c>
      <c r="AI24" s="78">
        <f>IF($C24="",0,IF(COUNTIF('PEOPLE + BUDGETS'!$B$6:$B$105,$C24)=0,1,0))</f>
      </c>
      <c r="AJ24" s="78">
        <f>IF($U24="",0,IF(COUNTIF('ONLINE ORDERS'!$B$6:$B$155,$U24)=0,1,0))</f>
      </c>
      <c r="AK24" s="75"/>
    </row>
    <row r="25" ht="17" customHeight="1" spans="1:37" x14ac:dyDescent="0.25">
      <c r="A25" s="75"/>
      <c r="B25" s="79"/>
      <c r="C25" s="79"/>
      <c r="D25" s="78">
        <f>IF($B25="","",IF($C25="","",IFERROR(IF(INDEX('PEOPLE + BUDGETS'!$C$6:$C$105,MATCH($C25,'PEOPLE + BUDGETS'!$B$6:$B$105,0))="","",INDEX('PEOPLE + BUDGETS'!$C$6:$C$105,MATCH($C25,'PEOPLE + BUDGETS'!$B$6:$B$105,0))),"")))</f>
      </c>
      <c r="E25" s="78">
        <f>IF($B25="","",IF(OR($S25="Cancelled",$S25="Returned"),"No",IFERROR(INDEX('PEOPLE + BUDGETS'!$O$6:$O$105,MATCH($C25,'PEOPLE + BUDGETS'!$B$6:$B$105,0)),"Yes")))</f>
      </c>
      <c r="F25" s="80"/>
      <c r="G25" s="79"/>
      <c r="H25" s="79"/>
      <c r="I25" s="79"/>
      <c r="J25" s="80"/>
      <c r="K25" s="79"/>
      <c r="L25" s="90"/>
      <c r="M25" s="86"/>
      <c r="N25" s="86"/>
      <c r="O25" s="86"/>
      <c r="P25" s="86"/>
      <c r="Q25" s="85">
        <f>IF($B25="","",ROUND(MAX(0,$L25*$M25-$N25)+$O25+$P25,2))</f>
      </c>
      <c r="R25" s="86"/>
      <c r="S25" s="79"/>
      <c r="T25" s="78">
        <f>IF($B25="","",IF($S25="Purchased","Yes","No"))</f>
      </c>
      <c r="U25" s="79"/>
      <c r="V25" s="79"/>
      <c r="W25" s="78">
        <f>IF($B25="","",IF($U25="","—",IF($U25="","",IFERROR(IF(INDEX('ONLINE ORDERS'!$M$6:$M$155,MATCH($U25,'ONLINE ORDERS'!$B$6:$B$155,0))="","",INDEX('ONLINE ORDERS'!$M$6:$M$155,MATCH($U25,'ONLINE ORDERS'!$B$6:$B$155,0))),""))))</f>
      </c>
      <c r="X25" s="79"/>
      <c r="Y25" s="79"/>
      <c r="Z25" s="79"/>
      <c r="AA25" s="79"/>
      <c r="AB25" s="82"/>
      <c r="AC25" s="82"/>
      <c r="AD25" s="78">
        <f>IF($F25="","",LOWER(TRIM($C25&amp;"|"&amp;TRIM($F25))))</f>
      </c>
      <c r="AE25" s="78">
        <f>IF($AD25="","",IF(COUNTIF('GIFT PLANNER'!$AD$6:$AD$205,$AD25)&gt;1,"CHECK DUPLICATE",""))</f>
      </c>
      <c r="AF25" s="80"/>
      <c r="AG25" s="78">
        <f>IF($B25="",0,IF(COUNTIF('GIFT PLANNER'!$B$6:$B$205,$B25)&gt;1,1,0))</f>
      </c>
      <c r="AH25" s="78">
        <f>IF(OR(N($Q25)&gt;0,N($R25)&gt;0),IF($G25="",1,IF(COUNTIF('MASTER BUDGET'!$D$6:$D$25,$G25)=0,1,0)),0)</f>
      </c>
      <c r="AI25" s="78">
        <f>IF($C25="",0,IF(COUNTIF('PEOPLE + BUDGETS'!$B$6:$B$105,$C25)=0,1,0))</f>
      </c>
      <c r="AJ25" s="78">
        <f>IF($U25="",0,IF(COUNTIF('ONLINE ORDERS'!$B$6:$B$155,$U25)=0,1,0))</f>
      </c>
      <c r="AK25" s="75"/>
    </row>
    <row r="26" ht="17" customHeight="1" spans="1:37" x14ac:dyDescent="0.25">
      <c r="A26" s="75"/>
      <c r="B26" s="79"/>
      <c r="C26" s="79"/>
      <c r="D26" s="78">
        <f>IF($B26="","",IF($C26="","",IFERROR(IF(INDEX('PEOPLE + BUDGETS'!$C$6:$C$105,MATCH($C26,'PEOPLE + BUDGETS'!$B$6:$B$105,0))="","",INDEX('PEOPLE + BUDGETS'!$C$6:$C$105,MATCH($C26,'PEOPLE + BUDGETS'!$B$6:$B$105,0))),"")))</f>
      </c>
      <c r="E26" s="78">
        <f>IF($B26="","",IF(OR($S26="Cancelled",$S26="Returned"),"No",IFERROR(INDEX('PEOPLE + BUDGETS'!$O$6:$O$105,MATCH($C26,'PEOPLE + BUDGETS'!$B$6:$B$105,0)),"Yes")))</f>
      </c>
      <c r="F26" s="80"/>
      <c r="G26" s="79"/>
      <c r="H26" s="79"/>
      <c r="I26" s="79"/>
      <c r="J26" s="80"/>
      <c r="K26" s="79"/>
      <c r="L26" s="90"/>
      <c r="M26" s="86"/>
      <c r="N26" s="86"/>
      <c r="O26" s="86"/>
      <c r="P26" s="86"/>
      <c r="Q26" s="85">
        <f>IF($B26="","",ROUND(MAX(0,$L26*$M26-$N26)+$O26+$P26,2))</f>
      </c>
      <c r="R26" s="86"/>
      <c r="S26" s="79"/>
      <c r="T26" s="78">
        <f>IF($B26="","",IF($S26="Purchased","Yes","No"))</f>
      </c>
      <c r="U26" s="79"/>
      <c r="V26" s="79"/>
      <c r="W26" s="78">
        <f>IF($B26="","",IF($U26="","—",IF($U26="","",IFERROR(IF(INDEX('ONLINE ORDERS'!$M$6:$M$155,MATCH($U26,'ONLINE ORDERS'!$B$6:$B$155,0))="","",INDEX('ONLINE ORDERS'!$M$6:$M$155,MATCH($U26,'ONLINE ORDERS'!$B$6:$B$155,0))),""))))</f>
      </c>
      <c r="X26" s="79"/>
      <c r="Y26" s="79"/>
      <c r="Z26" s="79"/>
      <c r="AA26" s="79"/>
      <c r="AB26" s="82"/>
      <c r="AC26" s="82"/>
      <c r="AD26" s="78">
        <f>IF($F26="","",LOWER(TRIM($C26&amp;"|"&amp;TRIM($F26))))</f>
      </c>
      <c r="AE26" s="78">
        <f>IF($AD26="","",IF(COUNTIF('GIFT PLANNER'!$AD$6:$AD$205,$AD26)&gt;1,"CHECK DUPLICATE",""))</f>
      </c>
      <c r="AF26" s="80"/>
      <c r="AG26" s="78">
        <f>IF($B26="",0,IF(COUNTIF('GIFT PLANNER'!$B$6:$B$205,$B26)&gt;1,1,0))</f>
      </c>
      <c r="AH26" s="78">
        <f>IF(OR(N($Q26)&gt;0,N($R26)&gt;0),IF($G26="",1,IF(COUNTIF('MASTER BUDGET'!$D$6:$D$25,$G26)=0,1,0)),0)</f>
      </c>
      <c r="AI26" s="78">
        <f>IF($C26="",0,IF(COUNTIF('PEOPLE + BUDGETS'!$B$6:$B$105,$C26)=0,1,0))</f>
      </c>
      <c r="AJ26" s="78">
        <f>IF($U26="",0,IF(COUNTIF('ONLINE ORDERS'!$B$6:$B$155,$U26)=0,1,0))</f>
      </c>
      <c r="AK26" s="75"/>
    </row>
    <row r="27" ht="17" customHeight="1" spans="1:37" x14ac:dyDescent="0.25">
      <c r="A27" s="75"/>
      <c r="B27" s="79"/>
      <c r="C27" s="79"/>
      <c r="D27" s="78">
        <f>IF($B27="","",IF($C27="","",IFERROR(IF(INDEX('PEOPLE + BUDGETS'!$C$6:$C$105,MATCH($C27,'PEOPLE + BUDGETS'!$B$6:$B$105,0))="","",INDEX('PEOPLE + BUDGETS'!$C$6:$C$105,MATCH($C27,'PEOPLE + BUDGETS'!$B$6:$B$105,0))),"")))</f>
      </c>
      <c r="E27" s="78">
        <f>IF($B27="","",IF(OR($S27="Cancelled",$S27="Returned"),"No",IFERROR(INDEX('PEOPLE + BUDGETS'!$O$6:$O$105,MATCH($C27,'PEOPLE + BUDGETS'!$B$6:$B$105,0)),"Yes")))</f>
      </c>
      <c r="F27" s="80"/>
      <c r="G27" s="79"/>
      <c r="H27" s="79"/>
      <c r="I27" s="79"/>
      <c r="J27" s="80"/>
      <c r="K27" s="79"/>
      <c r="L27" s="90"/>
      <c r="M27" s="86"/>
      <c r="N27" s="86"/>
      <c r="O27" s="86"/>
      <c r="P27" s="86"/>
      <c r="Q27" s="85">
        <f>IF($B27="","",ROUND(MAX(0,$L27*$M27-$N27)+$O27+$P27,2))</f>
      </c>
      <c r="R27" s="86"/>
      <c r="S27" s="79"/>
      <c r="T27" s="78">
        <f>IF($B27="","",IF($S27="Purchased","Yes","No"))</f>
      </c>
      <c r="U27" s="79"/>
      <c r="V27" s="79"/>
      <c r="W27" s="78">
        <f>IF($B27="","",IF($U27="","—",IF($U27="","",IFERROR(IF(INDEX('ONLINE ORDERS'!$M$6:$M$155,MATCH($U27,'ONLINE ORDERS'!$B$6:$B$155,0))="","",INDEX('ONLINE ORDERS'!$M$6:$M$155,MATCH($U27,'ONLINE ORDERS'!$B$6:$B$155,0))),""))))</f>
      </c>
      <c r="X27" s="79"/>
      <c r="Y27" s="79"/>
      <c r="Z27" s="79"/>
      <c r="AA27" s="79"/>
      <c r="AB27" s="82"/>
      <c r="AC27" s="82"/>
      <c r="AD27" s="78">
        <f>IF($F27="","",LOWER(TRIM($C27&amp;"|"&amp;TRIM($F27))))</f>
      </c>
      <c r="AE27" s="78">
        <f>IF($AD27="","",IF(COUNTIF('GIFT PLANNER'!$AD$6:$AD$205,$AD27)&gt;1,"CHECK DUPLICATE",""))</f>
      </c>
      <c r="AF27" s="80"/>
      <c r="AG27" s="78">
        <f>IF($B27="",0,IF(COUNTIF('GIFT PLANNER'!$B$6:$B$205,$B27)&gt;1,1,0))</f>
      </c>
      <c r="AH27" s="78">
        <f>IF(OR(N($Q27)&gt;0,N($R27)&gt;0),IF($G27="",1,IF(COUNTIF('MASTER BUDGET'!$D$6:$D$25,$G27)=0,1,0)),0)</f>
      </c>
      <c r="AI27" s="78">
        <f>IF($C27="",0,IF(COUNTIF('PEOPLE + BUDGETS'!$B$6:$B$105,$C27)=0,1,0))</f>
      </c>
      <c r="AJ27" s="78">
        <f>IF($U27="",0,IF(COUNTIF('ONLINE ORDERS'!$B$6:$B$155,$U27)=0,1,0))</f>
      </c>
      <c r="AK27" s="75"/>
    </row>
    <row r="28" ht="17" customHeight="1" spans="1:37" x14ac:dyDescent="0.25">
      <c r="A28" s="75"/>
      <c r="B28" s="79"/>
      <c r="C28" s="79"/>
      <c r="D28" s="78">
        <f>IF($B28="","",IF($C28="","",IFERROR(IF(INDEX('PEOPLE + BUDGETS'!$C$6:$C$105,MATCH($C28,'PEOPLE + BUDGETS'!$B$6:$B$105,0))="","",INDEX('PEOPLE + BUDGETS'!$C$6:$C$105,MATCH($C28,'PEOPLE + BUDGETS'!$B$6:$B$105,0))),"")))</f>
      </c>
      <c r="E28" s="78">
        <f>IF($B28="","",IF(OR($S28="Cancelled",$S28="Returned"),"No",IFERROR(INDEX('PEOPLE + BUDGETS'!$O$6:$O$105,MATCH($C28,'PEOPLE + BUDGETS'!$B$6:$B$105,0)),"Yes")))</f>
      </c>
      <c r="F28" s="80"/>
      <c r="G28" s="79"/>
      <c r="H28" s="79"/>
      <c r="I28" s="79"/>
      <c r="J28" s="80"/>
      <c r="K28" s="79"/>
      <c r="L28" s="90"/>
      <c r="M28" s="86"/>
      <c r="N28" s="86"/>
      <c r="O28" s="86"/>
      <c r="P28" s="86"/>
      <c r="Q28" s="85">
        <f>IF($B28="","",ROUND(MAX(0,$L28*$M28-$N28)+$O28+$P28,2))</f>
      </c>
      <c r="R28" s="86"/>
      <c r="S28" s="79"/>
      <c r="T28" s="78">
        <f>IF($B28="","",IF($S28="Purchased","Yes","No"))</f>
      </c>
      <c r="U28" s="79"/>
      <c r="V28" s="79"/>
      <c r="W28" s="78">
        <f>IF($B28="","",IF($U28="","—",IF($U28="","",IFERROR(IF(INDEX('ONLINE ORDERS'!$M$6:$M$155,MATCH($U28,'ONLINE ORDERS'!$B$6:$B$155,0))="","",INDEX('ONLINE ORDERS'!$M$6:$M$155,MATCH($U28,'ONLINE ORDERS'!$B$6:$B$155,0))),""))))</f>
      </c>
      <c r="X28" s="79"/>
      <c r="Y28" s="79"/>
      <c r="Z28" s="79"/>
      <c r="AA28" s="79"/>
      <c r="AB28" s="82"/>
      <c r="AC28" s="82"/>
      <c r="AD28" s="78">
        <f>IF($F28="","",LOWER(TRIM($C28&amp;"|"&amp;TRIM($F28))))</f>
      </c>
      <c r="AE28" s="78">
        <f>IF($AD28="","",IF(COUNTIF('GIFT PLANNER'!$AD$6:$AD$205,$AD28)&gt;1,"CHECK DUPLICATE",""))</f>
      </c>
      <c r="AF28" s="80"/>
      <c r="AG28" s="78">
        <f>IF($B28="",0,IF(COUNTIF('GIFT PLANNER'!$B$6:$B$205,$B28)&gt;1,1,0))</f>
      </c>
      <c r="AH28" s="78">
        <f>IF(OR(N($Q28)&gt;0,N($R28)&gt;0),IF($G28="",1,IF(COUNTIF('MASTER BUDGET'!$D$6:$D$25,$G28)=0,1,0)),0)</f>
      </c>
      <c r="AI28" s="78">
        <f>IF($C28="",0,IF(COUNTIF('PEOPLE + BUDGETS'!$B$6:$B$105,$C28)=0,1,0))</f>
      </c>
      <c r="AJ28" s="78">
        <f>IF($U28="",0,IF(COUNTIF('ONLINE ORDERS'!$B$6:$B$155,$U28)=0,1,0))</f>
      </c>
      <c r="AK28" s="75"/>
    </row>
    <row r="29" ht="17" customHeight="1" spans="1:37" x14ac:dyDescent="0.25">
      <c r="A29" s="75"/>
      <c r="B29" s="79"/>
      <c r="C29" s="79"/>
      <c r="D29" s="78">
        <f>IF($B29="","",IF($C29="","",IFERROR(IF(INDEX('PEOPLE + BUDGETS'!$C$6:$C$105,MATCH($C29,'PEOPLE + BUDGETS'!$B$6:$B$105,0))="","",INDEX('PEOPLE + BUDGETS'!$C$6:$C$105,MATCH($C29,'PEOPLE + BUDGETS'!$B$6:$B$105,0))),"")))</f>
      </c>
      <c r="E29" s="78">
        <f>IF($B29="","",IF(OR($S29="Cancelled",$S29="Returned"),"No",IFERROR(INDEX('PEOPLE + BUDGETS'!$O$6:$O$105,MATCH($C29,'PEOPLE + BUDGETS'!$B$6:$B$105,0)),"Yes")))</f>
      </c>
      <c r="F29" s="80"/>
      <c r="G29" s="79"/>
      <c r="H29" s="79"/>
      <c r="I29" s="79"/>
      <c r="J29" s="80"/>
      <c r="K29" s="79"/>
      <c r="L29" s="90"/>
      <c r="M29" s="86"/>
      <c r="N29" s="86"/>
      <c r="O29" s="86"/>
      <c r="P29" s="86"/>
      <c r="Q29" s="85">
        <f>IF($B29="","",ROUND(MAX(0,$L29*$M29-$N29)+$O29+$P29,2))</f>
      </c>
      <c r="R29" s="86"/>
      <c r="S29" s="79"/>
      <c r="T29" s="78">
        <f>IF($B29="","",IF($S29="Purchased","Yes","No"))</f>
      </c>
      <c r="U29" s="79"/>
      <c r="V29" s="79"/>
      <c r="W29" s="78">
        <f>IF($B29="","",IF($U29="","—",IF($U29="","",IFERROR(IF(INDEX('ONLINE ORDERS'!$M$6:$M$155,MATCH($U29,'ONLINE ORDERS'!$B$6:$B$155,0))="","",INDEX('ONLINE ORDERS'!$M$6:$M$155,MATCH($U29,'ONLINE ORDERS'!$B$6:$B$155,0))),""))))</f>
      </c>
      <c r="X29" s="79"/>
      <c r="Y29" s="79"/>
      <c r="Z29" s="79"/>
      <c r="AA29" s="79"/>
      <c r="AB29" s="82"/>
      <c r="AC29" s="82"/>
      <c r="AD29" s="78">
        <f>IF($F29="","",LOWER(TRIM($C29&amp;"|"&amp;TRIM($F29))))</f>
      </c>
      <c r="AE29" s="78">
        <f>IF($AD29="","",IF(COUNTIF('GIFT PLANNER'!$AD$6:$AD$205,$AD29)&gt;1,"CHECK DUPLICATE",""))</f>
      </c>
      <c r="AF29" s="80"/>
      <c r="AG29" s="78">
        <f>IF($B29="",0,IF(COUNTIF('GIFT PLANNER'!$B$6:$B$205,$B29)&gt;1,1,0))</f>
      </c>
      <c r="AH29" s="78">
        <f>IF(OR(N($Q29)&gt;0,N($R29)&gt;0),IF($G29="",1,IF(COUNTIF('MASTER BUDGET'!$D$6:$D$25,$G29)=0,1,0)),0)</f>
      </c>
      <c r="AI29" s="78">
        <f>IF($C29="",0,IF(COUNTIF('PEOPLE + BUDGETS'!$B$6:$B$105,$C29)=0,1,0))</f>
      </c>
      <c r="AJ29" s="78">
        <f>IF($U29="",0,IF(COUNTIF('ONLINE ORDERS'!$B$6:$B$155,$U29)=0,1,0))</f>
      </c>
      <c r="AK29" s="75"/>
    </row>
    <row r="30" ht="17" customHeight="1" spans="1:37" x14ac:dyDescent="0.25">
      <c r="A30" s="75"/>
      <c r="B30" s="79"/>
      <c r="C30" s="79"/>
      <c r="D30" s="78">
        <f>IF($B30="","",IF($C30="","",IFERROR(IF(INDEX('PEOPLE + BUDGETS'!$C$6:$C$105,MATCH($C30,'PEOPLE + BUDGETS'!$B$6:$B$105,0))="","",INDEX('PEOPLE + BUDGETS'!$C$6:$C$105,MATCH($C30,'PEOPLE + BUDGETS'!$B$6:$B$105,0))),"")))</f>
      </c>
      <c r="E30" s="78">
        <f>IF($B30="","",IF(OR($S30="Cancelled",$S30="Returned"),"No",IFERROR(INDEX('PEOPLE + BUDGETS'!$O$6:$O$105,MATCH($C30,'PEOPLE + BUDGETS'!$B$6:$B$105,0)),"Yes")))</f>
      </c>
      <c r="F30" s="80"/>
      <c r="G30" s="79"/>
      <c r="H30" s="79"/>
      <c r="I30" s="79"/>
      <c r="J30" s="80"/>
      <c r="K30" s="79"/>
      <c r="L30" s="90"/>
      <c r="M30" s="86"/>
      <c r="N30" s="86"/>
      <c r="O30" s="86"/>
      <c r="P30" s="86"/>
      <c r="Q30" s="85">
        <f>IF($B30="","",ROUND(MAX(0,$L30*$M30-$N30)+$O30+$P30,2))</f>
      </c>
      <c r="R30" s="86"/>
      <c r="S30" s="79"/>
      <c r="T30" s="78">
        <f>IF($B30="","",IF($S30="Purchased","Yes","No"))</f>
      </c>
      <c r="U30" s="79"/>
      <c r="V30" s="79"/>
      <c r="W30" s="78">
        <f>IF($B30="","",IF($U30="","—",IF($U30="","",IFERROR(IF(INDEX('ONLINE ORDERS'!$M$6:$M$155,MATCH($U30,'ONLINE ORDERS'!$B$6:$B$155,0))="","",INDEX('ONLINE ORDERS'!$M$6:$M$155,MATCH($U30,'ONLINE ORDERS'!$B$6:$B$155,0))),""))))</f>
      </c>
      <c r="X30" s="79"/>
      <c r="Y30" s="79"/>
      <c r="Z30" s="79"/>
      <c r="AA30" s="79"/>
      <c r="AB30" s="82"/>
      <c r="AC30" s="82"/>
      <c r="AD30" s="78">
        <f>IF($F30="","",LOWER(TRIM($C30&amp;"|"&amp;TRIM($F30))))</f>
      </c>
      <c r="AE30" s="78">
        <f>IF($AD30="","",IF(COUNTIF('GIFT PLANNER'!$AD$6:$AD$205,$AD30)&gt;1,"CHECK DUPLICATE",""))</f>
      </c>
      <c r="AF30" s="80"/>
      <c r="AG30" s="78">
        <f>IF($B30="",0,IF(COUNTIF('GIFT PLANNER'!$B$6:$B$205,$B30)&gt;1,1,0))</f>
      </c>
      <c r="AH30" s="78">
        <f>IF(OR(N($Q30)&gt;0,N($R30)&gt;0),IF($G30="",1,IF(COUNTIF('MASTER BUDGET'!$D$6:$D$25,$G30)=0,1,0)),0)</f>
      </c>
      <c r="AI30" s="78">
        <f>IF($C30="",0,IF(COUNTIF('PEOPLE + BUDGETS'!$B$6:$B$105,$C30)=0,1,0))</f>
      </c>
      <c r="AJ30" s="78">
        <f>IF($U30="",0,IF(COUNTIF('ONLINE ORDERS'!$B$6:$B$155,$U30)=0,1,0))</f>
      </c>
      <c r="AK30" s="75"/>
    </row>
    <row r="31" ht="17" customHeight="1" spans="1:37" x14ac:dyDescent="0.25">
      <c r="A31" s="75"/>
      <c r="B31" s="79"/>
      <c r="C31" s="79"/>
      <c r="D31" s="78">
        <f>IF($B31="","",IF($C31="","",IFERROR(IF(INDEX('PEOPLE + BUDGETS'!$C$6:$C$105,MATCH($C31,'PEOPLE + BUDGETS'!$B$6:$B$105,0))="","",INDEX('PEOPLE + BUDGETS'!$C$6:$C$105,MATCH($C31,'PEOPLE + BUDGETS'!$B$6:$B$105,0))),"")))</f>
      </c>
      <c r="E31" s="78">
        <f>IF($B31="","",IF(OR($S31="Cancelled",$S31="Returned"),"No",IFERROR(INDEX('PEOPLE + BUDGETS'!$O$6:$O$105,MATCH($C31,'PEOPLE + BUDGETS'!$B$6:$B$105,0)),"Yes")))</f>
      </c>
      <c r="F31" s="80"/>
      <c r="G31" s="79"/>
      <c r="H31" s="79"/>
      <c r="I31" s="79"/>
      <c r="J31" s="80"/>
      <c r="K31" s="79"/>
      <c r="L31" s="90"/>
      <c r="M31" s="86"/>
      <c r="N31" s="86"/>
      <c r="O31" s="86"/>
      <c r="P31" s="86"/>
      <c r="Q31" s="85">
        <f>IF($B31="","",ROUND(MAX(0,$L31*$M31-$N31)+$O31+$P31,2))</f>
      </c>
      <c r="R31" s="86"/>
      <c r="S31" s="79"/>
      <c r="T31" s="78">
        <f>IF($B31="","",IF($S31="Purchased","Yes","No"))</f>
      </c>
      <c r="U31" s="79"/>
      <c r="V31" s="79"/>
      <c r="W31" s="78">
        <f>IF($B31="","",IF($U31="","—",IF($U31="","",IFERROR(IF(INDEX('ONLINE ORDERS'!$M$6:$M$155,MATCH($U31,'ONLINE ORDERS'!$B$6:$B$155,0))="","",INDEX('ONLINE ORDERS'!$M$6:$M$155,MATCH($U31,'ONLINE ORDERS'!$B$6:$B$155,0))),""))))</f>
      </c>
      <c r="X31" s="79"/>
      <c r="Y31" s="79"/>
      <c r="Z31" s="79"/>
      <c r="AA31" s="79"/>
      <c r="AB31" s="82"/>
      <c r="AC31" s="82"/>
      <c r="AD31" s="78">
        <f>IF($F31="","",LOWER(TRIM($C31&amp;"|"&amp;TRIM($F31))))</f>
      </c>
      <c r="AE31" s="78">
        <f>IF($AD31="","",IF(COUNTIF('GIFT PLANNER'!$AD$6:$AD$205,$AD31)&gt;1,"CHECK DUPLICATE",""))</f>
      </c>
      <c r="AF31" s="80"/>
      <c r="AG31" s="78">
        <f>IF($B31="",0,IF(COUNTIF('GIFT PLANNER'!$B$6:$B$205,$B31)&gt;1,1,0))</f>
      </c>
      <c r="AH31" s="78">
        <f>IF(OR(N($Q31)&gt;0,N($R31)&gt;0),IF($G31="",1,IF(COUNTIF('MASTER BUDGET'!$D$6:$D$25,$G31)=0,1,0)),0)</f>
      </c>
      <c r="AI31" s="78">
        <f>IF($C31="",0,IF(COUNTIF('PEOPLE + BUDGETS'!$B$6:$B$105,$C31)=0,1,0))</f>
      </c>
      <c r="AJ31" s="78">
        <f>IF($U31="",0,IF(COUNTIF('ONLINE ORDERS'!$B$6:$B$155,$U31)=0,1,0))</f>
      </c>
      <c r="AK31" s="75"/>
    </row>
    <row r="32" ht="17" customHeight="1" spans="1:37" x14ac:dyDescent="0.25">
      <c r="A32" s="75"/>
      <c r="B32" s="79"/>
      <c r="C32" s="79"/>
      <c r="D32" s="78">
        <f>IF($B32="","",IF($C32="","",IFERROR(IF(INDEX('PEOPLE + BUDGETS'!$C$6:$C$105,MATCH($C32,'PEOPLE + BUDGETS'!$B$6:$B$105,0))="","",INDEX('PEOPLE + BUDGETS'!$C$6:$C$105,MATCH($C32,'PEOPLE + BUDGETS'!$B$6:$B$105,0))),"")))</f>
      </c>
      <c r="E32" s="78">
        <f>IF($B32="","",IF(OR($S32="Cancelled",$S32="Returned"),"No",IFERROR(INDEX('PEOPLE + BUDGETS'!$O$6:$O$105,MATCH($C32,'PEOPLE + BUDGETS'!$B$6:$B$105,0)),"Yes")))</f>
      </c>
      <c r="F32" s="80"/>
      <c r="G32" s="79"/>
      <c r="H32" s="79"/>
      <c r="I32" s="79"/>
      <c r="J32" s="80"/>
      <c r="K32" s="79"/>
      <c r="L32" s="90"/>
      <c r="M32" s="86"/>
      <c r="N32" s="86"/>
      <c r="O32" s="86"/>
      <c r="P32" s="86"/>
      <c r="Q32" s="85">
        <f>IF($B32="","",ROUND(MAX(0,$L32*$M32-$N32)+$O32+$P32,2))</f>
      </c>
      <c r="R32" s="86"/>
      <c r="S32" s="79"/>
      <c r="T32" s="78">
        <f>IF($B32="","",IF($S32="Purchased","Yes","No"))</f>
      </c>
      <c r="U32" s="79"/>
      <c r="V32" s="79"/>
      <c r="W32" s="78">
        <f>IF($B32="","",IF($U32="","—",IF($U32="","",IFERROR(IF(INDEX('ONLINE ORDERS'!$M$6:$M$155,MATCH($U32,'ONLINE ORDERS'!$B$6:$B$155,0))="","",INDEX('ONLINE ORDERS'!$M$6:$M$155,MATCH($U32,'ONLINE ORDERS'!$B$6:$B$155,0))),""))))</f>
      </c>
      <c r="X32" s="79"/>
      <c r="Y32" s="79"/>
      <c r="Z32" s="79"/>
      <c r="AA32" s="79"/>
      <c r="AB32" s="82"/>
      <c r="AC32" s="82"/>
      <c r="AD32" s="78">
        <f>IF($F32="","",LOWER(TRIM($C32&amp;"|"&amp;TRIM($F32))))</f>
      </c>
      <c r="AE32" s="78">
        <f>IF($AD32="","",IF(COUNTIF('GIFT PLANNER'!$AD$6:$AD$205,$AD32)&gt;1,"CHECK DUPLICATE",""))</f>
      </c>
      <c r="AF32" s="80"/>
      <c r="AG32" s="78">
        <f>IF($B32="",0,IF(COUNTIF('GIFT PLANNER'!$B$6:$B$205,$B32)&gt;1,1,0))</f>
      </c>
      <c r="AH32" s="78">
        <f>IF(OR(N($Q32)&gt;0,N($R32)&gt;0),IF($G32="",1,IF(COUNTIF('MASTER BUDGET'!$D$6:$D$25,$G32)=0,1,0)),0)</f>
      </c>
      <c r="AI32" s="78">
        <f>IF($C32="",0,IF(COUNTIF('PEOPLE + BUDGETS'!$B$6:$B$105,$C32)=0,1,0))</f>
      </c>
      <c r="AJ32" s="78">
        <f>IF($U32="",0,IF(COUNTIF('ONLINE ORDERS'!$B$6:$B$155,$U32)=0,1,0))</f>
      </c>
      <c r="AK32" s="75"/>
    </row>
    <row r="33" ht="17" customHeight="1" spans="1:37" x14ac:dyDescent="0.25">
      <c r="A33" s="75"/>
      <c r="B33" s="79"/>
      <c r="C33" s="79"/>
      <c r="D33" s="78">
        <f>IF($B33="","",IF($C33="","",IFERROR(IF(INDEX('PEOPLE + BUDGETS'!$C$6:$C$105,MATCH($C33,'PEOPLE + BUDGETS'!$B$6:$B$105,0))="","",INDEX('PEOPLE + BUDGETS'!$C$6:$C$105,MATCH($C33,'PEOPLE + BUDGETS'!$B$6:$B$105,0))),"")))</f>
      </c>
      <c r="E33" s="78">
        <f>IF($B33="","",IF(OR($S33="Cancelled",$S33="Returned"),"No",IFERROR(INDEX('PEOPLE + BUDGETS'!$O$6:$O$105,MATCH($C33,'PEOPLE + BUDGETS'!$B$6:$B$105,0)),"Yes")))</f>
      </c>
      <c r="F33" s="80"/>
      <c r="G33" s="79"/>
      <c r="H33" s="79"/>
      <c r="I33" s="79"/>
      <c r="J33" s="80"/>
      <c r="K33" s="79"/>
      <c r="L33" s="90"/>
      <c r="M33" s="86"/>
      <c r="N33" s="86"/>
      <c r="O33" s="86"/>
      <c r="P33" s="86"/>
      <c r="Q33" s="85">
        <f>IF($B33="","",ROUND(MAX(0,$L33*$M33-$N33)+$O33+$P33,2))</f>
      </c>
      <c r="R33" s="86"/>
      <c r="S33" s="79"/>
      <c r="T33" s="78">
        <f>IF($B33="","",IF($S33="Purchased","Yes","No"))</f>
      </c>
      <c r="U33" s="79"/>
      <c r="V33" s="79"/>
      <c r="W33" s="78">
        <f>IF($B33="","",IF($U33="","—",IF($U33="","",IFERROR(IF(INDEX('ONLINE ORDERS'!$M$6:$M$155,MATCH($U33,'ONLINE ORDERS'!$B$6:$B$155,0))="","",INDEX('ONLINE ORDERS'!$M$6:$M$155,MATCH($U33,'ONLINE ORDERS'!$B$6:$B$155,0))),""))))</f>
      </c>
      <c r="X33" s="79"/>
      <c r="Y33" s="79"/>
      <c r="Z33" s="79"/>
      <c r="AA33" s="79"/>
      <c r="AB33" s="82"/>
      <c r="AC33" s="82"/>
      <c r="AD33" s="78">
        <f>IF($F33="","",LOWER(TRIM($C33&amp;"|"&amp;TRIM($F33))))</f>
      </c>
      <c r="AE33" s="78">
        <f>IF($AD33="","",IF(COUNTIF('GIFT PLANNER'!$AD$6:$AD$205,$AD33)&gt;1,"CHECK DUPLICATE",""))</f>
      </c>
      <c r="AF33" s="80"/>
      <c r="AG33" s="78">
        <f>IF($B33="",0,IF(COUNTIF('GIFT PLANNER'!$B$6:$B$205,$B33)&gt;1,1,0))</f>
      </c>
      <c r="AH33" s="78">
        <f>IF(OR(N($Q33)&gt;0,N($R33)&gt;0),IF($G33="",1,IF(COUNTIF('MASTER BUDGET'!$D$6:$D$25,$G33)=0,1,0)),0)</f>
      </c>
      <c r="AI33" s="78">
        <f>IF($C33="",0,IF(COUNTIF('PEOPLE + BUDGETS'!$B$6:$B$105,$C33)=0,1,0))</f>
      </c>
      <c r="AJ33" s="78">
        <f>IF($U33="",0,IF(COUNTIF('ONLINE ORDERS'!$B$6:$B$155,$U33)=0,1,0))</f>
      </c>
      <c r="AK33" s="75"/>
    </row>
    <row r="34" ht="17" customHeight="1" spans="1:37" x14ac:dyDescent="0.25">
      <c r="A34" s="75"/>
      <c r="B34" s="79"/>
      <c r="C34" s="79"/>
      <c r="D34" s="78">
        <f>IF($B34="","",IF($C34="","",IFERROR(IF(INDEX('PEOPLE + BUDGETS'!$C$6:$C$105,MATCH($C34,'PEOPLE + BUDGETS'!$B$6:$B$105,0))="","",INDEX('PEOPLE + BUDGETS'!$C$6:$C$105,MATCH($C34,'PEOPLE + BUDGETS'!$B$6:$B$105,0))),"")))</f>
      </c>
      <c r="E34" s="78">
        <f>IF($B34="","",IF(OR($S34="Cancelled",$S34="Returned"),"No",IFERROR(INDEX('PEOPLE + BUDGETS'!$O$6:$O$105,MATCH($C34,'PEOPLE + BUDGETS'!$B$6:$B$105,0)),"Yes")))</f>
      </c>
      <c r="F34" s="80"/>
      <c r="G34" s="79"/>
      <c r="H34" s="79"/>
      <c r="I34" s="79"/>
      <c r="J34" s="80"/>
      <c r="K34" s="79"/>
      <c r="L34" s="90"/>
      <c r="M34" s="86"/>
      <c r="N34" s="86"/>
      <c r="O34" s="86"/>
      <c r="P34" s="86"/>
      <c r="Q34" s="85">
        <f>IF($B34="","",ROUND(MAX(0,$L34*$M34-$N34)+$O34+$P34,2))</f>
      </c>
      <c r="R34" s="86"/>
      <c r="S34" s="79"/>
      <c r="T34" s="78">
        <f>IF($B34="","",IF($S34="Purchased","Yes","No"))</f>
      </c>
      <c r="U34" s="79"/>
      <c r="V34" s="79"/>
      <c r="W34" s="78">
        <f>IF($B34="","",IF($U34="","—",IF($U34="","",IFERROR(IF(INDEX('ONLINE ORDERS'!$M$6:$M$155,MATCH($U34,'ONLINE ORDERS'!$B$6:$B$155,0))="","",INDEX('ONLINE ORDERS'!$M$6:$M$155,MATCH($U34,'ONLINE ORDERS'!$B$6:$B$155,0))),""))))</f>
      </c>
      <c r="X34" s="79"/>
      <c r="Y34" s="79"/>
      <c r="Z34" s="79"/>
      <c r="AA34" s="79"/>
      <c r="AB34" s="82"/>
      <c r="AC34" s="82"/>
      <c r="AD34" s="78">
        <f>IF($F34="","",LOWER(TRIM($C34&amp;"|"&amp;TRIM($F34))))</f>
      </c>
      <c r="AE34" s="78">
        <f>IF($AD34="","",IF(COUNTIF('GIFT PLANNER'!$AD$6:$AD$205,$AD34)&gt;1,"CHECK DUPLICATE",""))</f>
      </c>
      <c r="AF34" s="80"/>
      <c r="AG34" s="78">
        <f>IF($B34="",0,IF(COUNTIF('GIFT PLANNER'!$B$6:$B$205,$B34)&gt;1,1,0))</f>
      </c>
      <c r="AH34" s="78">
        <f>IF(OR(N($Q34)&gt;0,N($R34)&gt;0),IF($G34="",1,IF(COUNTIF('MASTER BUDGET'!$D$6:$D$25,$G34)=0,1,0)),0)</f>
      </c>
      <c r="AI34" s="78">
        <f>IF($C34="",0,IF(COUNTIF('PEOPLE + BUDGETS'!$B$6:$B$105,$C34)=0,1,0))</f>
      </c>
      <c r="AJ34" s="78">
        <f>IF($U34="",0,IF(COUNTIF('ONLINE ORDERS'!$B$6:$B$155,$U34)=0,1,0))</f>
      </c>
      <c r="AK34" s="75"/>
    </row>
    <row r="35" ht="17" customHeight="1" spans="1:37" x14ac:dyDescent="0.25">
      <c r="A35" s="75"/>
      <c r="B35" s="79"/>
      <c r="C35" s="79"/>
      <c r="D35" s="78">
        <f>IF($B35="","",IF($C35="","",IFERROR(IF(INDEX('PEOPLE + BUDGETS'!$C$6:$C$105,MATCH($C35,'PEOPLE + BUDGETS'!$B$6:$B$105,0))="","",INDEX('PEOPLE + BUDGETS'!$C$6:$C$105,MATCH($C35,'PEOPLE + BUDGETS'!$B$6:$B$105,0))),"")))</f>
      </c>
      <c r="E35" s="78">
        <f>IF($B35="","",IF(OR($S35="Cancelled",$S35="Returned"),"No",IFERROR(INDEX('PEOPLE + BUDGETS'!$O$6:$O$105,MATCH($C35,'PEOPLE + BUDGETS'!$B$6:$B$105,0)),"Yes")))</f>
      </c>
      <c r="F35" s="80"/>
      <c r="G35" s="79"/>
      <c r="H35" s="79"/>
      <c r="I35" s="79"/>
      <c r="J35" s="80"/>
      <c r="K35" s="79"/>
      <c r="L35" s="90"/>
      <c r="M35" s="86"/>
      <c r="N35" s="86"/>
      <c r="O35" s="86"/>
      <c r="P35" s="86"/>
      <c r="Q35" s="85">
        <f>IF($B35="","",ROUND(MAX(0,$L35*$M35-$N35)+$O35+$P35,2))</f>
      </c>
      <c r="R35" s="86"/>
      <c r="S35" s="79"/>
      <c r="T35" s="78">
        <f>IF($B35="","",IF($S35="Purchased","Yes","No"))</f>
      </c>
      <c r="U35" s="79"/>
      <c r="V35" s="79"/>
      <c r="W35" s="78">
        <f>IF($B35="","",IF($U35="","—",IF($U35="","",IFERROR(IF(INDEX('ONLINE ORDERS'!$M$6:$M$155,MATCH($U35,'ONLINE ORDERS'!$B$6:$B$155,0))="","",INDEX('ONLINE ORDERS'!$M$6:$M$155,MATCH($U35,'ONLINE ORDERS'!$B$6:$B$155,0))),""))))</f>
      </c>
      <c r="X35" s="79"/>
      <c r="Y35" s="79"/>
      <c r="Z35" s="79"/>
      <c r="AA35" s="79"/>
      <c r="AB35" s="82"/>
      <c r="AC35" s="82"/>
      <c r="AD35" s="78">
        <f>IF($F35="","",LOWER(TRIM($C35&amp;"|"&amp;TRIM($F35))))</f>
      </c>
      <c r="AE35" s="78">
        <f>IF($AD35="","",IF(COUNTIF('GIFT PLANNER'!$AD$6:$AD$205,$AD35)&gt;1,"CHECK DUPLICATE",""))</f>
      </c>
      <c r="AF35" s="80"/>
      <c r="AG35" s="78">
        <f>IF($B35="",0,IF(COUNTIF('GIFT PLANNER'!$B$6:$B$205,$B35)&gt;1,1,0))</f>
      </c>
      <c r="AH35" s="78">
        <f>IF(OR(N($Q35)&gt;0,N($R35)&gt;0),IF($G35="",1,IF(COUNTIF('MASTER BUDGET'!$D$6:$D$25,$G35)=0,1,0)),0)</f>
      </c>
      <c r="AI35" s="78">
        <f>IF($C35="",0,IF(COUNTIF('PEOPLE + BUDGETS'!$B$6:$B$105,$C35)=0,1,0))</f>
      </c>
      <c r="AJ35" s="78">
        <f>IF($U35="",0,IF(COUNTIF('ONLINE ORDERS'!$B$6:$B$155,$U35)=0,1,0))</f>
      </c>
      <c r="AK35" s="75"/>
    </row>
    <row r="36" ht="17" customHeight="1" spans="1:37" x14ac:dyDescent="0.25">
      <c r="A36" s="75"/>
      <c r="B36" s="79"/>
      <c r="C36" s="79"/>
      <c r="D36" s="78">
        <f>IF($B36="","",IF($C36="","",IFERROR(IF(INDEX('PEOPLE + BUDGETS'!$C$6:$C$105,MATCH($C36,'PEOPLE + BUDGETS'!$B$6:$B$105,0))="","",INDEX('PEOPLE + BUDGETS'!$C$6:$C$105,MATCH($C36,'PEOPLE + BUDGETS'!$B$6:$B$105,0))),"")))</f>
      </c>
      <c r="E36" s="78">
        <f>IF($B36="","",IF(OR($S36="Cancelled",$S36="Returned"),"No",IFERROR(INDEX('PEOPLE + BUDGETS'!$O$6:$O$105,MATCH($C36,'PEOPLE + BUDGETS'!$B$6:$B$105,0)),"Yes")))</f>
      </c>
      <c r="F36" s="80"/>
      <c r="G36" s="79"/>
      <c r="H36" s="79"/>
      <c r="I36" s="79"/>
      <c r="J36" s="80"/>
      <c r="K36" s="79"/>
      <c r="L36" s="90"/>
      <c r="M36" s="86"/>
      <c r="N36" s="86"/>
      <c r="O36" s="86"/>
      <c r="P36" s="86"/>
      <c r="Q36" s="85">
        <f>IF($B36="","",ROUND(MAX(0,$L36*$M36-$N36)+$O36+$P36,2))</f>
      </c>
      <c r="R36" s="86"/>
      <c r="S36" s="79"/>
      <c r="T36" s="78">
        <f>IF($B36="","",IF($S36="Purchased","Yes","No"))</f>
      </c>
      <c r="U36" s="79"/>
      <c r="V36" s="79"/>
      <c r="W36" s="78">
        <f>IF($B36="","",IF($U36="","—",IF($U36="","",IFERROR(IF(INDEX('ONLINE ORDERS'!$M$6:$M$155,MATCH($U36,'ONLINE ORDERS'!$B$6:$B$155,0))="","",INDEX('ONLINE ORDERS'!$M$6:$M$155,MATCH($U36,'ONLINE ORDERS'!$B$6:$B$155,0))),""))))</f>
      </c>
      <c r="X36" s="79"/>
      <c r="Y36" s="79"/>
      <c r="Z36" s="79"/>
      <c r="AA36" s="79"/>
      <c r="AB36" s="82"/>
      <c r="AC36" s="82"/>
      <c r="AD36" s="78">
        <f>IF($F36="","",LOWER(TRIM($C36&amp;"|"&amp;TRIM($F36))))</f>
      </c>
      <c r="AE36" s="78">
        <f>IF($AD36="","",IF(COUNTIF('GIFT PLANNER'!$AD$6:$AD$205,$AD36)&gt;1,"CHECK DUPLICATE",""))</f>
      </c>
      <c r="AF36" s="80"/>
      <c r="AG36" s="78">
        <f>IF($B36="",0,IF(COUNTIF('GIFT PLANNER'!$B$6:$B$205,$B36)&gt;1,1,0))</f>
      </c>
      <c r="AH36" s="78">
        <f>IF(OR(N($Q36)&gt;0,N($R36)&gt;0),IF($G36="",1,IF(COUNTIF('MASTER BUDGET'!$D$6:$D$25,$G36)=0,1,0)),0)</f>
      </c>
      <c r="AI36" s="78">
        <f>IF($C36="",0,IF(COUNTIF('PEOPLE + BUDGETS'!$B$6:$B$105,$C36)=0,1,0))</f>
      </c>
      <c r="AJ36" s="78">
        <f>IF($U36="",0,IF(COUNTIF('ONLINE ORDERS'!$B$6:$B$155,$U36)=0,1,0))</f>
      </c>
      <c r="AK36" s="75"/>
    </row>
    <row r="37" ht="17" customHeight="1" spans="1:37" x14ac:dyDescent="0.25">
      <c r="A37" s="75"/>
      <c r="B37" s="79"/>
      <c r="C37" s="79"/>
      <c r="D37" s="78">
        <f>IF($B37="","",IF($C37="","",IFERROR(IF(INDEX('PEOPLE + BUDGETS'!$C$6:$C$105,MATCH($C37,'PEOPLE + BUDGETS'!$B$6:$B$105,0))="","",INDEX('PEOPLE + BUDGETS'!$C$6:$C$105,MATCH($C37,'PEOPLE + BUDGETS'!$B$6:$B$105,0))),"")))</f>
      </c>
      <c r="E37" s="78">
        <f>IF($B37="","",IF(OR($S37="Cancelled",$S37="Returned"),"No",IFERROR(INDEX('PEOPLE + BUDGETS'!$O$6:$O$105,MATCH($C37,'PEOPLE + BUDGETS'!$B$6:$B$105,0)),"Yes")))</f>
      </c>
      <c r="F37" s="80"/>
      <c r="G37" s="79"/>
      <c r="H37" s="79"/>
      <c r="I37" s="79"/>
      <c r="J37" s="80"/>
      <c r="K37" s="79"/>
      <c r="L37" s="90"/>
      <c r="M37" s="86"/>
      <c r="N37" s="86"/>
      <c r="O37" s="86"/>
      <c r="P37" s="86"/>
      <c r="Q37" s="85">
        <f>IF($B37="","",ROUND(MAX(0,$L37*$M37-$N37)+$O37+$P37,2))</f>
      </c>
      <c r="R37" s="86"/>
      <c r="S37" s="79"/>
      <c r="T37" s="78">
        <f>IF($B37="","",IF($S37="Purchased","Yes","No"))</f>
      </c>
      <c r="U37" s="79"/>
      <c r="V37" s="79"/>
      <c r="W37" s="78">
        <f>IF($B37="","",IF($U37="","—",IF($U37="","",IFERROR(IF(INDEX('ONLINE ORDERS'!$M$6:$M$155,MATCH($U37,'ONLINE ORDERS'!$B$6:$B$155,0))="","",INDEX('ONLINE ORDERS'!$M$6:$M$155,MATCH($U37,'ONLINE ORDERS'!$B$6:$B$155,0))),""))))</f>
      </c>
      <c r="X37" s="79"/>
      <c r="Y37" s="79"/>
      <c r="Z37" s="79"/>
      <c r="AA37" s="79"/>
      <c r="AB37" s="82"/>
      <c r="AC37" s="82"/>
      <c r="AD37" s="78">
        <f>IF($F37="","",LOWER(TRIM($C37&amp;"|"&amp;TRIM($F37))))</f>
      </c>
      <c r="AE37" s="78">
        <f>IF($AD37="","",IF(COUNTIF('GIFT PLANNER'!$AD$6:$AD$205,$AD37)&gt;1,"CHECK DUPLICATE",""))</f>
      </c>
      <c r="AF37" s="80"/>
      <c r="AG37" s="78">
        <f>IF($B37="",0,IF(COUNTIF('GIFT PLANNER'!$B$6:$B$205,$B37)&gt;1,1,0))</f>
      </c>
      <c r="AH37" s="78">
        <f>IF(OR(N($Q37)&gt;0,N($R37)&gt;0),IF($G37="",1,IF(COUNTIF('MASTER BUDGET'!$D$6:$D$25,$G37)=0,1,0)),0)</f>
      </c>
      <c r="AI37" s="78">
        <f>IF($C37="",0,IF(COUNTIF('PEOPLE + BUDGETS'!$B$6:$B$105,$C37)=0,1,0))</f>
      </c>
      <c r="AJ37" s="78">
        <f>IF($U37="",0,IF(COUNTIF('ONLINE ORDERS'!$B$6:$B$155,$U37)=0,1,0))</f>
      </c>
      <c r="AK37" s="75"/>
    </row>
    <row r="38" ht="17" customHeight="1" spans="1:37" x14ac:dyDescent="0.25">
      <c r="A38" s="75"/>
      <c r="B38" s="79"/>
      <c r="C38" s="79"/>
      <c r="D38" s="78">
        <f>IF($B38="","",IF($C38="","",IFERROR(IF(INDEX('PEOPLE + BUDGETS'!$C$6:$C$105,MATCH($C38,'PEOPLE + BUDGETS'!$B$6:$B$105,0))="","",INDEX('PEOPLE + BUDGETS'!$C$6:$C$105,MATCH($C38,'PEOPLE + BUDGETS'!$B$6:$B$105,0))),"")))</f>
      </c>
      <c r="E38" s="78">
        <f>IF($B38="","",IF(OR($S38="Cancelled",$S38="Returned"),"No",IFERROR(INDEX('PEOPLE + BUDGETS'!$O$6:$O$105,MATCH($C38,'PEOPLE + BUDGETS'!$B$6:$B$105,0)),"Yes")))</f>
      </c>
      <c r="F38" s="80"/>
      <c r="G38" s="79"/>
      <c r="H38" s="79"/>
      <c r="I38" s="79"/>
      <c r="J38" s="80"/>
      <c r="K38" s="79"/>
      <c r="L38" s="90"/>
      <c r="M38" s="86"/>
      <c r="N38" s="86"/>
      <c r="O38" s="86"/>
      <c r="P38" s="86"/>
      <c r="Q38" s="85">
        <f>IF($B38="","",ROUND(MAX(0,$L38*$M38-$N38)+$O38+$P38,2))</f>
      </c>
      <c r="R38" s="86"/>
      <c r="S38" s="79"/>
      <c r="T38" s="78">
        <f>IF($B38="","",IF($S38="Purchased","Yes","No"))</f>
      </c>
      <c r="U38" s="79"/>
      <c r="V38" s="79"/>
      <c r="W38" s="78">
        <f>IF($B38="","",IF($U38="","—",IF($U38="","",IFERROR(IF(INDEX('ONLINE ORDERS'!$M$6:$M$155,MATCH($U38,'ONLINE ORDERS'!$B$6:$B$155,0))="","",INDEX('ONLINE ORDERS'!$M$6:$M$155,MATCH($U38,'ONLINE ORDERS'!$B$6:$B$155,0))),""))))</f>
      </c>
      <c r="X38" s="79"/>
      <c r="Y38" s="79"/>
      <c r="Z38" s="79"/>
      <c r="AA38" s="79"/>
      <c r="AB38" s="82"/>
      <c r="AC38" s="82"/>
      <c r="AD38" s="78">
        <f>IF($F38="","",LOWER(TRIM($C38&amp;"|"&amp;TRIM($F38))))</f>
      </c>
      <c r="AE38" s="78">
        <f>IF($AD38="","",IF(COUNTIF('GIFT PLANNER'!$AD$6:$AD$205,$AD38)&gt;1,"CHECK DUPLICATE",""))</f>
      </c>
      <c r="AF38" s="80"/>
      <c r="AG38" s="78">
        <f>IF($B38="",0,IF(COUNTIF('GIFT PLANNER'!$B$6:$B$205,$B38)&gt;1,1,0))</f>
      </c>
      <c r="AH38" s="78">
        <f>IF(OR(N($Q38)&gt;0,N($R38)&gt;0),IF($G38="",1,IF(COUNTIF('MASTER BUDGET'!$D$6:$D$25,$G38)=0,1,0)),0)</f>
      </c>
      <c r="AI38" s="78">
        <f>IF($C38="",0,IF(COUNTIF('PEOPLE + BUDGETS'!$B$6:$B$105,$C38)=0,1,0))</f>
      </c>
      <c r="AJ38" s="78">
        <f>IF($U38="",0,IF(COUNTIF('ONLINE ORDERS'!$B$6:$B$155,$U38)=0,1,0))</f>
      </c>
      <c r="AK38" s="75"/>
    </row>
    <row r="39" ht="17" customHeight="1" spans="1:37" x14ac:dyDescent="0.25">
      <c r="A39" s="75"/>
      <c r="B39" s="79"/>
      <c r="C39" s="79"/>
      <c r="D39" s="78">
        <f>IF($B39="","",IF($C39="","",IFERROR(IF(INDEX('PEOPLE + BUDGETS'!$C$6:$C$105,MATCH($C39,'PEOPLE + BUDGETS'!$B$6:$B$105,0))="","",INDEX('PEOPLE + BUDGETS'!$C$6:$C$105,MATCH($C39,'PEOPLE + BUDGETS'!$B$6:$B$105,0))),"")))</f>
      </c>
      <c r="E39" s="78">
        <f>IF($B39="","",IF(OR($S39="Cancelled",$S39="Returned"),"No",IFERROR(INDEX('PEOPLE + BUDGETS'!$O$6:$O$105,MATCH($C39,'PEOPLE + BUDGETS'!$B$6:$B$105,0)),"Yes")))</f>
      </c>
      <c r="F39" s="80"/>
      <c r="G39" s="79"/>
      <c r="H39" s="79"/>
      <c r="I39" s="79"/>
      <c r="J39" s="80"/>
      <c r="K39" s="79"/>
      <c r="L39" s="90"/>
      <c r="M39" s="86"/>
      <c r="N39" s="86"/>
      <c r="O39" s="86"/>
      <c r="P39" s="86"/>
      <c r="Q39" s="85">
        <f>IF($B39="","",ROUND(MAX(0,$L39*$M39-$N39)+$O39+$P39,2))</f>
      </c>
      <c r="R39" s="86"/>
      <c r="S39" s="79"/>
      <c r="T39" s="78">
        <f>IF($B39="","",IF($S39="Purchased","Yes","No"))</f>
      </c>
      <c r="U39" s="79"/>
      <c r="V39" s="79"/>
      <c r="W39" s="78">
        <f>IF($B39="","",IF($U39="","—",IF($U39="","",IFERROR(IF(INDEX('ONLINE ORDERS'!$M$6:$M$155,MATCH($U39,'ONLINE ORDERS'!$B$6:$B$155,0))="","",INDEX('ONLINE ORDERS'!$M$6:$M$155,MATCH($U39,'ONLINE ORDERS'!$B$6:$B$155,0))),""))))</f>
      </c>
      <c r="X39" s="79"/>
      <c r="Y39" s="79"/>
      <c r="Z39" s="79"/>
      <c r="AA39" s="79"/>
      <c r="AB39" s="82"/>
      <c r="AC39" s="82"/>
      <c r="AD39" s="78">
        <f>IF($F39="","",LOWER(TRIM($C39&amp;"|"&amp;TRIM($F39))))</f>
      </c>
      <c r="AE39" s="78">
        <f>IF($AD39="","",IF(COUNTIF('GIFT PLANNER'!$AD$6:$AD$205,$AD39)&gt;1,"CHECK DUPLICATE",""))</f>
      </c>
      <c r="AF39" s="80"/>
      <c r="AG39" s="78">
        <f>IF($B39="",0,IF(COUNTIF('GIFT PLANNER'!$B$6:$B$205,$B39)&gt;1,1,0))</f>
      </c>
      <c r="AH39" s="78">
        <f>IF(OR(N($Q39)&gt;0,N($R39)&gt;0),IF($G39="",1,IF(COUNTIF('MASTER BUDGET'!$D$6:$D$25,$G39)=0,1,0)),0)</f>
      </c>
      <c r="AI39" s="78">
        <f>IF($C39="",0,IF(COUNTIF('PEOPLE + BUDGETS'!$B$6:$B$105,$C39)=0,1,0))</f>
      </c>
      <c r="AJ39" s="78">
        <f>IF($U39="",0,IF(COUNTIF('ONLINE ORDERS'!$B$6:$B$155,$U39)=0,1,0))</f>
      </c>
      <c r="AK39" s="75"/>
    </row>
    <row r="40" ht="17" customHeight="1" spans="1:37" x14ac:dyDescent="0.25">
      <c r="A40" s="75"/>
      <c r="B40" s="79"/>
      <c r="C40" s="79"/>
      <c r="D40" s="78">
        <f>IF($B40="","",IF($C40="","",IFERROR(IF(INDEX('PEOPLE + BUDGETS'!$C$6:$C$105,MATCH($C40,'PEOPLE + BUDGETS'!$B$6:$B$105,0))="","",INDEX('PEOPLE + BUDGETS'!$C$6:$C$105,MATCH($C40,'PEOPLE + BUDGETS'!$B$6:$B$105,0))),"")))</f>
      </c>
      <c r="E40" s="78">
        <f>IF($B40="","",IF(OR($S40="Cancelled",$S40="Returned"),"No",IFERROR(INDEX('PEOPLE + BUDGETS'!$O$6:$O$105,MATCH($C40,'PEOPLE + BUDGETS'!$B$6:$B$105,0)),"Yes")))</f>
      </c>
      <c r="F40" s="80"/>
      <c r="G40" s="79"/>
      <c r="H40" s="79"/>
      <c r="I40" s="79"/>
      <c r="J40" s="80"/>
      <c r="K40" s="79"/>
      <c r="L40" s="90"/>
      <c r="M40" s="86"/>
      <c r="N40" s="86"/>
      <c r="O40" s="86"/>
      <c r="P40" s="86"/>
      <c r="Q40" s="85">
        <f>IF($B40="","",ROUND(MAX(0,$L40*$M40-$N40)+$O40+$P40,2))</f>
      </c>
      <c r="R40" s="86"/>
      <c r="S40" s="79"/>
      <c r="T40" s="78">
        <f>IF($B40="","",IF($S40="Purchased","Yes","No"))</f>
      </c>
      <c r="U40" s="79"/>
      <c r="V40" s="79"/>
      <c r="W40" s="78">
        <f>IF($B40="","",IF($U40="","—",IF($U40="","",IFERROR(IF(INDEX('ONLINE ORDERS'!$M$6:$M$155,MATCH($U40,'ONLINE ORDERS'!$B$6:$B$155,0))="","",INDEX('ONLINE ORDERS'!$M$6:$M$155,MATCH($U40,'ONLINE ORDERS'!$B$6:$B$155,0))),""))))</f>
      </c>
      <c r="X40" s="79"/>
      <c r="Y40" s="79"/>
      <c r="Z40" s="79"/>
      <c r="AA40" s="79"/>
      <c r="AB40" s="82"/>
      <c r="AC40" s="82"/>
      <c r="AD40" s="78">
        <f>IF($F40="","",LOWER(TRIM($C40&amp;"|"&amp;TRIM($F40))))</f>
      </c>
      <c r="AE40" s="78">
        <f>IF($AD40="","",IF(COUNTIF('GIFT PLANNER'!$AD$6:$AD$205,$AD40)&gt;1,"CHECK DUPLICATE",""))</f>
      </c>
      <c r="AF40" s="80"/>
      <c r="AG40" s="78">
        <f>IF($B40="",0,IF(COUNTIF('GIFT PLANNER'!$B$6:$B$205,$B40)&gt;1,1,0))</f>
      </c>
      <c r="AH40" s="78">
        <f>IF(OR(N($Q40)&gt;0,N($R40)&gt;0),IF($G40="",1,IF(COUNTIF('MASTER BUDGET'!$D$6:$D$25,$G40)=0,1,0)),0)</f>
      </c>
      <c r="AI40" s="78">
        <f>IF($C40="",0,IF(COUNTIF('PEOPLE + BUDGETS'!$B$6:$B$105,$C40)=0,1,0))</f>
      </c>
      <c r="AJ40" s="78">
        <f>IF($U40="",0,IF(COUNTIF('ONLINE ORDERS'!$B$6:$B$155,$U40)=0,1,0))</f>
      </c>
      <c r="AK40" s="75"/>
    </row>
    <row r="41" ht="17" customHeight="1" spans="1:37" x14ac:dyDescent="0.25">
      <c r="A41" s="75"/>
      <c r="B41" s="79"/>
      <c r="C41" s="79"/>
      <c r="D41" s="78">
        <f>IF($B41="","",IF($C41="","",IFERROR(IF(INDEX('PEOPLE + BUDGETS'!$C$6:$C$105,MATCH($C41,'PEOPLE + BUDGETS'!$B$6:$B$105,0))="","",INDEX('PEOPLE + BUDGETS'!$C$6:$C$105,MATCH($C41,'PEOPLE + BUDGETS'!$B$6:$B$105,0))),"")))</f>
      </c>
      <c r="E41" s="78">
        <f>IF($B41="","",IF(OR($S41="Cancelled",$S41="Returned"),"No",IFERROR(INDEX('PEOPLE + BUDGETS'!$O$6:$O$105,MATCH($C41,'PEOPLE + BUDGETS'!$B$6:$B$105,0)),"Yes")))</f>
      </c>
      <c r="F41" s="80"/>
      <c r="G41" s="79"/>
      <c r="H41" s="79"/>
      <c r="I41" s="79"/>
      <c r="J41" s="80"/>
      <c r="K41" s="79"/>
      <c r="L41" s="90"/>
      <c r="M41" s="86"/>
      <c r="N41" s="86"/>
      <c r="O41" s="86"/>
      <c r="P41" s="86"/>
      <c r="Q41" s="85">
        <f>IF($B41="","",ROUND(MAX(0,$L41*$M41-$N41)+$O41+$P41,2))</f>
      </c>
      <c r="R41" s="86"/>
      <c r="S41" s="79"/>
      <c r="T41" s="78">
        <f>IF($B41="","",IF($S41="Purchased","Yes","No"))</f>
      </c>
      <c r="U41" s="79"/>
      <c r="V41" s="79"/>
      <c r="W41" s="78">
        <f>IF($B41="","",IF($U41="","—",IF($U41="","",IFERROR(IF(INDEX('ONLINE ORDERS'!$M$6:$M$155,MATCH($U41,'ONLINE ORDERS'!$B$6:$B$155,0))="","",INDEX('ONLINE ORDERS'!$M$6:$M$155,MATCH($U41,'ONLINE ORDERS'!$B$6:$B$155,0))),""))))</f>
      </c>
      <c r="X41" s="79"/>
      <c r="Y41" s="79"/>
      <c r="Z41" s="79"/>
      <c r="AA41" s="79"/>
      <c r="AB41" s="82"/>
      <c r="AC41" s="82"/>
      <c r="AD41" s="78">
        <f>IF($F41="","",LOWER(TRIM($C41&amp;"|"&amp;TRIM($F41))))</f>
      </c>
      <c r="AE41" s="78">
        <f>IF($AD41="","",IF(COUNTIF('GIFT PLANNER'!$AD$6:$AD$205,$AD41)&gt;1,"CHECK DUPLICATE",""))</f>
      </c>
      <c r="AF41" s="80"/>
      <c r="AG41" s="78">
        <f>IF($B41="",0,IF(COUNTIF('GIFT PLANNER'!$B$6:$B$205,$B41)&gt;1,1,0))</f>
      </c>
      <c r="AH41" s="78">
        <f>IF(OR(N($Q41)&gt;0,N($R41)&gt;0),IF($G41="",1,IF(COUNTIF('MASTER BUDGET'!$D$6:$D$25,$G41)=0,1,0)),0)</f>
      </c>
      <c r="AI41" s="78">
        <f>IF($C41="",0,IF(COUNTIF('PEOPLE + BUDGETS'!$B$6:$B$105,$C41)=0,1,0))</f>
      </c>
      <c r="AJ41" s="78">
        <f>IF($U41="",0,IF(COUNTIF('ONLINE ORDERS'!$B$6:$B$155,$U41)=0,1,0))</f>
      </c>
      <c r="AK41" s="75"/>
    </row>
    <row r="42" ht="17" customHeight="1" spans="1:37" x14ac:dyDescent="0.25">
      <c r="A42" s="75"/>
      <c r="B42" s="79"/>
      <c r="C42" s="79"/>
      <c r="D42" s="78">
        <f>IF($B42="","",IF($C42="","",IFERROR(IF(INDEX('PEOPLE + BUDGETS'!$C$6:$C$105,MATCH($C42,'PEOPLE + BUDGETS'!$B$6:$B$105,0))="","",INDEX('PEOPLE + BUDGETS'!$C$6:$C$105,MATCH($C42,'PEOPLE + BUDGETS'!$B$6:$B$105,0))),"")))</f>
      </c>
      <c r="E42" s="78">
        <f>IF($B42="","",IF(OR($S42="Cancelled",$S42="Returned"),"No",IFERROR(INDEX('PEOPLE + BUDGETS'!$O$6:$O$105,MATCH($C42,'PEOPLE + BUDGETS'!$B$6:$B$105,0)),"Yes")))</f>
      </c>
      <c r="F42" s="80"/>
      <c r="G42" s="79"/>
      <c r="H42" s="79"/>
      <c r="I42" s="79"/>
      <c r="J42" s="80"/>
      <c r="K42" s="79"/>
      <c r="L42" s="90"/>
      <c r="M42" s="86"/>
      <c r="N42" s="86"/>
      <c r="O42" s="86"/>
      <c r="P42" s="86"/>
      <c r="Q42" s="85">
        <f>IF($B42="","",ROUND(MAX(0,$L42*$M42-$N42)+$O42+$P42,2))</f>
      </c>
      <c r="R42" s="86"/>
      <c r="S42" s="79"/>
      <c r="T42" s="78">
        <f>IF($B42="","",IF($S42="Purchased","Yes","No"))</f>
      </c>
      <c r="U42" s="79"/>
      <c r="V42" s="79"/>
      <c r="W42" s="78">
        <f>IF($B42="","",IF($U42="","—",IF($U42="","",IFERROR(IF(INDEX('ONLINE ORDERS'!$M$6:$M$155,MATCH($U42,'ONLINE ORDERS'!$B$6:$B$155,0))="","",INDEX('ONLINE ORDERS'!$M$6:$M$155,MATCH($U42,'ONLINE ORDERS'!$B$6:$B$155,0))),""))))</f>
      </c>
      <c r="X42" s="79"/>
      <c r="Y42" s="79"/>
      <c r="Z42" s="79"/>
      <c r="AA42" s="79"/>
      <c r="AB42" s="82"/>
      <c r="AC42" s="82"/>
      <c r="AD42" s="78">
        <f>IF($F42="","",LOWER(TRIM($C42&amp;"|"&amp;TRIM($F42))))</f>
      </c>
      <c r="AE42" s="78">
        <f>IF($AD42="","",IF(COUNTIF('GIFT PLANNER'!$AD$6:$AD$205,$AD42)&gt;1,"CHECK DUPLICATE",""))</f>
      </c>
      <c r="AF42" s="80"/>
      <c r="AG42" s="78">
        <f>IF($B42="",0,IF(COUNTIF('GIFT PLANNER'!$B$6:$B$205,$B42)&gt;1,1,0))</f>
      </c>
      <c r="AH42" s="78">
        <f>IF(OR(N($Q42)&gt;0,N($R42)&gt;0),IF($G42="",1,IF(COUNTIF('MASTER BUDGET'!$D$6:$D$25,$G42)=0,1,0)),0)</f>
      </c>
      <c r="AI42" s="78">
        <f>IF($C42="",0,IF(COUNTIF('PEOPLE + BUDGETS'!$B$6:$B$105,$C42)=0,1,0))</f>
      </c>
      <c r="AJ42" s="78">
        <f>IF($U42="",0,IF(COUNTIF('ONLINE ORDERS'!$B$6:$B$155,$U42)=0,1,0))</f>
      </c>
      <c r="AK42" s="75"/>
    </row>
    <row r="43" ht="17" customHeight="1" spans="1:37" x14ac:dyDescent="0.25">
      <c r="A43" s="75"/>
      <c r="B43" s="79"/>
      <c r="C43" s="79"/>
      <c r="D43" s="78">
        <f>IF($B43="","",IF($C43="","",IFERROR(IF(INDEX('PEOPLE + BUDGETS'!$C$6:$C$105,MATCH($C43,'PEOPLE + BUDGETS'!$B$6:$B$105,0))="","",INDEX('PEOPLE + BUDGETS'!$C$6:$C$105,MATCH($C43,'PEOPLE + BUDGETS'!$B$6:$B$105,0))),"")))</f>
      </c>
      <c r="E43" s="78">
        <f>IF($B43="","",IF(OR($S43="Cancelled",$S43="Returned"),"No",IFERROR(INDEX('PEOPLE + BUDGETS'!$O$6:$O$105,MATCH($C43,'PEOPLE + BUDGETS'!$B$6:$B$105,0)),"Yes")))</f>
      </c>
      <c r="F43" s="80"/>
      <c r="G43" s="79"/>
      <c r="H43" s="79"/>
      <c r="I43" s="79"/>
      <c r="J43" s="80"/>
      <c r="K43" s="79"/>
      <c r="L43" s="90"/>
      <c r="M43" s="86"/>
      <c r="N43" s="86"/>
      <c r="O43" s="86"/>
      <c r="P43" s="86"/>
      <c r="Q43" s="85">
        <f>IF($B43="","",ROUND(MAX(0,$L43*$M43-$N43)+$O43+$P43,2))</f>
      </c>
      <c r="R43" s="86"/>
      <c r="S43" s="79"/>
      <c r="T43" s="78">
        <f>IF($B43="","",IF($S43="Purchased","Yes","No"))</f>
      </c>
      <c r="U43" s="79"/>
      <c r="V43" s="79"/>
      <c r="W43" s="78">
        <f>IF($B43="","",IF($U43="","—",IF($U43="","",IFERROR(IF(INDEX('ONLINE ORDERS'!$M$6:$M$155,MATCH($U43,'ONLINE ORDERS'!$B$6:$B$155,0))="","",INDEX('ONLINE ORDERS'!$M$6:$M$155,MATCH($U43,'ONLINE ORDERS'!$B$6:$B$155,0))),""))))</f>
      </c>
      <c r="X43" s="79"/>
      <c r="Y43" s="79"/>
      <c r="Z43" s="79"/>
      <c r="AA43" s="79"/>
      <c r="AB43" s="82"/>
      <c r="AC43" s="82"/>
      <c r="AD43" s="78">
        <f>IF($F43="","",LOWER(TRIM($C43&amp;"|"&amp;TRIM($F43))))</f>
      </c>
      <c r="AE43" s="78">
        <f>IF($AD43="","",IF(COUNTIF('GIFT PLANNER'!$AD$6:$AD$205,$AD43)&gt;1,"CHECK DUPLICATE",""))</f>
      </c>
      <c r="AF43" s="80"/>
      <c r="AG43" s="78">
        <f>IF($B43="",0,IF(COUNTIF('GIFT PLANNER'!$B$6:$B$205,$B43)&gt;1,1,0))</f>
      </c>
      <c r="AH43" s="78">
        <f>IF(OR(N($Q43)&gt;0,N($R43)&gt;0),IF($G43="",1,IF(COUNTIF('MASTER BUDGET'!$D$6:$D$25,$G43)=0,1,0)),0)</f>
      </c>
      <c r="AI43" s="78">
        <f>IF($C43="",0,IF(COUNTIF('PEOPLE + BUDGETS'!$B$6:$B$105,$C43)=0,1,0))</f>
      </c>
      <c r="AJ43" s="78">
        <f>IF($U43="",0,IF(COUNTIF('ONLINE ORDERS'!$B$6:$B$155,$U43)=0,1,0))</f>
      </c>
      <c r="AK43" s="75"/>
    </row>
    <row r="44" ht="17" customHeight="1" spans="1:37" x14ac:dyDescent="0.25">
      <c r="A44" s="75"/>
      <c r="B44" s="79"/>
      <c r="C44" s="79"/>
      <c r="D44" s="78">
        <f>IF($B44="","",IF($C44="","",IFERROR(IF(INDEX('PEOPLE + BUDGETS'!$C$6:$C$105,MATCH($C44,'PEOPLE + BUDGETS'!$B$6:$B$105,0))="","",INDEX('PEOPLE + BUDGETS'!$C$6:$C$105,MATCH($C44,'PEOPLE + BUDGETS'!$B$6:$B$105,0))),"")))</f>
      </c>
      <c r="E44" s="78">
        <f>IF($B44="","",IF(OR($S44="Cancelled",$S44="Returned"),"No",IFERROR(INDEX('PEOPLE + BUDGETS'!$O$6:$O$105,MATCH($C44,'PEOPLE + BUDGETS'!$B$6:$B$105,0)),"Yes")))</f>
      </c>
      <c r="F44" s="80"/>
      <c r="G44" s="79"/>
      <c r="H44" s="79"/>
      <c r="I44" s="79"/>
      <c r="J44" s="80"/>
      <c r="K44" s="79"/>
      <c r="L44" s="90"/>
      <c r="M44" s="86"/>
      <c r="N44" s="86"/>
      <c r="O44" s="86"/>
      <c r="P44" s="86"/>
      <c r="Q44" s="85">
        <f>IF($B44="","",ROUND(MAX(0,$L44*$M44-$N44)+$O44+$P44,2))</f>
      </c>
      <c r="R44" s="86"/>
      <c r="S44" s="79"/>
      <c r="T44" s="78">
        <f>IF($B44="","",IF($S44="Purchased","Yes","No"))</f>
      </c>
      <c r="U44" s="79"/>
      <c r="V44" s="79"/>
      <c r="W44" s="78">
        <f>IF($B44="","",IF($U44="","—",IF($U44="","",IFERROR(IF(INDEX('ONLINE ORDERS'!$M$6:$M$155,MATCH($U44,'ONLINE ORDERS'!$B$6:$B$155,0))="","",INDEX('ONLINE ORDERS'!$M$6:$M$155,MATCH($U44,'ONLINE ORDERS'!$B$6:$B$155,0))),""))))</f>
      </c>
      <c r="X44" s="79"/>
      <c r="Y44" s="79"/>
      <c r="Z44" s="79"/>
      <c r="AA44" s="79"/>
      <c r="AB44" s="82"/>
      <c r="AC44" s="82"/>
      <c r="AD44" s="78">
        <f>IF($F44="","",LOWER(TRIM($C44&amp;"|"&amp;TRIM($F44))))</f>
      </c>
      <c r="AE44" s="78">
        <f>IF($AD44="","",IF(COUNTIF('GIFT PLANNER'!$AD$6:$AD$205,$AD44)&gt;1,"CHECK DUPLICATE",""))</f>
      </c>
      <c r="AF44" s="80"/>
      <c r="AG44" s="78">
        <f>IF($B44="",0,IF(COUNTIF('GIFT PLANNER'!$B$6:$B$205,$B44)&gt;1,1,0))</f>
      </c>
      <c r="AH44" s="78">
        <f>IF(OR(N($Q44)&gt;0,N($R44)&gt;0),IF($G44="",1,IF(COUNTIF('MASTER BUDGET'!$D$6:$D$25,$G44)=0,1,0)),0)</f>
      </c>
      <c r="AI44" s="78">
        <f>IF($C44="",0,IF(COUNTIF('PEOPLE + BUDGETS'!$B$6:$B$105,$C44)=0,1,0))</f>
      </c>
      <c r="AJ44" s="78">
        <f>IF($U44="",0,IF(COUNTIF('ONLINE ORDERS'!$B$6:$B$155,$U44)=0,1,0))</f>
      </c>
      <c r="AK44" s="75"/>
    </row>
    <row r="45" ht="17" customHeight="1" spans="1:37" x14ac:dyDescent="0.25">
      <c r="A45" s="75"/>
      <c r="B45" s="79"/>
      <c r="C45" s="79"/>
      <c r="D45" s="78">
        <f>IF($B45="","",IF($C45="","",IFERROR(IF(INDEX('PEOPLE + BUDGETS'!$C$6:$C$105,MATCH($C45,'PEOPLE + BUDGETS'!$B$6:$B$105,0))="","",INDEX('PEOPLE + BUDGETS'!$C$6:$C$105,MATCH($C45,'PEOPLE + BUDGETS'!$B$6:$B$105,0))),"")))</f>
      </c>
      <c r="E45" s="78">
        <f>IF($B45="","",IF(OR($S45="Cancelled",$S45="Returned"),"No",IFERROR(INDEX('PEOPLE + BUDGETS'!$O$6:$O$105,MATCH($C45,'PEOPLE + BUDGETS'!$B$6:$B$105,0)),"Yes")))</f>
      </c>
      <c r="F45" s="80"/>
      <c r="G45" s="79"/>
      <c r="H45" s="79"/>
      <c r="I45" s="79"/>
      <c r="J45" s="80"/>
      <c r="K45" s="79"/>
      <c r="L45" s="90"/>
      <c r="M45" s="86"/>
      <c r="N45" s="86"/>
      <c r="O45" s="86"/>
      <c r="P45" s="86"/>
      <c r="Q45" s="85">
        <f>IF($B45="","",ROUND(MAX(0,$L45*$M45-$N45)+$O45+$P45,2))</f>
      </c>
      <c r="R45" s="86"/>
      <c r="S45" s="79"/>
      <c r="T45" s="78">
        <f>IF($B45="","",IF($S45="Purchased","Yes","No"))</f>
      </c>
      <c r="U45" s="79"/>
      <c r="V45" s="79"/>
      <c r="W45" s="78">
        <f>IF($B45="","",IF($U45="","—",IF($U45="","",IFERROR(IF(INDEX('ONLINE ORDERS'!$M$6:$M$155,MATCH($U45,'ONLINE ORDERS'!$B$6:$B$155,0))="","",INDEX('ONLINE ORDERS'!$M$6:$M$155,MATCH($U45,'ONLINE ORDERS'!$B$6:$B$155,0))),""))))</f>
      </c>
      <c r="X45" s="79"/>
      <c r="Y45" s="79"/>
      <c r="Z45" s="79"/>
      <c r="AA45" s="79"/>
      <c r="AB45" s="82"/>
      <c r="AC45" s="82"/>
      <c r="AD45" s="78">
        <f>IF($F45="","",LOWER(TRIM($C45&amp;"|"&amp;TRIM($F45))))</f>
      </c>
      <c r="AE45" s="78">
        <f>IF($AD45="","",IF(COUNTIF('GIFT PLANNER'!$AD$6:$AD$205,$AD45)&gt;1,"CHECK DUPLICATE",""))</f>
      </c>
      <c r="AF45" s="80"/>
      <c r="AG45" s="78">
        <f>IF($B45="",0,IF(COUNTIF('GIFT PLANNER'!$B$6:$B$205,$B45)&gt;1,1,0))</f>
      </c>
      <c r="AH45" s="78">
        <f>IF(OR(N($Q45)&gt;0,N($R45)&gt;0),IF($G45="",1,IF(COUNTIF('MASTER BUDGET'!$D$6:$D$25,$G45)=0,1,0)),0)</f>
      </c>
      <c r="AI45" s="78">
        <f>IF($C45="",0,IF(COUNTIF('PEOPLE + BUDGETS'!$B$6:$B$105,$C45)=0,1,0))</f>
      </c>
      <c r="AJ45" s="78">
        <f>IF($U45="",0,IF(COUNTIF('ONLINE ORDERS'!$B$6:$B$155,$U45)=0,1,0))</f>
      </c>
      <c r="AK45" s="75"/>
    </row>
    <row r="46" ht="17" customHeight="1" spans="1:37" x14ac:dyDescent="0.25">
      <c r="A46" s="75"/>
      <c r="B46" s="79"/>
      <c r="C46" s="79"/>
      <c r="D46" s="78">
        <f>IF($B46="","",IF($C46="","",IFERROR(IF(INDEX('PEOPLE + BUDGETS'!$C$6:$C$105,MATCH($C46,'PEOPLE + BUDGETS'!$B$6:$B$105,0))="","",INDEX('PEOPLE + BUDGETS'!$C$6:$C$105,MATCH($C46,'PEOPLE + BUDGETS'!$B$6:$B$105,0))),"")))</f>
      </c>
      <c r="E46" s="78">
        <f>IF($B46="","",IF(OR($S46="Cancelled",$S46="Returned"),"No",IFERROR(INDEX('PEOPLE + BUDGETS'!$O$6:$O$105,MATCH($C46,'PEOPLE + BUDGETS'!$B$6:$B$105,0)),"Yes")))</f>
      </c>
      <c r="F46" s="80"/>
      <c r="G46" s="79"/>
      <c r="H46" s="79"/>
      <c r="I46" s="79"/>
      <c r="J46" s="80"/>
      <c r="K46" s="79"/>
      <c r="L46" s="90"/>
      <c r="M46" s="86"/>
      <c r="N46" s="86"/>
      <c r="O46" s="86"/>
      <c r="P46" s="86"/>
      <c r="Q46" s="85">
        <f>IF($B46="","",ROUND(MAX(0,$L46*$M46-$N46)+$O46+$P46,2))</f>
      </c>
      <c r="R46" s="86"/>
      <c r="S46" s="79"/>
      <c r="T46" s="78">
        <f>IF($B46="","",IF($S46="Purchased","Yes","No"))</f>
      </c>
      <c r="U46" s="79"/>
      <c r="V46" s="79"/>
      <c r="W46" s="78">
        <f>IF($B46="","",IF($U46="","—",IF($U46="","",IFERROR(IF(INDEX('ONLINE ORDERS'!$M$6:$M$155,MATCH($U46,'ONLINE ORDERS'!$B$6:$B$155,0))="","",INDEX('ONLINE ORDERS'!$M$6:$M$155,MATCH($U46,'ONLINE ORDERS'!$B$6:$B$155,0))),""))))</f>
      </c>
      <c r="X46" s="79"/>
      <c r="Y46" s="79"/>
      <c r="Z46" s="79"/>
      <c r="AA46" s="79"/>
      <c r="AB46" s="82"/>
      <c r="AC46" s="82"/>
      <c r="AD46" s="78">
        <f>IF($F46="","",LOWER(TRIM($C46&amp;"|"&amp;TRIM($F46))))</f>
      </c>
      <c r="AE46" s="78">
        <f>IF($AD46="","",IF(COUNTIF('GIFT PLANNER'!$AD$6:$AD$205,$AD46)&gt;1,"CHECK DUPLICATE",""))</f>
      </c>
      <c r="AF46" s="80"/>
      <c r="AG46" s="78">
        <f>IF($B46="",0,IF(COUNTIF('GIFT PLANNER'!$B$6:$B$205,$B46)&gt;1,1,0))</f>
      </c>
      <c r="AH46" s="78">
        <f>IF(OR(N($Q46)&gt;0,N($R46)&gt;0),IF($G46="",1,IF(COUNTIF('MASTER BUDGET'!$D$6:$D$25,$G46)=0,1,0)),0)</f>
      </c>
      <c r="AI46" s="78">
        <f>IF($C46="",0,IF(COUNTIF('PEOPLE + BUDGETS'!$B$6:$B$105,$C46)=0,1,0))</f>
      </c>
      <c r="AJ46" s="78">
        <f>IF($U46="",0,IF(COUNTIF('ONLINE ORDERS'!$B$6:$B$155,$U46)=0,1,0))</f>
      </c>
      <c r="AK46" s="75"/>
    </row>
    <row r="47" ht="17" customHeight="1" spans="1:37" x14ac:dyDescent="0.25">
      <c r="A47" s="75"/>
      <c r="B47" s="79"/>
      <c r="C47" s="79"/>
      <c r="D47" s="78">
        <f>IF($B47="","",IF($C47="","",IFERROR(IF(INDEX('PEOPLE + BUDGETS'!$C$6:$C$105,MATCH($C47,'PEOPLE + BUDGETS'!$B$6:$B$105,0))="","",INDEX('PEOPLE + BUDGETS'!$C$6:$C$105,MATCH($C47,'PEOPLE + BUDGETS'!$B$6:$B$105,0))),"")))</f>
      </c>
      <c r="E47" s="78">
        <f>IF($B47="","",IF(OR($S47="Cancelled",$S47="Returned"),"No",IFERROR(INDEX('PEOPLE + BUDGETS'!$O$6:$O$105,MATCH($C47,'PEOPLE + BUDGETS'!$B$6:$B$105,0)),"Yes")))</f>
      </c>
      <c r="F47" s="80"/>
      <c r="G47" s="79"/>
      <c r="H47" s="79"/>
      <c r="I47" s="79"/>
      <c r="J47" s="80"/>
      <c r="K47" s="79"/>
      <c r="L47" s="90"/>
      <c r="M47" s="86"/>
      <c r="N47" s="86"/>
      <c r="O47" s="86"/>
      <c r="P47" s="86"/>
      <c r="Q47" s="85">
        <f>IF($B47="","",ROUND(MAX(0,$L47*$M47-$N47)+$O47+$P47,2))</f>
      </c>
      <c r="R47" s="86"/>
      <c r="S47" s="79"/>
      <c r="T47" s="78">
        <f>IF($B47="","",IF($S47="Purchased","Yes","No"))</f>
      </c>
      <c r="U47" s="79"/>
      <c r="V47" s="79"/>
      <c r="W47" s="78">
        <f>IF($B47="","",IF($U47="","—",IF($U47="","",IFERROR(IF(INDEX('ONLINE ORDERS'!$M$6:$M$155,MATCH($U47,'ONLINE ORDERS'!$B$6:$B$155,0))="","",INDEX('ONLINE ORDERS'!$M$6:$M$155,MATCH($U47,'ONLINE ORDERS'!$B$6:$B$155,0))),""))))</f>
      </c>
      <c r="X47" s="79"/>
      <c r="Y47" s="79"/>
      <c r="Z47" s="79"/>
      <c r="AA47" s="79"/>
      <c r="AB47" s="82"/>
      <c r="AC47" s="82"/>
      <c r="AD47" s="78">
        <f>IF($F47="","",LOWER(TRIM($C47&amp;"|"&amp;TRIM($F47))))</f>
      </c>
      <c r="AE47" s="78">
        <f>IF($AD47="","",IF(COUNTIF('GIFT PLANNER'!$AD$6:$AD$205,$AD47)&gt;1,"CHECK DUPLICATE",""))</f>
      </c>
      <c r="AF47" s="80"/>
      <c r="AG47" s="78">
        <f>IF($B47="",0,IF(COUNTIF('GIFT PLANNER'!$B$6:$B$205,$B47)&gt;1,1,0))</f>
      </c>
      <c r="AH47" s="78">
        <f>IF(OR(N($Q47)&gt;0,N($R47)&gt;0),IF($G47="",1,IF(COUNTIF('MASTER BUDGET'!$D$6:$D$25,$G47)=0,1,0)),0)</f>
      </c>
      <c r="AI47" s="78">
        <f>IF($C47="",0,IF(COUNTIF('PEOPLE + BUDGETS'!$B$6:$B$105,$C47)=0,1,0))</f>
      </c>
      <c r="AJ47" s="78">
        <f>IF($U47="",0,IF(COUNTIF('ONLINE ORDERS'!$B$6:$B$155,$U47)=0,1,0))</f>
      </c>
      <c r="AK47" s="75"/>
    </row>
    <row r="48" ht="17" customHeight="1" spans="1:37" x14ac:dyDescent="0.25">
      <c r="A48" s="75"/>
      <c r="B48" s="79"/>
      <c r="C48" s="79"/>
      <c r="D48" s="78">
        <f>IF($B48="","",IF($C48="","",IFERROR(IF(INDEX('PEOPLE + BUDGETS'!$C$6:$C$105,MATCH($C48,'PEOPLE + BUDGETS'!$B$6:$B$105,0))="","",INDEX('PEOPLE + BUDGETS'!$C$6:$C$105,MATCH($C48,'PEOPLE + BUDGETS'!$B$6:$B$105,0))),"")))</f>
      </c>
      <c r="E48" s="78">
        <f>IF($B48="","",IF(OR($S48="Cancelled",$S48="Returned"),"No",IFERROR(INDEX('PEOPLE + BUDGETS'!$O$6:$O$105,MATCH($C48,'PEOPLE + BUDGETS'!$B$6:$B$105,0)),"Yes")))</f>
      </c>
      <c r="F48" s="80"/>
      <c r="G48" s="79"/>
      <c r="H48" s="79"/>
      <c r="I48" s="79"/>
      <c r="J48" s="80"/>
      <c r="K48" s="79"/>
      <c r="L48" s="90"/>
      <c r="M48" s="86"/>
      <c r="N48" s="86"/>
      <c r="O48" s="86"/>
      <c r="P48" s="86"/>
      <c r="Q48" s="85">
        <f>IF($B48="","",ROUND(MAX(0,$L48*$M48-$N48)+$O48+$P48,2))</f>
      </c>
      <c r="R48" s="86"/>
      <c r="S48" s="79"/>
      <c r="T48" s="78">
        <f>IF($B48="","",IF($S48="Purchased","Yes","No"))</f>
      </c>
      <c r="U48" s="79"/>
      <c r="V48" s="79"/>
      <c r="W48" s="78">
        <f>IF($B48="","",IF($U48="","—",IF($U48="","",IFERROR(IF(INDEX('ONLINE ORDERS'!$M$6:$M$155,MATCH($U48,'ONLINE ORDERS'!$B$6:$B$155,0))="","",INDEX('ONLINE ORDERS'!$M$6:$M$155,MATCH($U48,'ONLINE ORDERS'!$B$6:$B$155,0))),""))))</f>
      </c>
      <c r="X48" s="79"/>
      <c r="Y48" s="79"/>
      <c r="Z48" s="79"/>
      <c r="AA48" s="79"/>
      <c r="AB48" s="82"/>
      <c r="AC48" s="82"/>
      <c r="AD48" s="78">
        <f>IF($F48="","",LOWER(TRIM($C48&amp;"|"&amp;TRIM($F48))))</f>
      </c>
      <c r="AE48" s="78">
        <f>IF($AD48="","",IF(COUNTIF('GIFT PLANNER'!$AD$6:$AD$205,$AD48)&gt;1,"CHECK DUPLICATE",""))</f>
      </c>
      <c r="AF48" s="80"/>
      <c r="AG48" s="78">
        <f>IF($B48="",0,IF(COUNTIF('GIFT PLANNER'!$B$6:$B$205,$B48)&gt;1,1,0))</f>
      </c>
      <c r="AH48" s="78">
        <f>IF(OR(N($Q48)&gt;0,N($R48)&gt;0),IF($G48="",1,IF(COUNTIF('MASTER BUDGET'!$D$6:$D$25,$G48)=0,1,0)),0)</f>
      </c>
      <c r="AI48" s="78">
        <f>IF($C48="",0,IF(COUNTIF('PEOPLE + BUDGETS'!$B$6:$B$105,$C48)=0,1,0))</f>
      </c>
      <c r="AJ48" s="78">
        <f>IF($U48="",0,IF(COUNTIF('ONLINE ORDERS'!$B$6:$B$155,$U48)=0,1,0))</f>
      </c>
      <c r="AK48" s="75"/>
    </row>
    <row r="49" ht="17" customHeight="1" spans="1:37" x14ac:dyDescent="0.25">
      <c r="A49" s="75"/>
      <c r="B49" s="79"/>
      <c r="C49" s="79"/>
      <c r="D49" s="78">
        <f>IF($B49="","",IF($C49="","",IFERROR(IF(INDEX('PEOPLE + BUDGETS'!$C$6:$C$105,MATCH($C49,'PEOPLE + BUDGETS'!$B$6:$B$105,0))="","",INDEX('PEOPLE + BUDGETS'!$C$6:$C$105,MATCH($C49,'PEOPLE + BUDGETS'!$B$6:$B$105,0))),"")))</f>
      </c>
      <c r="E49" s="78">
        <f>IF($B49="","",IF(OR($S49="Cancelled",$S49="Returned"),"No",IFERROR(INDEX('PEOPLE + BUDGETS'!$O$6:$O$105,MATCH($C49,'PEOPLE + BUDGETS'!$B$6:$B$105,0)),"Yes")))</f>
      </c>
      <c r="F49" s="80"/>
      <c r="G49" s="79"/>
      <c r="H49" s="79"/>
      <c r="I49" s="79"/>
      <c r="J49" s="80"/>
      <c r="K49" s="79"/>
      <c r="L49" s="90"/>
      <c r="M49" s="86"/>
      <c r="N49" s="86"/>
      <c r="O49" s="86"/>
      <c r="P49" s="86"/>
      <c r="Q49" s="85">
        <f>IF($B49="","",ROUND(MAX(0,$L49*$M49-$N49)+$O49+$P49,2))</f>
      </c>
      <c r="R49" s="86"/>
      <c r="S49" s="79"/>
      <c r="T49" s="78">
        <f>IF($B49="","",IF($S49="Purchased","Yes","No"))</f>
      </c>
      <c r="U49" s="79"/>
      <c r="V49" s="79"/>
      <c r="W49" s="78">
        <f>IF($B49="","",IF($U49="","—",IF($U49="","",IFERROR(IF(INDEX('ONLINE ORDERS'!$M$6:$M$155,MATCH($U49,'ONLINE ORDERS'!$B$6:$B$155,0))="","",INDEX('ONLINE ORDERS'!$M$6:$M$155,MATCH($U49,'ONLINE ORDERS'!$B$6:$B$155,0))),""))))</f>
      </c>
      <c r="X49" s="79"/>
      <c r="Y49" s="79"/>
      <c r="Z49" s="79"/>
      <c r="AA49" s="79"/>
      <c r="AB49" s="82"/>
      <c r="AC49" s="82"/>
      <c r="AD49" s="78">
        <f>IF($F49="","",LOWER(TRIM($C49&amp;"|"&amp;TRIM($F49))))</f>
      </c>
      <c r="AE49" s="78">
        <f>IF($AD49="","",IF(COUNTIF('GIFT PLANNER'!$AD$6:$AD$205,$AD49)&gt;1,"CHECK DUPLICATE",""))</f>
      </c>
      <c r="AF49" s="80"/>
      <c r="AG49" s="78">
        <f>IF($B49="",0,IF(COUNTIF('GIFT PLANNER'!$B$6:$B$205,$B49)&gt;1,1,0))</f>
      </c>
      <c r="AH49" s="78">
        <f>IF(OR(N($Q49)&gt;0,N($R49)&gt;0),IF($G49="",1,IF(COUNTIF('MASTER BUDGET'!$D$6:$D$25,$G49)=0,1,0)),0)</f>
      </c>
      <c r="AI49" s="78">
        <f>IF($C49="",0,IF(COUNTIF('PEOPLE + BUDGETS'!$B$6:$B$105,$C49)=0,1,0))</f>
      </c>
      <c r="AJ49" s="78">
        <f>IF($U49="",0,IF(COUNTIF('ONLINE ORDERS'!$B$6:$B$155,$U49)=0,1,0))</f>
      </c>
      <c r="AK49" s="75"/>
    </row>
    <row r="50" ht="17" customHeight="1" spans="1:37" x14ac:dyDescent="0.25">
      <c r="A50" s="75"/>
      <c r="B50" s="79"/>
      <c r="C50" s="79"/>
      <c r="D50" s="78">
        <f>IF($B50="","",IF($C50="","",IFERROR(IF(INDEX('PEOPLE + BUDGETS'!$C$6:$C$105,MATCH($C50,'PEOPLE + BUDGETS'!$B$6:$B$105,0))="","",INDEX('PEOPLE + BUDGETS'!$C$6:$C$105,MATCH($C50,'PEOPLE + BUDGETS'!$B$6:$B$105,0))),"")))</f>
      </c>
      <c r="E50" s="78">
        <f>IF($B50="","",IF(OR($S50="Cancelled",$S50="Returned"),"No",IFERROR(INDEX('PEOPLE + BUDGETS'!$O$6:$O$105,MATCH($C50,'PEOPLE + BUDGETS'!$B$6:$B$105,0)),"Yes")))</f>
      </c>
      <c r="F50" s="80"/>
      <c r="G50" s="79"/>
      <c r="H50" s="79"/>
      <c r="I50" s="79"/>
      <c r="J50" s="80"/>
      <c r="K50" s="79"/>
      <c r="L50" s="90"/>
      <c r="M50" s="86"/>
      <c r="N50" s="86"/>
      <c r="O50" s="86"/>
      <c r="P50" s="86"/>
      <c r="Q50" s="85">
        <f>IF($B50="","",ROUND(MAX(0,$L50*$M50-$N50)+$O50+$P50,2))</f>
      </c>
      <c r="R50" s="86"/>
      <c r="S50" s="79"/>
      <c r="T50" s="78">
        <f>IF($B50="","",IF($S50="Purchased","Yes","No"))</f>
      </c>
      <c r="U50" s="79"/>
      <c r="V50" s="79"/>
      <c r="W50" s="78">
        <f>IF($B50="","",IF($U50="","—",IF($U50="","",IFERROR(IF(INDEX('ONLINE ORDERS'!$M$6:$M$155,MATCH($U50,'ONLINE ORDERS'!$B$6:$B$155,0))="","",INDEX('ONLINE ORDERS'!$M$6:$M$155,MATCH($U50,'ONLINE ORDERS'!$B$6:$B$155,0))),""))))</f>
      </c>
      <c r="X50" s="79"/>
      <c r="Y50" s="79"/>
      <c r="Z50" s="79"/>
      <c r="AA50" s="79"/>
      <c r="AB50" s="82"/>
      <c r="AC50" s="82"/>
      <c r="AD50" s="78">
        <f>IF($F50="","",LOWER(TRIM($C50&amp;"|"&amp;TRIM($F50))))</f>
      </c>
      <c r="AE50" s="78">
        <f>IF($AD50="","",IF(COUNTIF('GIFT PLANNER'!$AD$6:$AD$205,$AD50)&gt;1,"CHECK DUPLICATE",""))</f>
      </c>
      <c r="AF50" s="80"/>
      <c r="AG50" s="78">
        <f>IF($B50="",0,IF(COUNTIF('GIFT PLANNER'!$B$6:$B$205,$B50)&gt;1,1,0))</f>
      </c>
      <c r="AH50" s="78">
        <f>IF(OR(N($Q50)&gt;0,N($R50)&gt;0),IF($G50="",1,IF(COUNTIF('MASTER BUDGET'!$D$6:$D$25,$G50)=0,1,0)),0)</f>
      </c>
      <c r="AI50" s="78">
        <f>IF($C50="",0,IF(COUNTIF('PEOPLE + BUDGETS'!$B$6:$B$105,$C50)=0,1,0))</f>
      </c>
      <c r="AJ50" s="78">
        <f>IF($U50="",0,IF(COUNTIF('ONLINE ORDERS'!$B$6:$B$155,$U50)=0,1,0))</f>
      </c>
      <c r="AK50" s="75"/>
    </row>
    <row r="51" ht="17" customHeight="1" spans="1:37" x14ac:dyDescent="0.25">
      <c r="A51" s="75"/>
      <c r="B51" s="79"/>
      <c r="C51" s="79"/>
      <c r="D51" s="78">
        <f>IF($B51="","",IF($C51="","",IFERROR(IF(INDEX('PEOPLE + BUDGETS'!$C$6:$C$105,MATCH($C51,'PEOPLE + BUDGETS'!$B$6:$B$105,0))="","",INDEX('PEOPLE + BUDGETS'!$C$6:$C$105,MATCH($C51,'PEOPLE + BUDGETS'!$B$6:$B$105,0))),"")))</f>
      </c>
      <c r="E51" s="78">
        <f>IF($B51="","",IF(OR($S51="Cancelled",$S51="Returned"),"No",IFERROR(INDEX('PEOPLE + BUDGETS'!$O$6:$O$105,MATCH($C51,'PEOPLE + BUDGETS'!$B$6:$B$105,0)),"Yes")))</f>
      </c>
      <c r="F51" s="80"/>
      <c r="G51" s="79"/>
      <c r="H51" s="79"/>
      <c r="I51" s="79"/>
      <c r="J51" s="80"/>
      <c r="K51" s="79"/>
      <c r="L51" s="90"/>
      <c r="M51" s="86"/>
      <c r="N51" s="86"/>
      <c r="O51" s="86"/>
      <c r="P51" s="86"/>
      <c r="Q51" s="85">
        <f>IF($B51="","",ROUND(MAX(0,$L51*$M51-$N51)+$O51+$P51,2))</f>
      </c>
      <c r="R51" s="86"/>
      <c r="S51" s="79"/>
      <c r="T51" s="78">
        <f>IF($B51="","",IF($S51="Purchased","Yes","No"))</f>
      </c>
      <c r="U51" s="79"/>
      <c r="V51" s="79"/>
      <c r="W51" s="78">
        <f>IF($B51="","",IF($U51="","—",IF($U51="","",IFERROR(IF(INDEX('ONLINE ORDERS'!$M$6:$M$155,MATCH($U51,'ONLINE ORDERS'!$B$6:$B$155,0))="","",INDEX('ONLINE ORDERS'!$M$6:$M$155,MATCH($U51,'ONLINE ORDERS'!$B$6:$B$155,0))),""))))</f>
      </c>
      <c r="X51" s="79"/>
      <c r="Y51" s="79"/>
      <c r="Z51" s="79"/>
      <c r="AA51" s="79"/>
      <c r="AB51" s="82"/>
      <c r="AC51" s="82"/>
      <c r="AD51" s="78">
        <f>IF($F51="","",LOWER(TRIM($C51&amp;"|"&amp;TRIM($F51))))</f>
      </c>
      <c r="AE51" s="78">
        <f>IF($AD51="","",IF(COUNTIF('GIFT PLANNER'!$AD$6:$AD$205,$AD51)&gt;1,"CHECK DUPLICATE",""))</f>
      </c>
      <c r="AF51" s="80"/>
      <c r="AG51" s="78">
        <f>IF($B51="",0,IF(COUNTIF('GIFT PLANNER'!$B$6:$B$205,$B51)&gt;1,1,0))</f>
      </c>
      <c r="AH51" s="78">
        <f>IF(OR(N($Q51)&gt;0,N($R51)&gt;0),IF($G51="",1,IF(COUNTIF('MASTER BUDGET'!$D$6:$D$25,$G51)=0,1,0)),0)</f>
      </c>
      <c r="AI51" s="78">
        <f>IF($C51="",0,IF(COUNTIF('PEOPLE + BUDGETS'!$B$6:$B$105,$C51)=0,1,0))</f>
      </c>
      <c r="AJ51" s="78">
        <f>IF($U51="",0,IF(COUNTIF('ONLINE ORDERS'!$B$6:$B$155,$U51)=0,1,0))</f>
      </c>
      <c r="AK51" s="75"/>
    </row>
    <row r="52" ht="17" customHeight="1" spans="1:37" x14ac:dyDescent="0.25">
      <c r="A52" s="75"/>
      <c r="B52" s="79"/>
      <c r="C52" s="79"/>
      <c r="D52" s="78">
        <f>IF($B52="","",IF($C52="","",IFERROR(IF(INDEX('PEOPLE + BUDGETS'!$C$6:$C$105,MATCH($C52,'PEOPLE + BUDGETS'!$B$6:$B$105,0))="","",INDEX('PEOPLE + BUDGETS'!$C$6:$C$105,MATCH($C52,'PEOPLE + BUDGETS'!$B$6:$B$105,0))),"")))</f>
      </c>
      <c r="E52" s="78">
        <f>IF($B52="","",IF(OR($S52="Cancelled",$S52="Returned"),"No",IFERROR(INDEX('PEOPLE + BUDGETS'!$O$6:$O$105,MATCH($C52,'PEOPLE + BUDGETS'!$B$6:$B$105,0)),"Yes")))</f>
      </c>
      <c r="F52" s="80"/>
      <c r="G52" s="79"/>
      <c r="H52" s="79"/>
      <c r="I52" s="79"/>
      <c r="J52" s="80"/>
      <c r="K52" s="79"/>
      <c r="L52" s="90"/>
      <c r="M52" s="86"/>
      <c r="N52" s="86"/>
      <c r="O52" s="86"/>
      <c r="P52" s="86"/>
      <c r="Q52" s="85">
        <f>IF($B52="","",ROUND(MAX(0,$L52*$M52-$N52)+$O52+$P52,2))</f>
      </c>
      <c r="R52" s="86"/>
      <c r="S52" s="79"/>
      <c r="T52" s="78">
        <f>IF($B52="","",IF($S52="Purchased","Yes","No"))</f>
      </c>
      <c r="U52" s="79"/>
      <c r="V52" s="79"/>
      <c r="W52" s="78">
        <f>IF($B52="","",IF($U52="","—",IF($U52="","",IFERROR(IF(INDEX('ONLINE ORDERS'!$M$6:$M$155,MATCH($U52,'ONLINE ORDERS'!$B$6:$B$155,0))="","",INDEX('ONLINE ORDERS'!$M$6:$M$155,MATCH($U52,'ONLINE ORDERS'!$B$6:$B$155,0))),""))))</f>
      </c>
      <c r="X52" s="79"/>
      <c r="Y52" s="79"/>
      <c r="Z52" s="79"/>
      <c r="AA52" s="79"/>
      <c r="AB52" s="82"/>
      <c r="AC52" s="82"/>
      <c r="AD52" s="78">
        <f>IF($F52="","",LOWER(TRIM($C52&amp;"|"&amp;TRIM($F52))))</f>
      </c>
      <c r="AE52" s="78">
        <f>IF($AD52="","",IF(COUNTIF('GIFT PLANNER'!$AD$6:$AD$205,$AD52)&gt;1,"CHECK DUPLICATE",""))</f>
      </c>
      <c r="AF52" s="80"/>
      <c r="AG52" s="78">
        <f>IF($B52="",0,IF(COUNTIF('GIFT PLANNER'!$B$6:$B$205,$B52)&gt;1,1,0))</f>
      </c>
      <c r="AH52" s="78">
        <f>IF(OR(N($Q52)&gt;0,N($R52)&gt;0),IF($G52="",1,IF(COUNTIF('MASTER BUDGET'!$D$6:$D$25,$G52)=0,1,0)),0)</f>
      </c>
      <c r="AI52" s="78">
        <f>IF($C52="",0,IF(COUNTIF('PEOPLE + BUDGETS'!$B$6:$B$105,$C52)=0,1,0))</f>
      </c>
      <c r="AJ52" s="78">
        <f>IF($U52="",0,IF(COUNTIF('ONLINE ORDERS'!$B$6:$B$155,$U52)=0,1,0))</f>
      </c>
      <c r="AK52" s="75"/>
    </row>
    <row r="53" ht="17" customHeight="1" spans="1:37" x14ac:dyDescent="0.25">
      <c r="A53" s="75"/>
      <c r="B53" s="79"/>
      <c r="C53" s="79"/>
      <c r="D53" s="78">
        <f>IF($B53="","",IF($C53="","",IFERROR(IF(INDEX('PEOPLE + BUDGETS'!$C$6:$C$105,MATCH($C53,'PEOPLE + BUDGETS'!$B$6:$B$105,0))="","",INDEX('PEOPLE + BUDGETS'!$C$6:$C$105,MATCH($C53,'PEOPLE + BUDGETS'!$B$6:$B$105,0))),"")))</f>
      </c>
      <c r="E53" s="78">
        <f>IF($B53="","",IF(OR($S53="Cancelled",$S53="Returned"),"No",IFERROR(INDEX('PEOPLE + BUDGETS'!$O$6:$O$105,MATCH($C53,'PEOPLE + BUDGETS'!$B$6:$B$105,0)),"Yes")))</f>
      </c>
      <c r="F53" s="80"/>
      <c r="G53" s="79"/>
      <c r="H53" s="79"/>
      <c r="I53" s="79"/>
      <c r="J53" s="80"/>
      <c r="K53" s="79"/>
      <c r="L53" s="90"/>
      <c r="M53" s="86"/>
      <c r="N53" s="86"/>
      <c r="O53" s="86"/>
      <c r="P53" s="86"/>
      <c r="Q53" s="85">
        <f>IF($B53="","",ROUND(MAX(0,$L53*$M53-$N53)+$O53+$P53,2))</f>
      </c>
      <c r="R53" s="86"/>
      <c r="S53" s="79"/>
      <c r="T53" s="78">
        <f>IF($B53="","",IF($S53="Purchased","Yes","No"))</f>
      </c>
      <c r="U53" s="79"/>
      <c r="V53" s="79"/>
      <c r="W53" s="78">
        <f>IF($B53="","",IF($U53="","—",IF($U53="","",IFERROR(IF(INDEX('ONLINE ORDERS'!$M$6:$M$155,MATCH($U53,'ONLINE ORDERS'!$B$6:$B$155,0))="","",INDEX('ONLINE ORDERS'!$M$6:$M$155,MATCH($U53,'ONLINE ORDERS'!$B$6:$B$155,0))),""))))</f>
      </c>
      <c r="X53" s="79"/>
      <c r="Y53" s="79"/>
      <c r="Z53" s="79"/>
      <c r="AA53" s="79"/>
      <c r="AB53" s="82"/>
      <c r="AC53" s="82"/>
      <c r="AD53" s="78">
        <f>IF($F53="","",LOWER(TRIM($C53&amp;"|"&amp;TRIM($F53))))</f>
      </c>
      <c r="AE53" s="78">
        <f>IF($AD53="","",IF(COUNTIF('GIFT PLANNER'!$AD$6:$AD$205,$AD53)&gt;1,"CHECK DUPLICATE",""))</f>
      </c>
      <c r="AF53" s="80"/>
      <c r="AG53" s="78">
        <f>IF($B53="",0,IF(COUNTIF('GIFT PLANNER'!$B$6:$B$205,$B53)&gt;1,1,0))</f>
      </c>
      <c r="AH53" s="78">
        <f>IF(OR(N($Q53)&gt;0,N($R53)&gt;0),IF($G53="",1,IF(COUNTIF('MASTER BUDGET'!$D$6:$D$25,$G53)=0,1,0)),0)</f>
      </c>
      <c r="AI53" s="78">
        <f>IF($C53="",0,IF(COUNTIF('PEOPLE + BUDGETS'!$B$6:$B$105,$C53)=0,1,0))</f>
      </c>
      <c r="AJ53" s="78">
        <f>IF($U53="",0,IF(COUNTIF('ONLINE ORDERS'!$B$6:$B$155,$U53)=0,1,0))</f>
      </c>
      <c r="AK53" s="75"/>
    </row>
    <row r="54" ht="17" customHeight="1" spans="1:37" x14ac:dyDescent="0.25">
      <c r="A54" s="75"/>
      <c r="B54" s="79"/>
      <c r="C54" s="79"/>
      <c r="D54" s="78">
        <f>IF($B54="","",IF($C54="","",IFERROR(IF(INDEX('PEOPLE + BUDGETS'!$C$6:$C$105,MATCH($C54,'PEOPLE + BUDGETS'!$B$6:$B$105,0))="","",INDEX('PEOPLE + BUDGETS'!$C$6:$C$105,MATCH($C54,'PEOPLE + BUDGETS'!$B$6:$B$105,0))),"")))</f>
      </c>
      <c r="E54" s="78">
        <f>IF($B54="","",IF(OR($S54="Cancelled",$S54="Returned"),"No",IFERROR(INDEX('PEOPLE + BUDGETS'!$O$6:$O$105,MATCH($C54,'PEOPLE + BUDGETS'!$B$6:$B$105,0)),"Yes")))</f>
      </c>
      <c r="F54" s="80"/>
      <c r="G54" s="79"/>
      <c r="H54" s="79"/>
      <c r="I54" s="79"/>
      <c r="J54" s="80"/>
      <c r="K54" s="79"/>
      <c r="L54" s="90"/>
      <c r="M54" s="86"/>
      <c r="N54" s="86"/>
      <c r="O54" s="86"/>
      <c r="P54" s="86"/>
      <c r="Q54" s="85">
        <f>IF($B54="","",ROUND(MAX(0,$L54*$M54-$N54)+$O54+$P54,2))</f>
      </c>
      <c r="R54" s="86"/>
      <c r="S54" s="79"/>
      <c r="T54" s="78">
        <f>IF($B54="","",IF($S54="Purchased","Yes","No"))</f>
      </c>
      <c r="U54" s="79"/>
      <c r="V54" s="79"/>
      <c r="W54" s="78">
        <f>IF($B54="","",IF($U54="","—",IF($U54="","",IFERROR(IF(INDEX('ONLINE ORDERS'!$M$6:$M$155,MATCH($U54,'ONLINE ORDERS'!$B$6:$B$155,0))="","",INDEX('ONLINE ORDERS'!$M$6:$M$155,MATCH($U54,'ONLINE ORDERS'!$B$6:$B$155,0))),""))))</f>
      </c>
      <c r="X54" s="79"/>
      <c r="Y54" s="79"/>
      <c r="Z54" s="79"/>
      <c r="AA54" s="79"/>
      <c r="AB54" s="82"/>
      <c r="AC54" s="82"/>
      <c r="AD54" s="78">
        <f>IF($F54="","",LOWER(TRIM($C54&amp;"|"&amp;TRIM($F54))))</f>
      </c>
      <c r="AE54" s="78">
        <f>IF($AD54="","",IF(COUNTIF('GIFT PLANNER'!$AD$6:$AD$205,$AD54)&gt;1,"CHECK DUPLICATE",""))</f>
      </c>
      <c r="AF54" s="80"/>
      <c r="AG54" s="78">
        <f>IF($B54="",0,IF(COUNTIF('GIFT PLANNER'!$B$6:$B$205,$B54)&gt;1,1,0))</f>
      </c>
      <c r="AH54" s="78">
        <f>IF(OR(N($Q54)&gt;0,N($R54)&gt;0),IF($G54="",1,IF(COUNTIF('MASTER BUDGET'!$D$6:$D$25,$G54)=0,1,0)),0)</f>
      </c>
      <c r="AI54" s="78">
        <f>IF($C54="",0,IF(COUNTIF('PEOPLE + BUDGETS'!$B$6:$B$105,$C54)=0,1,0))</f>
      </c>
      <c r="AJ54" s="78">
        <f>IF($U54="",0,IF(COUNTIF('ONLINE ORDERS'!$B$6:$B$155,$U54)=0,1,0))</f>
      </c>
      <c r="AK54" s="75"/>
    </row>
    <row r="55" ht="17" customHeight="1" spans="1:37" x14ac:dyDescent="0.25">
      <c r="A55" s="75"/>
      <c r="B55" s="79"/>
      <c r="C55" s="79"/>
      <c r="D55" s="78">
        <f>IF($B55="","",IF($C55="","",IFERROR(IF(INDEX('PEOPLE + BUDGETS'!$C$6:$C$105,MATCH($C55,'PEOPLE + BUDGETS'!$B$6:$B$105,0))="","",INDEX('PEOPLE + BUDGETS'!$C$6:$C$105,MATCH($C55,'PEOPLE + BUDGETS'!$B$6:$B$105,0))),"")))</f>
      </c>
      <c r="E55" s="78">
        <f>IF($B55="","",IF(OR($S55="Cancelled",$S55="Returned"),"No",IFERROR(INDEX('PEOPLE + BUDGETS'!$O$6:$O$105,MATCH($C55,'PEOPLE + BUDGETS'!$B$6:$B$105,0)),"Yes")))</f>
      </c>
      <c r="F55" s="80"/>
      <c r="G55" s="79"/>
      <c r="H55" s="79"/>
      <c r="I55" s="79"/>
      <c r="J55" s="80"/>
      <c r="K55" s="79"/>
      <c r="L55" s="90"/>
      <c r="M55" s="86"/>
      <c r="N55" s="86"/>
      <c r="O55" s="86"/>
      <c r="P55" s="86"/>
      <c r="Q55" s="85">
        <f>IF($B55="","",ROUND(MAX(0,$L55*$M55-$N55)+$O55+$P55,2))</f>
      </c>
      <c r="R55" s="86"/>
      <c r="S55" s="79"/>
      <c r="T55" s="78">
        <f>IF($B55="","",IF($S55="Purchased","Yes","No"))</f>
      </c>
      <c r="U55" s="79"/>
      <c r="V55" s="79"/>
      <c r="W55" s="78">
        <f>IF($B55="","",IF($U55="","—",IF($U55="","",IFERROR(IF(INDEX('ONLINE ORDERS'!$M$6:$M$155,MATCH($U55,'ONLINE ORDERS'!$B$6:$B$155,0))="","",INDEX('ONLINE ORDERS'!$M$6:$M$155,MATCH($U55,'ONLINE ORDERS'!$B$6:$B$155,0))),""))))</f>
      </c>
      <c r="X55" s="79"/>
      <c r="Y55" s="79"/>
      <c r="Z55" s="79"/>
      <c r="AA55" s="79"/>
      <c r="AB55" s="82"/>
      <c r="AC55" s="82"/>
      <c r="AD55" s="78">
        <f>IF($F55="","",LOWER(TRIM($C55&amp;"|"&amp;TRIM($F55))))</f>
      </c>
      <c r="AE55" s="78">
        <f>IF($AD55="","",IF(COUNTIF('GIFT PLANNER'!$AD$6:$AD$205,$AD55)&gt;1,"CHECK DUPLICATE",""))</f>
      </c>
      <c r="AF55" s="80"/>
      <c r="AG55" s="78">
        <f>IF($B55="",0,IF(COUNTIF('GIFT PLANNER'!$B$6:$B$205,$B55)&gt;1,1,0))</f>
      </c>
      <c r="AH55" s="78">
        <f>IF(OR(N($Q55)&gt;0,N($R55)&gt;0),IF($G55="",1,IF(COUNTIF('MASTER BUDGET'!$D$6:$D$25,$G55)=0,1,0)),0)</f>
      </c>
      <c r="AI55" s="78">
        <f>IF($C55="",0,IF(COUNTIF('PEOPLE + BUDGETS'!$B$6:$B$105,$C55)=0,1,0))</f>
      </c>
      <c r="AJ55" s="78">
        <f>IF($U55="",0,IF(COUNTIF('ONLINE ORDERS'!$B$6:$B$155,$U55)=0,1,0))</f>
      </c>
      <c r="AK55" s="75"/>
    </row>
    <row r="56" ht="17" customHeight="1" spans="1:37" x14ac:dyDescent="0.25">
      <c r="A56" s="75"/>
      <c r="B56" s="79"/>
      <c r="C56" s="79"/>
      <c r="D56" s="78">
        <f>IF($B56="","",IF($C56="","",IFERROR(IF(INDEX('PEOPLE + BUDGETS'!$C$6:$C$105,MATCH($C56,'PEOPLE + BUDGETS'!$B$6:$B$105,0))="","",INDEX('PEOPLE + BUDGETS'!$C$6:$C$105,MATCH($C56,'PEOPLE + BUDGETS'!$B$6:$B$105,0))),"")))</f>
      </c>
      <c r="E56" s="78">
        <f>IF($B56="","",IF(OR($S56="Cancelled",$S56="Returned"),"No",IFERROR(INDEX('PEOPLE + BUDGETS'!$O$6:$O$105,MATCH($C56,'PEOPLE + BUDGETS'!$B$6:$B$105,0)),"Yes")))</f>
      </c>
      <c r="F56" s="80"/>
      <c r="G56" s="79"/>
      <c r="H56" s="79"/>
      <c r="I56" s="79"/>
      <c r="J56" s="80"/>
      <c r="K56" s="79"/>
      <c r="L56" s="90"/>
      <c r="M56" s="86"/>
      <c r="N56" s="86"/>
      <c r="O56" s="86"/>
      <c r="P56" s="86"/>
      <c r="Q56" s="85">
        <f>IF($B56="","",ROUND(MAX(0,$L56*$M56-$N56)+$O56+$P56,2))</f>
      </c>
      <c r="R56" s="86"/>
      <c r="S56" s="79"/>
      <c r="T56" s="78">
        <f>IF($B56="","",IF($S56="Purchased","Yes","No"))</f>
      </c>
      <c r="U56" s="79"/>
      <c r="V56" s="79"/>
      <c r="W56" s="78">
        <f>IF($B56="","",IF($U56="","—",IF($U56="","",IFERROR(IF(INDEX('ONLINE ORDERS'!$M$6:$M$155,MATCH($U56,'ONLINE ORDERS'!$B$6:$B$155,0))="","",INDEX('ONLINE ORDERS'!$M$6:$M$155,MATCH($U56,'ONLINE ORDERS'!$B$6:$B$155,0))),""))))</f>
      </c>
      <c r="X56" s="79"/>
      <c r="Y56" s="79"/>
      <c r="Z56" s="79"/>
      <c r="AA56" s="79"/>
      <c r="AB56" s="82"/>
      <c r="AC56" s="82"/>
      <c r="AD56" s="78">
        <f>IF($F56="","",LOWER(TRIM($C56&amp;"|"&amp;TRIM($F56))))</f>
      </c>
      <c r="AE56" s="78">
        <f>IF($AD56="","",IF(COUNTIF('GIFT PLANNER'!$AD$6:$AD$205,$AD56)&gt;1,"CHECK DUPLICATE",""))</f>
      </c>
      <c r="AF56" s="80"/>
      <c r="AG56" s="78">
        <f>IF($B56="",0,IF(COUNTIF('GIFT PLANNER'!$B$6:$B$205,$B56)&gt;1,1,0))</f>
      </c>
      <c r="AH56" s="78">
        <f>IF(OR(N($Q56)&gt;0,N($R56)&gt;0),IF($G56="",1,IF(COUNTIF('MASTER BUDGET'!$D$6:$D$25,$G56)=0,1,0)),0)</f>
      </c>
      <c r="AI56" s="78">
        <f>IF($C56="",0,IF(COUNTIF('PEOPLE + BUDGETS'!$B$6:$B$105,$C56)=0,1,0))</f>
      </c>
      <c r="AJ56" s="78">
        <f>IF($U56="",0,IF(COUNTIF('ONLINE ORDERS'!$B$6:$B$155,$U56)=0,1,0))</f>
      </c>
      <c r="AK56" s="75"/>
    </row>
    <row r="57" ht="17" customHeight="1" spans="1:37" x14ac:dyDescent="0.25">
      <c r="A57" s="75"/>
      <c r="B57" s="79"/>
      <c r="C57" s="79"/>
      <c r="D57" s="78">
        <f>IF($B57="","",IF($C57="","",IFERROR(IF(INDEX('PEOPLE + BUDGETS'!$C$6:$C$105,MATCH($C57,'PEOPLE + BUDGETS'!$B$6:$B$105,0))="","",INDEX('PEOPLE + BUDGETS'!$C$6:$C$105,MATCH($C57,'PEOPLE + BUDGETS'!$B$6:$B$105,0))),"")))</f>
      </c>
      <c r="E57" s="78">
        <f>IF($B57="","",IF(OR($S57="Cancelled",$S57="Returned"),"No",IFERROR(INDEX('PEOPLE + BUDGETS'!$O$6:$O$105,MATCH($C57,'PEOPLE + BUDGETS'!$B$6:$B$105,0)),"Yes")))</f>
      </c>
      <c r="F57" s="80"/>
      <c r="G57" s="79"/>
      <c r="H57" s="79"/>
      <c r="I57" s="79"/>
      <c r="J57" s="80"/>
      <c r="K57" s="79"/>
      <c r="L57" s="90"/>
      <c r="M57" s="86"/>
      <c r="N57" s="86"/>
      <c r="O57" s="86"/>
      <c r="P57" s="86"/>
      <c r="Q57" s="85">
        <f>IF($B57="","",ROUND(MAX(0,$L57*$M57-$N57)+$O57+$P57,2))</f>
      </c>
      <c r="R57" s="86"/>
      <c r="S57" s="79"/>
      <c r="T57" s="78">
        <f>IF($B57="","",IF($S57="Purchased","Yes","No"))</f>
      </c>
      <c r="U57" s="79"/>
      <c r="V57" s="79"/>
      <c r="W57" s="78">
        <f>IF($B57="","",IF($U57="","—",IF($U57="","",IFERROR(IF(INDEX('ONLINE ORDERS'!$M$6:$M$155,MATCH($U57,'ONLINE ORDERS'!$B$6:$B$155,0))="","",INDEX('ONLINE ORDERS'!$M$6:$M$155,MATCH($U57,'ONLINE ORDERS'!$B$6:$B$155,0))),""))))</f>
      </c>
      <c r="X57" s="79"/>
      <c r="Y57" s="79"/>
      <c r="Z57" s="79"/>
      <c r="AA57" s="79"/>
      <c r="AB57" s="82"/>
      <c r="AC57" s="82"/>
      <c r="AD57" s="78">
        <f>IF($F57="","",LOWER(TRIM($C57&amp;"|"&amp;TRIM($F57))))</f>
      </c>
      <c r="AE57" s="78">
        <f>IF($AD57="","",IF(COUNTIF('GIFT PLANNER'!$AD$6:$AD$205,$AD57)&gt;1,"CHECK DUPLICATE",""))</f>
      </c>
      <c r="AF57" s="80"/>
      <c r="AG57" s="78">
        <f>IF($B57="",0,IF(COUNTIF('GIFT PLANNER'!$B$6:$B$205,$B57)&gt;1,1,0))</f>
      </c>
      <c r="AH57" s="78">
        <f>IF(OR(N($Q57)&gt;0,N($R57)&gt;0),IF($G57="",1,IF(COUNTIF('MASTER BUDGET'!$D$6:$D$25,$G57)=0,1,0)),0)</f>
      </c>
      <c r="AI57" s="78">
        <f>IF($C57="",0,IF(COUNTIF('PEOPLE + BUDGETS'!$B$6:$B$105,$C57)=0,1,0))</f>
      </c>
      <c r="AJ57" s="78">
        <f>IF($U57="",0,IF(COUNTIF('ONLINE ORDERS'!$B$6:$B$155,$U57)=0,1,0))</f>
      </c>
      <c r="AK57" s="75"/>
    </row>
    <row r="58" ht="17" customHeight="1" spans="1:37" x14ac:dyDescent="0.25">
      <c r="A58" s="75"/>
      <c r="B58" s="79"/>
      <c r="C58" s="79"/>
      <c r="D58" s="78">
        <f>IF($B58="","",IF($C58="","",IFERROR(IF(INDEX('PEOPLE + BUDGETS'!$C$6:$C$105,MATCH($C58,'PEOPLE + BUDGETS'!$B$6:$B$105,0))="","",INDEX('PEOPLE + BUDGETS'!$C$6:$C$105,MATCH($C58,'PEOPLE + BUDGETS'!$B$6:$B$105,0))),"")))</f>
      </c>
      <c r="E58" s="78">
        <f>IF($B58="","",IF(OR($S58="Cancelled",$S58="Returned"),"No",IFERROR(INDEX('PEOPLE + BUDGETS'!$O$6:$O$105,MATCH($C58,'PEOPLE + BUDGETS'!$B$6:$B$105,0)),"Yes")))</f>
      </c>
      <c r="F58" s="80"/>
      <c r="G58" s="79"/>
      <c r="H58" s="79"/>
      <c r="I58" s="79"/>
      <c r="J58" s="80"/>
      <c r="K58" s="79"/>
      <c r="L58" s="90"/>
      <c r="M58" s="86"/>
      <c r="N58" s="86"/>
      <c r="O58" s="86"/>
      <c r="P58" s="86"/>
      <c r="Q58" s="85">
        <f>IF($B58="","",ROUND(MAX(0,$L58*$M58-$N58)+$O58+$P58,2))</f>
      </c>
      <c r="R58" s="86"/>
      <c r="S58" s="79"/>
      <c r="T58" s="78">
        <f>IF($B58="","",IF($S58="Purchased","Yes","No"))</f>
      </c>
      <c r="U58" s="79"/>
      <c r="V58" s="79"/>
      <c r="W58" s="78">
        <f>IF($B58="","",IF($U58="","—",IF($U58="","",IFERROR(IF(INDEX('ONLINE ORDERS'!$M$6:$M$155,MATCH($U58,'ONLINE ORDERS'!$B$6:$B$155,0))="","",INDEX('ONLINE ORDERS'!$M$6:$M$155,MATCH($U58,'ONLINE ORDERS'!$B$6:$B$155,0))),""))))</f>
      </c>
      <c r="X58" s="79"/>
      <c r="Y58" s="79"/>
      <c r="Z58" s="79"/>
      <c r="AA58" s="79"/>
      <c r="AB58" s="82"/>
      <c r="AC58" s="82"/>
      <c r="AD58" s="78">
        <f>IF($F58="","",LOWER(TRIM($C58&amp;"|"&amp;TRIM($F58))))</f>
      </c>
      <c r="AE58" s="78">
        <f>IF($AD58="","",IF(COUNTIF('GIFT PLANNER'!$AD$6:$AD$205,$AD58)&gt;1,"CHECK DUPLICATE",""))</f>
      </c>
      <c r="AF58" s="80"/>
      <c r="AG58" s="78">
        <f>IF($B58="",0,IF(COUNTIF('GIFT PLANNER'!$B$6:$B$205,$B58)&gt;1,1,0))</f>
      </c>
      <c r="AH58" s="78">
        <f>IF(OR(N($Q58)&gt;0,N($R58)&gt;0),IF($G58="",1,IF(COUNTIF('MASTER BUDGET'!$D$6:$D$25,$G58)=0,1,0)),0)</f>
      </c>
      <c r="AI58" s="78">
        <f>IF($C58="",0,IF(COUNTIF('PEOPLE + BUDGETS'!$B$6:$B$105,$C58)=0,1,0))</f>
      </c>
      <c r="AJ58" s="78">
        <f>IF($U58="",0,IF(COUNTIF('ONLINE ORDERS'!$B$6:$B$155,$U58)=0,1,0))</f>
      </c>
      <c r="AK58" s="75"/>
    </row>
    <row r="59" ht="17" customHeight="1" spans="1:37" x14ac:dyDescent="0.25">
      <c r="A59" s="75"/>
      <c r="B59" s="79"/>
      <c r="C59" s="79"/>
      <c r="D59" s="78">
        <f>IF($B59="","",IF($C59="","",IFERROR(IF(INDEX('PEOPLE + BUDGETS'!$C$6:$C$105,MATCH($C59,'PEOPLE + BUDGETS'!$B$6:$B$105,0))="","",INDEX('PEOPLE + BUDGETS'!$C$6:$C$105,MATCH($C59,'PEOPLE + BUDGETS'!$B$6:$B$105,0))),"")))</f>
      </c>
      <c r="E59" s="78">
        <f>IF($B59="","",IF(OR($S59="Cancelled",$S59="Returned"),"No",IFERROR(INDEX('PEOPLE + BUDGETS'!$O$6:$O$105,MATCH($C59,'PEOPLE + BUDGETS'!$B$6:$B$105,0)),"Yes")))</f>
      </c>
      <c r="F59" s="80"/>
      <c r="G59" s="79"/>
      <c r="H59" s="79"/>
      <c r="I59" s="79"/>
      <c r="J59" s="80"/>
      <c r="K59" s="79"/>
      <c r="L59" s="90"/>
      <c r="M59" s="86"/>
      <c r="N59" s="86"/>
      <c r="O59" s="86"/>
      <c r="P59" s="86"/>
      <c r="Q59" s="85">
        <f>IF($B59="","",ROUND(MAX(0,$L59*$M59-$N59)+$O59+$P59,2))</f>
      </c>
      <c r="R59" s="86"/>
      <c r="S59" s="79"/>
      <c r="T59" s="78">
        <f>IF($B59="","",IF($S59="Purchased","Yes","No"))</f>
      </c>
      <c r="U59" s="79"/>
      <c r="V59" s="79"/>
      <c r="W59" s="78">
        <f>IF($B59="","",IF($U59="","—",IF($U59="","",IFERROR(IF(INDEX('ONLINE ORDERS'!$M$6:$M$155,MATCH($U59,'ONLINE ORDERS'!$B$6:$B$155,0))="","",INDEX('ONLINE ORDERS'!$M$6:$M$155,MATCH($U59,'ONLINE ORDERS'!$B$6:$B$155,0))),""))))</f>
      </c>
      <c r="X59" s="79"/>
      <c r="Y59" s="79"/>
      <c r="Z59" s="79"/>
      <c r="AA59" s="79"/>
      <c r="AB59" s="82"/>
      <c r="AC59" s="82"/>
      <c r="AD59" s="78">
        <f>IF($F59="","",LOWER(TRIM($C59&amp;"|"&amp;TRIM($F59))))</f>
      </c>
      <c r="AE59" s="78">
        <f>IF($AD59="","",IF(COUNTIF('GIFT PLANNER'!$AD$6:$AD$205,$AD59)&gt;1,"CHECK DUPLICATE",""))</f>
      </c>
      <c r="AF59" s="80"/>
      <c r="AG59" s="78">
        <f>IF($B59="",0,IF(COUNTIF('GIFT PLANNER'!$B$6:$B$205,$B59)&gt;1,1,0))</f>
      </c>
      <c r="AH59" s="78">
        <f>IF(OR(N($Q59)&gt;0,N($R59)&gt;0),IF($G59="",1,IF(COUNTIF('MASTER BUDGET'!$D$6:$D$25,$G59)=0,1,0)),0)</f>
      </c>
      <c r="AI59" s="78">
        <f>IF($C59="",0,IF(COUNTIF('PEOPLE + BUDGETS'!$B$6:$B$105,$C59)=0,1,0))</f>
      </c>
      <c r="AJ59" s="78">
        <f>IF($U59="",0,IF(COUNTIF('ONLINE ORDERS'!$B$6:$B$155,$U59)=0,1,0))</f>
      </c>
      <c r="AK59" s="75"/>
    </row>
    <row r="60" ht="17" customHeight="1" spans="1:37" x14ac:dyDescent="0.25">
      <c r="A60" s="75"/>
      <c r="B60" s="79"/>
      <c r="C60" s="79"/>
      <c r="D60" s="78">
        <f>IF($B60="","",IF($C60="","",IFERROR(IF(INDEX('PEOPLE + BUDGETS'!$C$6:$C$105,MATCH($C60,'PEOPLE + BUDGETS'!$B$6:$B$105,0))="","",INDEX('PEOPLE + BUDGETS'!$C$6:$C$105,MATCH($C60,'PEOPLE + BUDGETS'!$B$6:$B$105,0))),"")))</f>
      </c>
      <c r="E60" s="78">
        <f>IF($B60="","",IF(OR($S60="Cancelled",$S60="Returned"),"No",IFERROR(INDEX('PEOPLE + BUDGETS'!$O$6:$O$105,MATCH($C60,'PEOPLE + BUDGETS'!$B$6:$B$105,0)),"Yes")))</f>
      </c>
      <c r="F60" s="80"/>
      <c r="G60" s="79"/>
      <c r="H60" s="79"/>
      <c r="I60" s="79"/>
      <c r="J60" s="80"/>
      <c r="K60" s="79"/>
      <c r="L60" s="90"/>
      <c r="M60" s="86"/>
      <c r="N60" s="86"/>
      <c r="O60" s="86"/>
      <c r="P60" s="86"/>
      <c r="Q60" s="85">
        <f>IF($B60="","",ROUND(MAX(0,$L60*$M60-$N60)+$O60+$P60,2))</f>
      </c>
      <c r="R60" s="86"/>
      <c r="S60" s="79"/>
      <c r="T60" s="78">
        <f>IF($B60="","",IF($S60="Purchased","Yes","No"))</f>
      </c>
      <c r="U60" s="79"/>
      <c r="V60" s="79"/>
      <c r="W60" s="78">
        <f>IF($B60="","",IF($U60="","—",IF($U60="","",IFERROR(IF(INDEX('ONLINE ORDERS'!$M$6:$M$155,MATCH($U60,'ONLINE ORDERS'!$B$6:$B$155,0))="","",INDEX('ONLINE ORDERS'!$M$6:$M$155,MATCH($U60,'ONLINE ORDERS'!$B$6:$B$155,0))),""))))</f>
      </c>
      <c r="X60" s="79"/>
      <c r="Y60" s="79"/>
      <c r="Z60" s="79"/>
      <c r="AA60" s="79"/>
      <c r="AB60" s="82"/>
      <c r="AC60" s="82"/>
      <c r="AD60" s="78">
        <f>IF($F60="","",LOWER(TRIM($C60&amp;"|"&amp;TRIM($F60))))</f>
      </c>
      <c r="AE60" s="78">
        <f>IF($AD60="","",IF(COUNTIF('GIFT PLANNER'!$AD$6:$AD$205,$AD60)&gt;1,"CHECK DUPLICATE",""))</f>
      </c>
      <c r="AF60" s="80"/>
      <c r="AG60" s="78">
        <f>IF($B60="",0,IF(COUNTIF('GIFT PLANNER'!$B$6:$B$205,$B60)&gt;1,1,0))</f>
      </c>
      <c r="AH60" s="78">
        <f>IF(OR(N($Q60)&gt;0,N($R60)&gt;0),IF($G60="",1,IF(COUNTIF('MASTER BUDGET'!$D$6:$D$25,$G60)=0,1,0)),0)</f>
      </c>
      <c r="AI60" s="78">
        <f>IF($C60="",0,IF(COUNTIF('PEOPLE + BUDGETS'!$B$6:$B$105,$C60)=0,1,0))</f>
      </c>
      <c r="AJ60" s="78">
        <f>IF($U60="",0,IF(COUNTIF('ONLINE ORDERS'!$B$6:$B$155,$U60)=0,1,0))</f>
      </c>
      <c r="AK60" s="75"/>
    </row>
    <row r="61" ht="17" customHeight="1" spans="1:37" x14ac:dyDescent="0.25">
      <c r="A61" s="75"/>
      <c r="B61" s="79"/>
      <c r="C61" s="79"/>
      <c r="D61" s="78">
        <f>IF($B61="","",IF($C61="","",IFERROR(IF(INDEX('PEOPLE + BUDGETS'!$C$6:$C$105,MATCH($C61,'PEOPLE + BUDGETS'!$B$6:$B$105,0))="","",INDEX('PEOPLE + BUDGETS'!$C$6:$C$105,MATCH($C61,'PEOPLE + BUDGETS'!$B$6:$B$105,0))),"")))</f>
      </c>
      <c r="E61" s="78">
        <f>IF($B61="","",IF(OR($S61="Cancelled",$S61="Returned"),"No",IFERROR(INDEX('PEOPLE + BUDGETS'!$O$6:$O$105,MATCH($C61,'PEOPLE + BUDGETS'!$B$6:$B$105,0)),"Yes")))</f>
      </c>
      <c r="F61" s="80"/>
      <c r="G61" s="79"/>
      <c r="H61" s="79"/>
      <c r="I61" s="79"/>
      <c r="J61" s="80"/>
      <c r="K61" s="79"/>
      <c r="L61" s="90"/>
      <c r="M61" s="86"/>
      <c r="N61" s="86"/>
      <c r="O61" s="86"/>
      <c r="P61" s="86"/>
      <c r="Q61" s="85">
        <f>IF($B61="","",ROUND(MAX(0,$L61*$M61-$N61)+$O61+$P61,2))</f>
      </c>
      <c r="R61" s="86"/>
      <c r="S61" s="79"/>
      <c r="T61" s="78">
        <f>IF($B61="","",IF($S61="Purchased","Yes","No"))</f>
      </c>
      <c r="U61" s="79"/>
      <c r="V61" s="79"/>
      <c r="W61" s="78">
        <f>IF($B61="","",IF($U61="","—",IF($U61="","",IFERROR(IF(INDEX('ONLINE ORDERS'!$M$6:$M$155,MATCH($U61,'ONLINE ORDERS'!$B$6:$B$155,0))="","",INDEX('ONLINE ORDERS'!$M$6:$M$155,MATCH($U61,'ONLINE ORDERS'!$B$6:$B$155,0))),""))))</f>
      </c>
      <c r="X61" s="79"/>
      <c r="Y61" s="79"/>
      <c r="Z61" s="79"/>
      <c r="AA61" s="79"/>
      <c r="AB61" s="82"/>
      <c r="AC61" s="82"/>
      <c r="AD61" s="78">
        <f>IF($F61="","",LOWER(TRIM($C61&amp;"|"&amp;TRIM($F61))))</f>
      </c>
      <c r="AE61" s="78">
        <f>IF($AD61="","",IF(COUNTIF('GIFT PLANNER'!$AD$6:$AD$205,$AD61)&gt;1,"CHECK DUPLICATE",""))</f>
      </c>
      <c r="AF61" s="80"/>
      <c r="AG61" s="78">
        <f>IF($B61="",0,IF(COUNTIF('GIFT PLANNER'!$B$6:$B$205,$B61)&gt;1,1,0))</f>
      </c>
      <c r="AH61" s="78">
        <f>IF(OR(N($Q61)&gt;0,N($R61)&gt;0),IF($G61="",1,IF(COUNTIF('MASTER BUDGET'!$D$6:$D$25,$G61)=0,1,0)),0)</f>
      </c>
      <c r="AI61" s="78">
        <f>IF($C61="",0,IF(COUNTIF('PEOPLE + BUDGETS'!$B$6:$B$105,$C61)=0,1,0))</f>
      </c>
      <c r="AJ61" s="78">
        <f>IF($U61="",0,IF(COUNTIF('ONLINE ORDERS'!$B$6:$B$155,$U61)=0,1,0))</f>
      </c>
      <c r="AK61" s="75"/>
    </row>
    <row r="62" ht="17" customHeight="1" spans="1:37" x14ac:dyDescent="0.25">
      <c r="A62" s="75"/>
      <c r="B62" s="79"/>
      <c r="C62" s="79"/>
      <c r="D62" s="78">
        <f>IF($B62="","",IF($C62="","",IFERROR(IF(INDEX('PEOPLE + BUDGETS'!$C$6:$C$105,MATCH($C62,'PEOPLE + BUDGETS'!$B$6:$B$105,0))="","",INDEX('PEOPLE + BUDGETS'!$C$6:$C$105,MATCH($C62,'PEOPLE + BUDGETS'!$B$6:$B$105,0))),"")))</f>
      </c>
      <c r="E62" s="78">
        <f>IF($B62="","",IF(OR($S62="Cancelled",$S62="Returned"),"No",IFERROR(INDEX('PEOPLE + BUDGETS'!$O$6:$O$105,MATCH($C62,'PEOPLE + BUDGETS'!$B$6:$B$105,0)),"Yes")))</f>
      </c>
      <c r="F62" s="80"/>
      <c r="G62" s="79"/>
      <c r="H62" s="79"/>
      <c r="I62" s="79"/>
      <c r="J62" s="80"/>
      <c r="K62" s="79"/>
      <c r="L62" s="90"/>
      <c r="M62" s="86"/>
      <c r="N62" s="86"/>
      <c r="O62" s="86"/>
      <c r="P62" s="86"/>
      <c r="Q62" s="85">
        <f>IF($B62="","",ROUND(MAX(0,$L62*$M62-$N62)+$O62+$P62,2))</f>
      </c>
      <c r="R62" s="86"/>
      <c r="S62" s="79"/>
      <c r="T62" s="78">
        <f>IF($B62="","",IF($S62="Purchased","Yes","No"))</f>
      </c>
      <c r="U62" s="79"/>
      <c r="V62" s="79"/>
      <c r="W62" s="78">
        <f>IF($B62="","",IF($U62="","—",IF($U62="","",IFERROR(IF(INDEX('ONLINE ORDERS'!$M$6:$M$155,MATCH($U62,'ONLINE ORDERS'!$B$6:$B$155,0))="","",INDEX('ONLINE ORDERS'!$M$6:$M$155,MATCH($U62,'ONLINE ORDERS'!$B$6:$B$155,0))),""))))</f>
      </c>
      <c r="X62" s="79"/>
      <c r="Y62" s="79"/>
      <c r="Z62" s="79"/>
      <c r="AA62" s="79"/>
      <c r="AB62" s="82"/>
      <c r="AC62" s="82"/>
      <c r="AD62" s="78">
        <f>IF($F62="","",LOWER(TRIM($C62&amp;"|"&amp;TRIM($F62))))</f>
      </c>
      <c r="AE62" s="78">
        <f>IF($AD62="","",IF(COUNTIF('GIFT PLANNER'!$AD$6:$AD$205,$AD62)&gt;1,"CHECK DUPLICATE",""))</f>
      </c>
      <c r="AF62" s="80"/>
      <c r="AG62" s="78">
        <f>IF($B62="",0,IF(COUNTIF('GIFT PLANNER'!$B$6:$B$205,$B62)&gt;1,1,0))</f>
      </c>
      <c r="AH62" s="78">
        <f>IF(OR(N($Q62)&gt;0,N($R62)&gt;0),IF($G62="",1,IF(COUNTIF('MASTER BUDGET'!$D$6:$D$25,$G62)=0,1,0)),0)</f>
      </c>
      <c r="AI62" s="78">
        <f>IF($C62="",0,IF(COUNTIF('PEOPLE + BUDGETS'!$B$6:$B$105,$C62)=0,1,0))</f>
      </c>
      <c r="AJ62" s="78">
        <f>IF($U62="",0,IF(COUNTIF('ONLINE ORDERS'!$B$6:$B$155,$U62)=0,1,0))</f>
      </c>
      <c r="AK62" s="75"/>
    </row>
    <row r="63" ht="17" customHeight="1" spans="1:37" x14ac:dyDescent="0.25">
      <c r="A63" s="75"/>
      <c r="B63" s="79"/>
      <c r="C63" s="79"/>
      <c r="D63" s="78">
        <f>IF($B63="","",IF($C63="","",IFERROR(IF(INDEX('PEOPLE + BUDGETS'!$C$6:$C$105,MATCH($C63,'PEOPLE + BUDGETS'!$B$6:$B$105,0))="","",INDEX('PEOPLE + BUDGETS'!$C$6:$C$105,MATCH($C63,'PEOPLE + BUDGETS'!$B$6:$B$105,0))),"")))</f>
      </c>
      <c r="E63" s="78">
        <f>IF($B63="","",IF(OR($S63="Cancelled",$S63="Returned"),"No",IFERROR(INDEX('PEOPLE + BUDGETS'!$O$6:$O$105,MATCH($C63,'PEOPLE + BUDGETS'!$B$6:$B$105,0)),"Yes")))</f>
      </c>
      <c r="F63" s="80"/>
      <c r="G63" s="79"/>
      <c r="H63" s="79"/>
      <c r="I63" s="79"/>
      <c r="J63" s="80"/>
      <c r="K63" s="79"/>
      <c r="L63" s="90"/>
      <c r="M63" s="86"/>
      <c r="N63" s="86"/>
      <c r="O63" s="86"/>
      <c r="P63" s="86"/>
      <c r="Q63" s="85">
        <f>IF($B63="","",ROUND(MAX(0,$L63*$M63-$N63)+$O63+$P63,2))</f>
      </c>
      <c r="R63" s="86"/>
      <c r="S63" s="79"/>
      <c r="T63" s="78">
        <f>IF($B63="","",IF($S63="Purchased","Yes","No"))</f>
      </c>
      <c r="U63" s="79"/>
      <c r="V63" s="79"/>
      <c r="W63" s="78">
        <f>IF($B63="","",IF($U63="","—",IF($U63="","",IFERROR(IF(INDEX('ONLINE ORDERS'!$M$6:$M$155,MATCH($U63,'ONLINE ORDERS'!$B$6:$B$155,0))="","",INDEX('ONLINE ORDERS'!$M$6:$M$155,MATCH($U63,'ONLINE ORDERS'!$B$6:$B$155,0))),""))))</f>
      </c>
      <c r="X63" s="79"/>
      <c r="Y63" s="79"/>
      <c r="Z63" s="79"/>
      <c r="AA63" s="79"/>
      <c r="AB63" s="82"/>
      <c r="AC63" s="82"/>
      <c r="AD63" s="78">
        <f>IF($F63="","",LOWER(TRIM($C63&amp;"|"&amp;TRIM($F63))))</f>
      </c>
      <c r="AE63" s="78">
        <f>IF($AD63="","",IF(COUNTIF('GIFT PLANNER'!$AD$6:$AD$205,$AD63)&gt;1,"CHECK DUPLICATE",""))</f>
      </c>
      <c r="AF63" s="80"/>
      <c r="AG63" s="78">
        <f>IF($B63="",0,IF(COUNTIF('GIFT PLANNER'!$B$6:$B$205,$B63)&gt;1,1,0))</f>
      </c>
      <c r="AH63" s="78">
        <f>IF(OR(N($Q63)&gt;0,N($R63)&gt;0),IF($G63="",1,IF(COUNTIF('MASTER BUDGET'!$D$6:$D$25,$G63)=0,1,0)),0)</f>
      </c>
      <c r="AI63" s="78">
        <f>IF($C63="",0,IF(COUNTIF('PEOPLE + BUDGETS'!$B$6:$B$105,$C63)=0,1,0))</f>
      </c>
      <c r="AJ63" s="78">
        <f>IF($U63="",0,IF(COUNTIF('ONLINE ORDERS'!$B$6:$B$155,$U63)=0,1,0))</f>
      </c>
      <c r="AK63" s="75"/>
    </row>
    <row r="64" ht="17" customHeight="1" spans="1:37" x14ac:dyDescent="0.25">
      <c r="A64" s="75"/>
      <c r="B64" s="79"/>
      <c r="C64" s="79"/>
      <c r="D64" s="78">
        <f>IF($B64="","",IF($C64="","",IFERROR(IF(INDEX('PEOPLE + BUDGETS'!$C$6:$C$105,MATCH($C64,'PEOPLE + BUDGETS'!$B$6:$B$105,0))="","",INDEX('PEOPLE + BUDGETS'!$C$6:$C$105,MATCH($C64,'PEOPLE + BUDGETS'!$B$6:$B$105,0))),"")))</f>
      </c>
      <c r="E64" s="78">
        <f>IF($B64="","",IF(OR($S64="Cancelled",$S64="Returned"),"No",IFERROR(INDEX('PEOPLE + BUDGETS'!$O$6:$O$105,MATCH($C64,'PEOPLE + BUDGETS'!$B$6:$B$105,0)),"Yes")))</f>
      </c>
      <c r="F64" s="80"/>
      <c r="G64" s="79"/>
      <c r="H64" s="79"/>
      <c r="I64" s="79"/>
      <c r="J64" s="80"/>
      <c r="K64" s="79"/>
      <c r="L64" s="90"/>
      <c r="M64" s="86"/>
      <c r="N64" s="86"/>
      <c r="O64" s="86"/>
      <c r="P64" s="86"/>
      <c r="Q64" s="85">
        <f>IF($B64="","",ROUND(MAX(0,$L64*$M64-$N64)+$O64+$P64,2))</f>
      </c>
      <c r="R64" s="86"/>
      <c r="S64" s="79"/>
      <c r="T64" s="78">
        <f>IF($B64="","",IF($S64="Purchased","Yes","No"))</f>
      </c>
      <c r="U64" s="79"/>
      <c r="V64" s="79"/>
      <c r="W64" s="78">
        <f>IF($B64="","",IF($U64="","—",IF($U64="","",IFERROR(IF(INDEX('ONLINE ORDERS'!$M$6:$M$155,MATCH($U64,'ONLINE ORDERS'!$B$6:$B$155,0))="","",INDEX('ONLINE ORDERS'!$M$6:$M$155,MATCH($U64,'ONLINE ORDERS'!$B$6:$B$155,0))),""))))</f>
      </c>
      <c r="X64" s="79"/>
      <c r="Y64" s="79"/>
      <c r="Z64" s="79"/>
      <c r="AA64" s="79"/>
      <c r="AB64" s="82"/>
      <c r="AC64" s="82"/>
      <c r="AD64" s="78">
        <f>IF($F64="","",LOWER(TRIM($C64&amp;"|"&amp;TRIM($F64))))</f>
      </c>
      <c r="AE64" s="78">
        <f>IF($AD64="","",IF(COUNTIF('GIFT PLANNER'!$AD$6:$AD$205,$AD64)&gt;1,"CHECK DUPLICATE",""))</f>
      </c>
      <c r="AF64" s="80"/>
      <c r="AG64" s="78">
        <f>IF($B64="",0,IF(COUNTIF('GIFT PLANNER'!$B$6:$B$205,$B64)&gt;1,1,0))</f>
      </c>
      <c r="AH64" s="78">
        <f>IF(OR(N($Q64)&gt;0,N($R64)&gt;0),IF($G64="",1,IF(COUNTIF('MASTER BUDGET'!$D$6:$D$25,$G64)=0,1,0)),0)</f>
      </c>
      <c r="AI64" s="78">
        <f>IF($C64="",0,IF(COUNTIF('PEOPLE + BUDGETS'!$B$6:$B$105,$C64)=0,1,0))</f>
      </c>
      <c r="AJ64" s="78">
        <f>IF($U64="",0,IF(COUNTIF('ONLINE ORDERS'!$B$6:$B$155,$U64)=0,1,0))</f>
      </c>
      <c r="AK64" s="75"/>
    </row>
    <row r="65" ht="17" customHeight="1" spans="1:37" x14ac:dyDescent="0.25">
      <c r="A65" s="75"/>
      <c r="B65" s="79"/>
      <c r="C65" s="79"/>
      <c r="D65" s="78">
        <f>IF($B65="","",IF($C65="","",IFERROR(IF(INDEX('PEOPLE + BUDGETS'!$C$6:$C$105,MATCH($C65,'PEOPLE + BUDGETS'!$B$6:$B$105,0))="","",INDEX('PEOPLE + BUDGETS'!$C$6:$C$105,MATCH($C65,'PEOPLE + BUDGETS'!$B$6:$B$105,0))),"")))</f>
      </c>
      <c r="E65" s="78">
        <f>IF($B65="","",IF(OR($S65="Cancelled",$S65="Returned"),"No",IFERROR(INDEX('PEOPLE + BUDGETS'!$O$6:$O$105,MATCH($C65,'PEOPLE + BUDGETS'!$B$6:$B$105,0)),"Yes")))</f>
      </c>
      <c r="F65" s="80"/>
      <c r="G65" s="79"/>
      <c r="H65" s="79"/>
      <c r="I65" s="79"/>
      <c r="J65" s="80"/>
      <c r="K65" s="79"/>
      <c r="L65" s="90"/>
      <c r="M65" s="86"/>
      <c r="N65" s="86"/>
      <c r="O65" s="86"/>
      <c r="P65" s="86"/>
      <c r="Q65" s="85">
        <f>IF($B65="","",ROUND(MAX(0,$L65*$M65-$N65)+$O65+$P65,2))</f>
      </c>
      <c r="R65" s="86"/>
      <c r="S65" s="79"/>
      <c r="T65" s="78">
        <f>IF($B65="","",IF($S65="Purchased","Yes","No"))</f>
      </c>
      <c r="U65" s="79"/>
      <c r="V65" s="79"/>
      <c r="W65" s="78">
        <f>IF($B65="","",IF($U65="","—",IF($U65="","",IFERROR(IF(INDEX('ONLINE ORDERS'!$M$6:$M$155,MATCH($U65,'ONLINE ORDERS'!$B$6:$B$155,0))="","",INDEX('ONLINE ORDERS'!$M$6:$M$155,MATCH($U65,'ONLINE ORDERS'!$B$6:$B$155,0))),""))))</f>
      </c>
      <c r="X65" s="79"/>
      <c r="Y65" s="79"/>
      <c r="Z65" s="79"/>
      <c r="AA65" s="79"/>
      <c r="AB65" s="82"/>
      <c r="AC65" s="82"/>
      <c r="AD65" s="78">
        <f>IF($F65="","",LOWER(TRIM($C65&amp;"|"&amp;TRIM($F65))))</f>
      </c>
      <c r="AE65" s="78">
        <f>IF($AD65="","",IF(COUNTIF('GIFT PLANNER'!$AD$6:$AD$205,$AD65)&gt;1,"CHECK DUPLICATE",""))</f>
      </c>
      <c r="AF65" s="80"/>
      <c r="AG65" s="78">
        <f>IF($B65="",0,IF(COUNTIF('GIFT PLANNER'!$B$6:$B$205,$B65)&gt;1,1,0))</f>
      </c>
      <c r="AH65" s="78">
        <f>IF(OR(N($Q65)&gt;0,N($R65)&gt;0),IF($G65="",1,IF(COUNTIF('MASTER BUDGET'!$D$6:$D$25,$G65)=0,1,0)),0)</f>
      </c>
      <c r="AI65" s="78">
        <f>IF($C65="",0,IF(COUNTIF('PEOPLE + BUDGETS'!$B$6:$B$105,$C65)=0,1,0))</f>
      </c>
      <c r="AJ65" s="78">
        <f>IF($U65="",0,IF(COUNTIF('ONLINE ORDERS'!$B$6:$B$155,$U65)=0,1,0))</f>
      </c>
      <c r="AK65" s="75"/>
    </row>
    <row r="66" ht="17" customHeight="1" spans="1:37" x14ac:dyDescent="0.25">
      <c r="A66" s="75"/>
      <c r="B66" s="79"/>
      <c r="C66" s="79"/>
      <c r="D66" s="78">
        <f>IF($B66="","",IF($C66="","",IFERROR(IF(INDEX('PEOPLE + BUDGETS'!$C$6:$C$105,MATCH($C66,'PEOPLE + BUDGETS'!$B$6:$B$105,0))="","",INDEX('PEOPLE + BUDGETS'!$C$6:$C$105,MATCH($C66,'PEOPLE + BUDGETS'!$B$6:$B$105,0))),"")))</f>
      </c>
      <c r="E66" s="78">
        <f>IF($B66="","",IF(OR($S66="Cancelled",$S66="Returned"),"No",IFERROR(INDEX('PEOPLE + BUDGETS'!$O$6:$O$105,MATCH($C66,'PEOPLE + BUDGETS'!$B$6:$B$105,0)),"Yes")))</f>
      </c>
      <c r="F66" s="80"/>
      <c r="G66" s="79"/>
      <c r="H66" s="79"/>
      <c r="I66" s="79"/>
      <c r="J66" s="80"/>
      <c r="K66" s="79"/>
      <c r="L66" s="90"/>
      <c r="M66" s="86"/>
      <c r="N66" s="86"/>
      <c r="O66" s="86"/>
      <c r="P66" s="86"/>
      <c r="Q66" s="85">
        <f>IF($B66="","",ROUND(MAX(0,$L66*$M66-$N66)+$O66+$P66,2))</f>
      </c>
      <c r="R66" s="86"/>
      <c r="S66" s="79"/>
      <c r="T66" s="78">
        <f>IF($B66="","",IF($S66="Purchased","Yes","No"))</f>
      </c>
      <c r="U66" s="79"/>
      <c r="V66" s="79"/>
      <c r="W66" s="78">
        <f>IF($B66="","",IF($U66="","—",IF($U66="","",IFERROR(IF(INDEX('ONLINE ORDERS'!$M$6:$M$155,MATCH($U66,'ONLINE ORDERS'!$B$6:$B$155,0))="","",INDEX('ONLINE ORDERS'!$M$6:$M$155,MATCH($U66,'ONLINE ORDERS'!$B$6:$B$155,0))),""))))</f>
      </c>
      <c r="X66" s="79"/>
      <c r="Y66" s="79"/>
      <c r="Z66" s="79"/>
      <c r="AA66" s="79"/>
      <c r="AB66" s="82"/>
      <c r="AC66" s="82"/>
      <c r="AD66" s="78">
        <f>IF($F66="","",LOWER(TRIM($C66&amp;"|"&amp;TRIM($F66))))</f>
      </c>
      <c r="AE66" s="78">
        <f>IF($AD66="","",IF(COUNTIF('GIFT PLANNER'!$AD$6:$AD$205,$AD66)&gt;1,"CHECK DUPLICATE",""))</f>
      </c>
      <c r="AF66" s="80"/>
      <c r="AG66" s="78">
        <f>IF($B66="",0,IF(COUNTIF('GIFT PLANNER'!$B$6:$B$205,$B66)&gt;1,1,0))</f>
      </c>
      <c r="AH66" s="78">
        <f>IF(OR(N($Q66)&gt;0,N($R66)&gt;0),IF($G66="",1,IF(COUNTIF('MASTER BUDGET'!$D$6:$D$25,$G66)=0,1,0)),0)</f>
      </c>
      <c r="AI66" s="78">
        <f>IF($C66="",0,IF(COUNTIF('PEOPLE + BUDGETS'!$B$6:$B$105,$C66)=0,1,0))</f>
      </c>
      <c r="AJ66" s="78">
        <f>IF($U66="",0,IF(COUNTIF('ONLINE ORDERS'!$B$6:$B$155,$U66)=0,1,0))</f>
      </c>
      <c r="AK66" s="75"/>
    </row>
    <row r="67" ht="17" customHeight="1" spans="1:37" x14ac:dyDescent="0.25">
      <c r="A67" s="75"/>
      <c r="B67" s="79"/>
      <c r="C67" s="79"/>
      <c r="D67" s="78">
        <f>IF($B67="","",IF($C67="","",IFERROR(IF(INDEX('PEOPLE + BUDGETS'!$C$6:$C$105,MATCH($C67,'PEOPLE + BUDGETS'!$B$6:$B$105,0))="","",INDEX('PEOPLE + BUDGETS'!$C$6:$C$105,MATCH($C67,'PEOPLE + BUDGETS'!$B$6:$B$105,0))),"")))</f>
      </c>
      <c r="E67" s="78">
        <f>IF($B67="","",IF(OR($S67="Cancelled",$S67="Returned"),"No",IFERROR(INDEX('PEOPLE + BUDGETS'!$O$6:$O$105,MATCH($C67,'PEOPLE + BUDGETS'!$B$6:$B$105,0)),"Yes")))</f>
      </c>
      <c r="F67" s="80"/>
      <c r="G67" s="79"/>
      <c r="H67" s="79"/>
      <c r="I67" s="79"/>
      <c r="J67" s="80"/>
      <c r="K67" s="79"/>
      <c r="L67" s="90"/>
      <c r="M67" s="86"/>
      <c r="N67" s="86"/>
      <c r="O67" s="86"/>
      <c r="P67" s="86"/>
      <c r="Q67" s="85">
        <f>IF($B67="","",ROUND(MAX(0,$L67*$M67-$N67)+$O67+$P67,2))</f>
      </c>
      <c r="R67" s="86"/>
      <c r="S67" s="79"/>
      <c r="T67" s="78">
        <f>IF($B67="","",IF($S67="Purchased","Yes","No"))</f>
      </c>
      <c r="U67" s="79"/>
      <c r="V67" s="79"/>
      <c r="W67" s="78">
        <f>IF($B67="","",IF($U67="","—",IF($U67="","",IFERROR(IF(INDEX('ONLINE ORDERS'!$M$6:$M$155,MATCH($U67,'ONLINE ORDERS'!$B$6:$B$155,0))="","",INDEX('ONLINE ORDERS'!$M$6:$M$155,MATCH($U67,'ONLINE ORDERS'!$B$6:$B$155,0))),""))))</f>
      </c>
      <c r="X67" s="79"/>
      <c r="Y67" s="79"/>
      <c r="Z67" s="79"/>
      <c r="AA67" s="79"/>
      <c r="AB67" s="82"/>
      <c r="AC67" s="82"/>
      <c r="AD67" s="78">
        <f>IF($F67="","",LOWER(TRIM($C67&amp;"|"&amp;TRIM($F67))))</f>
      </c>
      <c r="AE67" s="78">
        <f>IF($AD67="","",IF(COUNTIF('GIFT PLANNER'!$AD$6:$AD$205,$AD67)&gt;1,"CHECK DUPLICATE",""))</f>
      </c>
      <c r="AF67" s="80"/>
      <c r="AG67" s="78">
        <f>IF($B67="",0,IF(COUNTIF('GIFT PLANNER'!$B$6:$B$205,$B67)&gt;1,1,0))</f>
      </c>
      <c r="AH67" s="78">
        <f>IF(OR(N($Q67)&gt;0,N($R67)&gt;0),IF($G67="",1,IF(COUNTIF('MASTER BUDGET'!$D$6:$D$25,$G67)=0,1,0)),0)</f>
      </c>
      <c r="AI67" s="78">
        <f>IF($C67="",0,IF(COUNTIF('PEOPLE + BUDGETS'!$B$6:$B$105,$C67)=0,1,0))</f>
      </c>
      <c r="AJ67" s="78">
        <f>IF($U67="",0,IF(COUNTIF('ONLINE ORDERS'!$B$6:$B$155,$U67)=0,1,0))</f>
      </c>
      <c r="AK67" s="75"/>
    </row>
    <row r="68" ht="17" customHeight="1" spans="1:37" x14ac:dyDescent="0.25">
      <c r="A68" s="75"/>
      <c r="B68" s="79"/>
      <c r="C68" s="79"/>
      <c r="D68" s="78">
        <f>IF($B68="","",IF($C68="","",IFERROR(IF(INDEX('PEOPLE + BUDGETS'!$C$6:$C$105,MATCH($C68,'PEOPLE + BUDGETS'!$B$6:$B$105,0))="","",INDEX('PEOPLE + BUDGETS'!$C$6:$C$105,MATCH($C68,'PEOPLE + BUDGETS'!$B$6:$B$105,0))),"")))</f>
      </c>
      <c r="E68" s="78">
        <f>IF($B68="","",IF(OR($S68="Cancelled",$S68="Returned"),"No",IFERROR(INDEX('PEOPLE + BUDGETS'!$O$6:$O$105,MATCH($C68,'PEOPLE + BUDGETS'!$B$6:$B$105,0)),"Yes")))</f>
      </c>
      <c r="F68" s="80"/>
      <c r="G68" s="79"/>
      <c r="H68" s="79"/>
      <c r="I68" s="79"/>
      <c r="J68" s="80"/>
      <c r="K68" s="79"/>
      <c r="L68" s="90"/>
      <c r="M68" s="86"/>
      <c r="N68" s="86"/>
      <c r="O68" s="86"/>
      <c r="P68" s="86"/>
      <c r="Q68" s="85">
        <f>IF($B68="","",ROUND(MAX(0,$L68*$M68-$N68)+$O68+$P68,2))</f>
      </c>
      <c r="R68" s="86"/>
      <c r="S68" s="79"/>
      <c r="T68" s="78">
        <f>IF($B68="","",IF($S68="Purchased","Yes","No"))</f>
      </c>
      <c r="U68" s="79"/>
      <c r="V68" s="79"/>
      <c r="W68" s="78">
        <f>IF($B68="","",IF($U68="","—",IF($U68="","",IFERROR(IF(INDEX('ONLINE ORDERS'!$M$6:$M$155,MATCH($U68,'ONLINE ORDERS'!$B$6:$B$155,0))="","",INDEX('ONLINE ORDERS'!$M$6:$M$155,MATCH($U68,'ONLINE ORDERS'!$B$6:$B$155,0))),""))))</f>
      </c>
      <c r="X68" s="79"/>
      <c r="Y68" s="79"/>
      <c r="Z68" s="79"/>
      <c r="AA68" s="79"/>
      <c r="AB68" s="82"/>
      <c r="AC68" s="82"/>
      <c r="AD68" s="78">
        <f>IF($F68="","",LOWER(TRIM($C68&amp;"|"&amp;TRIM($F68))))</f>
      </c>
      <c r="AE68" s="78">
        <f>IF($AD68="","",IF(COUNTIF('GIFT PLANNER'!$AD$6:$AD$205,$AD68)&gt;1,"CHECK DUPLICATE",""))</f>
      </c>
      <c r="AF68" s="80"/>
      <c r="AG68" s="78">
        <f>IF($B68="",0,IF(COUNTIF('GIFT PLANNER'!$B$6:$B$205,$B68)&gt;1,1,0))</f>
      </c>
      <c r="AH68" s="78">
        <f>IF(OR(N($Q68)&gt;0,N($R68)&gt;0),IF($G68="",1,IF(COUNTIF('MASTER BUDGET'!$D$6:$D$25,$G68)=0,1,0)),0)</f>
      </c>
      <c r="AI68" s="78">
        <f>IF($C68="",0,IF(COUNTIF('PEOPLE + BUDGETS'!$B$6:$B$105,$C68)=0,1,0))</f>
      </c>
      <c r="AJ68" s="78">
        <f>IF($U68="",0,IF(COUNTIF('ONLINE ORDERS'!$B$6:$B$155,$U68)=0,1,0))</f>
      </c>
      <c r="AK68" s="75"/>
    </row>
    <row r="69" ht="17" customHeight="1" spans="1:37" x14ac:dyDescent="0.25">
      <c r="A69" s="75"/>
      <c r="B69" s="79"/>
      <c r="C69" s="79"/>
      <c r="D69" s="78">
        <f>IF($B69="","",IF($C69="","",IFERROR(IF(INDEX('PEOPLE + BUDGETS'!$C$6:$C$105,MATCH($C69,'PEOPLE + BUDGETS'!$B$6:$B$105,0))="","",INDEX('PEOPLE + BUDGETS'!$C$6:$C$105,MATCH($C69,'PEOPLE + BUDGETS'!$B$6:$B$105,0))),"")))</f>
      </c>
      <c r="E69" s="78">
        <f>IF($B69="","",IF(OR($S69="Cancelled",$S69="Returned"),"No",IFERROR(INDEX('PEOPLE + BUDGETS'!$O$6:$O$105,MATCH($C69,'PEOPLE + BUDGETS'!$B$6:$B$105,0)),"Yes")))</f>
      </c>
      <c r="F69" s="80"/>
      <c r="G69" s="79"/>
      <c r="H69" s="79"/>
      <c r="I69" s="79"/>
      <c r="J69" s="80"/>
      <c r="K69" s="79"/>
      <c r="L69" s="90"/>
      <c r="M69" s="86"/>
      <c r="N69" s="86"/>
      <c r="O69" s="86"/>
      <c r="P69" s="86"/>
      <c r="Q69" s="85">
        <f>IF($B69="","",ROUND(MAX(0,$L69*$M69-$N69)+$O69+$P69,2))</f>
      </c>
      <c r="R69" s="86"/>
      <c r="S69" s="79"/>
      <c r="T69" s="78">
        <f>IF($B69="","",IF($S69="Purchased","Yes","No"))</f>
      </c>
      <c r="U69" s="79"/>
      <c r="V69" s="79"/>
      <c r="W69" s="78">
        <f>IF($B69="","",IF($U69="","—",IF($U69="","",IFERROR(IF(INDEX('ONLINE ORDERS'!$M$6:$M$155,MATCH($U69,'ONLINE ORDERS'!$B$6:$B$155,0))="","",INDEX('ONLINE ORDERS'!$M$6:$M$155,MATCH($U69,'ONLINE ORDERS'!$B$6:$B$155,0))),""))))</f>
      </c>
      <c r="X69" s="79"/>
      <c r="Y69" s="79"/>
      <c r="Z69" s="79"/>
      <c r="AA69" s="79"/>
      <c r="AB69" s="82"/>
      <c r="AC69" s="82"/>
      <c r="AD69" s="78">
        <f>IF($F69="","",LOWER(TRIM($C69&amp;"|"&amp;TRIM($F69))))</f>
      </c>
      <c r="AE69" s="78">
        <f>IF($AD69="","",IF(COUNTIF('GIFT PLANNER'!$AD$6:$AD$205,$AD69)&gt;1,"CHECK DUPLICATE",""))</f>
      </c>
      <c r="AF69" s="80"/>
      <c r="AG69" s="78">
        <f>IF($B69="",0,IF(COUNTIF('GIFT PLANNER'!$B$6:$B$205,$B69)&gt;1,1,0))</f>
      </c>
      <c r="AH69" s="78">
        <f>IF(OR(N($Q69)&gt;0,N($R69)&gt;0),IF($G69="",1,IF(COUNTIF('MASTER BUDGET'!$D$6:$D$25,$G69)=0,1,0)),0)</f>
      </c>
      <c r="AI69" s="78">
        <f>IF($C69="",0,IF(COUNTIF('PEOPLE + BUDGETS'!$B$6:$B$105,$C69)=0,1,0))</f>
      </c>
      <c r="AJ69" s="78">
        <f>IF($U69="",0,IF(COUNTIF('ONLINE ORDERS'!$B$6:$B$155,$U69)=0,1,0))</f>
      </c>
      <c r="AK69" s="75"/>
    </row>
    <row r="70" ht="17" customHeight="1" spans="1:37" x14ac:dyDescent="0.25">
      <c r="A70" s="75"/>
      <c r="B70" s="79"/>
      <c r="C70" s="79"/>
      <c r="D70" s="78">
        <f>IF($B70="","",IF($C70="","",IFERROR(IF(INDEX('PEOPLE + BUDGETS'!$C$6:$C$105,MATCH($C70,'PEOPLE + BUDGETS'!$B$6:$B$105,0))="","",INDEX('PEOPLE + BUDGETS'!$C$6:$C$105,MATCH($C70,'PEOPLE + BUDGETS'!$B$6:$B$105,0))),"")))</f>
      </c>
      <c r="E70" s="78">
        <f>IF($B70="","",IF(OR($S70="Cancelled",$S70="Returned"),"No",IFERROR(INDEX('PEOPLE + BUDGETS'!$O$6:$O$105,MATCH($C70,'PEOPLE + BUDGETS'!$B$6:$B$105,0)),"Yes")))</f>
      </c>
      <c r="F70" s="80"/>
      <c r="G70" s="79"/>
      <c r="H70" s="79"/>
      <c r="I70" s="79"/>
      <c r="J70" s="80"/>
      <c r="K70" s="79"/>
      <c r="L70" s="90"/>
      <c r="M70" s="86"/>
      <c r="N70" s="86"/>
      <c r="O70" s="86"/>
      <c r="P70" s="86"/>
      <c r="Q70" s="85">
        <f>IF($B70="","",ROUND(MAX(0,$L70*$M70-$N70)+$O70+$P70,2))</f>
      </c>
      <c r="R70" s="86"/>
      <c r="S70" s="79"/>
      <c r="T70" s="78">
        <f>IF($B70="","",IF($S70="Purchased","Yes","No"))</f>
      </c>
      <c r="U70" s="79"/>
      <c r="V70" s="79"/>
      <c r="W70" s="78">
        <f>IF($B70="","",IF($U70="","—",IF($U70="","",IFERROR(IF(INDEX('ONLINE ORDERS'!$M$6:$M$155,MATCH($U70,'ONLINE ORDERS'!$B$6:$B$155,0))="","",INDEX('ONLINE ORDERS'!$M$6:$M$155,MATCH($U70,'ONLINE ORDERS'!$B$6:$B$155,0))),""))))</f>
      </c>
      <c r="X70" s="79"/>
      <c r="Y70" s="79"/>
      <c r="Z70" s="79"/>
      <c r="AA70" s="79"/>
      <c r="AB70" s="82"/>
      <c r="AC70" s="82"/>
      <c r="AD70" s="78">
        <f>IF($F70="","",LOWER(TRIM($C70&amp;"|"&amp;TRIM($F70))))</f>
      </c>
      <c r="AE70" s="78">
        <f>IF($AD70="","",IF(COUNTIF('GIFT PLANNER'!$AD$6:$AD$205,$AD70)&gt;1,"CHECK DUPLICATE",""))</f>
      </c>
      <c r="AF70" s="80"/>
      <c r="AG70" s="78">
        <f>IF($B70="",0,IF(COUNTIF('GIFT PLANNER'!$B$6:$B$205,$B70)&gt;1,1,0))</f>
      </c>
      <c r="AH70" s="78">
        <f>IF(OR(N($Q70)&gt;0,N($R70)&gt;0),IF($G70="",1,IF(COUNTIF('MASTER BUDGET'!$D$6:$D$25,$G70)=0,1,0)),0)</f>
      </c>
      <c r="AI70" s="78">
        <f>IF($C70="",0,IF(COUNTIF('PEOPLE + BUDGETS'!$B$6:$B$105,$C70)=0,1,0))</f>
      </c>
      <c r="AJ70" s="78">
        <f>IF($U70="",0,IF(COUNTIF('ONLINE ORDERS'!$B$6:$B$155,$U70)=0,1,0))</f>
      </c>
      <c r="AK70" s="75"/>
    </row>
    <row r="71" ht="17" customHeight="1" spans="1:37" x14ac:dyDescent="0.25">
      <c r="A71" s="75"/>
      <c r="B71" s="79"/>
      <c r="C71" s="79"/>
      <c r="D71" s="78">
        <f>IF($B71="","",IF($C71="","",IFERROR(IF(INDEX('PEOPLE + BUDGETS'!$C$6:$C$105,MATCH($C71,'PEOPLE + BUDGETS'!$B$6:$B$105,0))="","",INDEX('PEOPLE + BUDGETS'!$C$6:$C$105,MATCH($C71,'PEOPLE + BUDGETS'!$B$6:$B$105,0))),"")))</f>
      </c>
      <c r="E71" s="78">
        <f>IF($B71="","",IF(OR($S71="Cancelled",$S71="Returned"),"No",IFERROR(INDEX('PEOPLE + BUDGETS'!$O$6:$O$105,MATCH($C71,'PEOPLE + BUDGETS'!$B$6:$B$105,0)),"Yes")))</f>
      </c>
      <c r="F71" s="80"/>
      <c r="G71" s="79"/>
      <c r="H71" s="79"/>
      <c r="I71" s="79"/>
      <c r="J71" s="80"/>
      <c r="K71" s="79"/>
      <c r="L71" s="90"/>
      <c r="M71" s="86"/>
      <c r="N71" s="86"/>
      <c r="O71" s="86"/>
      <c r="P71" s="86"/>
      <c r="Q71" s="85">
        <f>IF($B71="","",ROUND(MAX(0,$L71*$M71-$N71)+$O71+$P71,2))</f>
      </c>
      <c r="R71" s="86"/>
      <c r="S71" s="79"/>
      <c r="T71" s="78">
        <f>IF($B71="","",IF($S71="Purchased","Yes","No"))</f>
      </c>
      <c r="U71" s="79"/>
      <c r="V71" s="79"/>
      <c r="W71" s="78">
        <f>IF($B71="","",IF($U71="","—",IF($U71="","",IFERROR(IF(INDEX('ONLINE ORDERS'!$M$6:$M$155,MATCH($U71,'ONLINE ORDERS'!$B$6:$B$155,0))="","",INDEX('ONLINE ORDERS'!$M$6:$M$155,MATCH($U71,'ONLINE ORDERS'!$B$6:$B$155,0))),""))))</f>
      </c>
      <c r="X71" s="79"/>
      <c r="Y71" s="79"/>
      <c r="Z71" s="79"/>
      <c r="AA71" s="79"/>
      <c r="AB71" s="82"/>
      <c r="AC71" s="82"/>
      <c r="AD71" s="78">
        <f>IF($F71="","",LOWER(TRIM($C71&amp;"|"&amp;TRIM($F71))))</f>
      </c>
      <c r="AE71" s="78">
        <f>IF($AD71="","",IF(COUNTIF('GIFT PLANNER'!$AD$6:$AD$205,$AD71)&gt;1,"CHECK DUPLICATE",""))</f>
      </c>
      <c r="AF71" s="80"/>
      <c r="AG71" s="78">
        <f>IF($B71="",0,IF(COUNTIF('GIFT PLANNER'!$B$6:$B$205,$B71)&gt;1,1,0))</f>
      </c>
      <c r="AH71" s="78">
        <f>IF(OR(N($Q71)&gt;0,N($R71)&gt;0),IF($G71="",1,IF(COUNTIF('MASTER BUDGET'!$D$6:$D$25,$G71)=0,1,0)),0)</f>
      </c>
      <c r="AI71" s="78">
        <f>IF($C71="",0,IF(COUNTIF('PEOPLE + BUDGETS'!$B$6:$B$105,$C71)=0,1,0))</f>
      </c>
      <c r="AJ71" s="78">
        <f>IF($U71="",0,IF(COUNTIF('ONLINE ORDERS'!$B$6:$B$155,$U71)=0,1,0))</f>
      </c>
      <c r="AK71" s="75"/>
    </row>
    <row r="72" ht="17" customHeight="1" spans="1:37" x14ac:dyDescent="0.25">
      <c r="A72" s="75"/>
      <c r="B72" s="79"/>
      <c r="C72" s="79"/>
      <c r="D72" s="78">
        <f>IF($B72="","",IF($C72="","",IFERROR(IF(INDEX('PEOPLE + BUDGETS'!$C$6:$C$105,MATCH($C72,'PEOPLE + BUDGETS'!$B$6:$B$105,0))="","",INDEX('PEOPLE + BUDGETS'!$C$6:$C$105,MATCH($C72,'PEOPLE + BUDGETS'!$B$6:$B$105,0))),"")))</f>
      </c>
      <c r="E72" s="78">
        <f>IF($B72="","",IF(OR($S72="Cancelled",$S72="Returned"),"No",IFERROR(INDEX('PEOPLE + BUDGETS'!$O$6:$O$105,MATCH($C72,'PEOPLE + BUDGETS'!$B$6:$B$105,0)),"Yes")))</f>
      </c>
      <c r="F72" s="80"/>
      <c r="G72" s="79"/>
      <c r="H72" s="79"/>
      <c r="I72" s="79"/>
      <c r="J72" s="80"/>
      <c r="K72" s="79"/>
      <c r="L72" s="90"/>
      <c r="M72" s="86"/>
      <c r="N72" s="86"/>
      <c r="O72" s="86"/>
      <c r="P72" s="86"/>
      <c r="Q72" s="85">
        <f>IF($B72="","",ROUND(MAX(0,$L72*$M72-$N72)+$O72+$P72,2))</f>
      </c>
      <c r="R72" s="86"/>
      <c r="S72" s="79"/>
      <c r="T72" s="78">
        <f>IF($B72="","",IF($S72="Purchased","Yes","No"))</f>
      </c>
      <c r="U72" s="79"/>
      <c r="V72" s="79"/>
      <c r="W72" s="78">
        <f>IF($B72="","",IF($U72="","—",IF($U72="","",IFERROR(IF(INDEX('ONLINE ORDERS'!$M$6:$M$155,MATCH($U72,'ONLINE ORDERS'!$B$6:$B$155,0))="","",INDEX('ONLINE ORDERS'!$M$6:$M$155,MATCH($U72,'ONLINE ORDERS'!$B$6:$B$155,0))),""))))</f>
      </c>
      <c r="X72" s="79"/>
      <c r="Y72" s="79"/>
      <c r="Z72" s="79"/>
      <c r="AA72" s="79"/>
      <c r="AB72" s="82"/>
      <c r="AC72" s="82"/>
      <c r="AD72" s="78">
        <f>IF($F72="","",LOWER(TRIM($C72&amp;"|"&amp;TRIM($F72))))</f>
      </c>
      <c r="AE72" s="78">
        <f>IF($AD72="","",IF(COUNTIF('GIFT PLANNER'!$AD$6:$AD$205,$AD72)&gt;1,"CHECK DUPLICATE",""))</f>
      </c>
      <c r="AF72" s="80"/>
      <c r="AG72" s="78">
        <f>IF($B72="",0,IF(COUNTIF('GIFT PLANNER'!$B$6:$B$205,$B72)&gt;1,1,0))</f>
      </c>
      <c r="AH72" s="78">
        <f>IF(OR(N($Q72)&gt;0,N($R72)&gt;0),IF($G72="",1,IF(COUNTIF('MASTER BUDGET'!$D$6:$D$25,$G72)=0,1,0)),0)</f>
      </c>
      <c r="AI72" s="78">
        <f>IF($C72="",0,IF(COUNTIF('PEOPLE + BUDGETS'!$B$6:$B$105,$C72)=0,1,0))</f>
      </c>
      <c r="AJ72" s="78">
        <f>IF($U72="",0,IF(COUNTIF('ONLINE ORDERS'!$B$6:$B$155,$U72)=0,1,0))</f>
      </c>
      <c r="AK72" s="75"/>
    </row>
    <row r="73" ht="17" customHeight="1" spans="1:37" x14ac:dyDescent="0.25">
      <c r="A73" s="75"/>
      <c r="B73" s="79"/>
      <c r="C73" s="79"/>
      <c r="D73" s="78">
        <f>IF($B73="","",IF($C73="","",IFERROR(IF(INDEX('PEOPLE + BUDGETS'!$C$6:$C$105,MATCH($C73,'PEOPLE + BUDGETS'!$B$6:$B$105,0))="","",INDEX('PEOPLE + BUDGETS'!$C$6:$C$105,MATCH($C73,'PEOPLE + BUDGETS'!$B$6:$B$105,0))),"")))</f>
      </c>
      <c r="E73" s="78">
        <f>IF($B73="","",IF(OR($S73="Cancelled",$S73="Returned"),"No",IFERROR(INDEX('PEOPLE + BUDGETS'!$O$6:$O$105,MATCH($C73,'PEOPLE + BUDGETS'!$B$6:$B$105,0)),"Yes")))</f>
      </c>
      <c r="F73" s="80"/>
      <c r="G73" s="79"/>
      <c r="H73" s="79"/>
      <c r="I73" s="79"/>
      <c r="J73" s="80"/>
      <c r="K73" s="79"/>
      <c r="L73" s="90"/>
      <c r="M73" s="86"/>
      <c r="N73" s="86"/>
      <c r="O73" s="86"/>
      <c r="P73" s="86"/>
      <c r="Q73" s="85">
        <f>IF($B73="","",ROUND(MAX(0,$L73*$M73-$N73)+$O73+$P73,2))</f>
      </c>
      <c r="R73" s="86"/>
      <c r="S73" s="79"/>
      <c r="T73" s="78">
        <f>IF($B73="","",IF($S73="Purchased","Yes","No"))</f>
      </c>
      <c r="U73" s="79"/>
      <c r="V73" s="79"/>
      <c r="W73" s="78">
        <f>IF($B73="","",IF($U73="","—",IF($U73="","",IFERROR(IF(INDEX('ONLINE ORDERS'!$M$6:$M$155,MATCH($U73,'ONLINE ORDERS'!$B$6:$B$155,0))="","",INDEX('ONLINE ORDERS'!$M$6:$M$155,MATCH($U73,'ONLINE ORDERS'!$B$6:$B$155,0))),""))))</f>
      </c>
      <c r="X73" s="79"/>
      <c r="Y73" s="79"/>
      <c r="Z73" s="79"/>
      <c r="AA73" s="79"/>
      <c r="AB73" s="82"/>
      <c r="AC73" s="82"/>
      <c r="AD73" s="78">
        <f>IF($F73="","",LOWER(TRIM($C73&amp;"|"&amp;TRIM($F73))))</f>
      </c>
      <c r="AE73" s="78">
        <f>IF($AD73="","",IF(COUNTIF('GIFT PLANNER'!$AD$6:$AD$205,$AD73)&gt;1,"CHECK DUPLICATE",""))</f>
      </c>
      <c r="AF73" s="80"/>
      <c r="AG73" s="78">
        <f>IF($B73="",0,IF(COUNTIF('GIFT PLANNER'!$B$6:$B$205,$B73)&gt;1,1,0))</f>
      </c>
      <c r="AH73" s="78">
        <f>IF(OR(N($Q73)&gt;0,N($R73)&gt;0),IF($G73="",1,IF(COUNTIF('MASTER BUDGET'!$D$6:$D$25,$G73)=0,1,0)),0)</f>
      </c>
      <c r="AI73" s="78">
        <f>IF($C73="",0,IF(COUNTIF('PEOPLE + BUDGETS'!$B$6:$B$105,$C73)=0,1,0))</f>
      </c>
      <c r="AJ73" s="78">
        <f>IF($U73="",0,IF(COUNTIF('ONLINE ORDERS'!$B$6:$B$155,$U73)=0,1,0))</f>
      </c>
      <c r="AK73" s="75"/>
    </row>
    <row r="74" ht="17" customHeight="1" spans="1:37" x14ac:dyDescent="0.25">
      <c r="A74" s="75"/>
      <c r="B74" s="79"/>
      <c r="C74" s="79"/>
      <c r="D74" s="78">
        <f>IF($B74="","",IF($C74="","",IFERROR(IF(INDEX('PEOPLE + BUDGETS'!$C$6:$C$105,MATCH($C74,'PEOPLE + BUDGETS'!$B$6:$B$105,0))="","",INDEX('PEOPLE + BUDGETS'!$C$6:$C$105,MATCH($C74,'PEOPLE + BUDGETS'!$B$6:$B$105,0))),"")))</f>
      </c>
      <c r="E74" s="78">
        <f>IF($B74="","",IF(OR($S74="Cancelled",$S74="Returned"),"No",IFERROR(INDEX('PEOPLE + BUDGETS'!$O$6:$O$105,MATCH($C74,'PEOPLE + BUDGETS'!$B$6:$B$105,0)),"Yes")))</f>
      </c>
      <c r="F74" s="80"/>
      <c r="G74" s="79"/>
      <c r="H74" s="79"/>
      <c r="I74" s="79"/>
      <c r="J74" s="80"/>
      <c r="K74" s="79"/>
      <c r="L74" s="90"/>
      <c r="M74" s="86"/>
      <c r="N74" s="86"/>
      <c r="O74" s="86"/>
      <c r="P74" s="86"/>
      <c r="Q74" s="85">
        <f>IF($B74="","",ROUND(MAX(0,$L74*$M74-$N74)+$O74+$P74,2))</f>
      </c>
      <c r="R74" s="86"/>
      <c r="S74" s="79"/>
      <c r="T74" s="78">
        <f>IF($B74="","",IF($S74="Purchased","Yes","No"))</f>
      </c>
      <c r="U74" s="79"/>
      <c r="V74" s="79"/>
      <c r="W74" s="78">
        <f>IF($B74="","",IF($U74="","—",IF($U74="","",IFERROR(IF(INDEX('ONLINE ORDERS'!$M$6:$M$155,MATCH($U74,'ONLINE ORDERS'!$B$6:$B$155,0))="","",INDEX('ONLINE ORDERS'!$M$6:$M$155,MATCH($U74,'ONLINE ORDERS'!$B$6:$B$155,0))),""))))</f>
      </c>
      <c r="X74" s="79"/>
      <c r="Y74" s="79"/>
      <c r="Z74" s="79"/>
      <c r="AA74" s="79"/>
      <c r="AB74" s="82"/>
      <c r="AC74" s="82"/>
      <c r="AD74" s="78">
        <f>IF($F74="","",LOWER(TRIM($C74&amp;"|"&amp;TRIM($F74))))</f>
      </c>
      <c r="AE74" s="78">
        <f>IF($AD74="","",IF(COUNTIF('GIFT PLANNER'!$AD$6:$AD$205,$AD74)&gt;1,"CHECK DUPLICATE",""))</f>
      </c>
      <c r="AF74" s="80"/>
      <c r="AG74" s="78">
        <f>IF($B74="",0,IF(COUNTIF('GIFT PLANNER'!$B$6:$B$205,$B74)&gt;1,1,0))</f>
      </c>
      <c r="AH74" s="78">
        <f>IF(OR(N($Q74)&gt;0,N($R74)&gt;0),IF($G74="",1,IF(COUNTIF('MASTER BUDGET'!$D$6:$D$25,$G74)=0,1,0)),0)</f>
      </c>
      <c r="AI74" s="78">
        <f>IF($C74="",0,IF(COUNTIF('PEOPLE + BUDGETS'!$B$6:$B$105,$C74)=0,1,0))</f>
      </c>
      <c r="AJ74" s="78">
        <f>IF($U74="",0,IF(COUNTIF('ONLINE ORDERS'!$B$6:$B$155,$U74)=0,1,0))</f>
      </c>
      <c r="AK74" s="75"/>
    </row>
    <row r="75" ht="17" customHeight="1" spans="1:37" x14ac:dyDescent="0.25">
      <c r="A75" s="75"/>
      <c r="B75" s="79"/>
      <c r="C75" s="79"/>
      <c r="D75" s="78">
        <f>IF($B75="","",IF($C75="","",IFERROR(IF(INDEX('PEOPLE + BUDGETS'!$C$6:$C$105,MATCH($C75,'PEOPLE + BUDGETS'!$B$6:$B$105,0))="","",INDEX('PEOPLE + BUDGETS'!$C$6:$C$105,MATCH($C75,'PEOPLE + BUDGETS'!$B$6:$B$105,0))),"")))</f>
      </c>
      <c r="E75" s="78">
        <f>IF($B75="","",IF(OR($S75="Cancelled",$S75="Returned"),"No",IFERROR(INDEX('PEOPLE + BUDGETS'!$O$6:$O$105,MATCH($C75,'PEOPLE + BUDGETS'!$B$6:$B$105,0)),"Yes")))</f>
      </c>
      <c r="F75" s="80"/>
      <c r="G75" s="79"/>
      <c r="H75" s="79"/>
      <c r="I75" s="79"/>
      <c r="J75" s="80"/>
      <c r="K75" s="79"/>
      <c r="L75" s="90"/>
      <c r="M75" s="86"/>
      <c r="N75" s="86"/>
      <c r="O75" s="86"/>
      <c r="P75" s="86"/>
      <c r="Q75" s="85">
        <f>IF($B75="","",ROUND(MAX(0,$L75*$M75-$N75)+$O75+$P75,2))</f>
      </c>
      <c r="R75" s="86"/>
      <c r="S75" s="79"/>
      <c r="T75" s="78">
        <f>IF($B75="","",IF($S75="Purchased","Yes","No"))</f>
      </c>
      <c r="U75" s="79"/>
      <c r="V75" s="79"/>
      <c r="W75" s="78">
        <f>IF($B75="","",IF($U75="","—",IF($U75="","",IFERROR(IF(INDEX('ONLINE ORDERS'!$M$6:$M$155,MATCH($U75,'ONLINE ORDERS'!$B$6:$B$155,0))="","",INDEX('ONLINE ORDERS'!$M$6:$M$155,MATCH($U75,'ONLINE ORDERS'!$B$6:$B$155,0))),""))))</f>
      </c>
      <c r="X75" s="79"/>
      <c r="Y75" s="79"/>
      <c r="Z75" s="79"/>
      <c r="AA75" s="79"/>
      <c r="AB75" s="82"/>
      <c r="AC75" s="82"/>
      <c r="AD75" s="78">
        <f>IF($F75="","",LOWER(TRIM($C75&amp;"|"&amp;TRIM($F75))))</f>
      </c>
      <c r="AE75" s="78">
        <f>IF($AD75="","",IF(COUNTIF('GIFT PLANNER'!$AD$6:$AD$205,$AD75)&gt;1,"CHECK DUPLICATE",""))</f>
      </c>
      <c r="AF75" s="80"/>
      <c r="AG75" s="78">
        <f>IF($B75="",0,IF(COUNTIF('GIFT PLANNER'!$B$6:$B$205,$B75)&gt;1,1,0))</f>
      </c>
      <c r="AH75" s="78">
        <f>IF(OR(N($Q75)&gt;0,N($R75)&gt;0),IF($G75="",1,IF(COUNTIF('MASTER BUDGET'!$D$6:$D$25,$G75)=0,1,0)),0)</f>
      </c>
      <c r="AI75" s="78">
        <f>IF($C75="",0,IF(COUNTIF('PEOPLE + BUDGETS'!$B$6:$B$105,$C75)=0,1,0))</f>
      </c>
      <c r="AJ75" s="78">
        <f>IF($U75="",0,IF(COUNTIF('ONLINE ORDERS'!$B$6:$B$155,$U75)=0,1,0))</f>
      </c>
      <c r="AK75" s="75"/>
    </row>
    <row r="76" ht="17" customHeight="1" spans="1:37" x14ac:dyDescent="0.25">
      <c r="A76" s="75"/>
      <c r="B76" s="79"/>
      <c r="C76" s="79"/>
      <c r="D76" s="78">
        <f>IF($B76="","",IF($C76="","",IFERROR(IF(INDEX('PEOPLE + BUDGETS'!$C$6:$C$105,MATCH($C76,'PEOPLE + BUDGETS'!$B$6:$B$105,0))="","",INDEX('PEOPLE + BUDGETS'!$C$6:$C$105,MATCH($C76,'PEOPLE + BUDGETS'!$B$6:$B$105,0))),"")))</f>
      </c>
      <c r="E76" s="78">
        <f>IF($B76="","",IF(OR($S76="Cancelled",$S76="Returned"),"No",IFERROR(INDEX('PEOPLE + BUDGETS'!$O$6:$O$105,MATCH($C76,'PEOPLE + BUDGETS'!$B$6:$B$105,0)),"Yes")))</f>
      </c>
      <c r="F76" s="80"/>
      <c r="G76" s="79"/>
      <c r="H76" s="79"/>
      <c r="I76" s="79"/>
      <c r="J76" s="80"/>
      <c r="K76" s="79"/>
      <c r="L76" s="90"/>
      <c r="M76" s="86"/>
      <c r="N76" s="86"/>
      <c r="O76" s="86"/>
      <c r="P76" s="86"/>
      <c r="Q76" s="85">
        <f>IF($B76="","",ROUND(MAX(0,$L76*$M76-$N76)+$O76+$P76,2))</f>
      </c>
      <c r="R76" s="86"/>
      <c r="S76" s="79"/>
      <c r="T76" s="78">
        <f>IF($B76="","",IF($S76="Purchased","Yes","No"))</f>
      </c>
      <c r="U76" s="79"/>
      <c r="V76" s="79"/>
      <c r="W76" s="78">
        <f>IF($B76="","",IF($U76="","—",IF($U76="","",IFERROR(IF(INDEX('ONLINE ORDERS'!$M$6:$M$155,MATCH($U76,'ONLINE ORDERS'!$B$6:$B$155,0))="","",INDEX('ONLINE ORDERS'!$M$6:$M$155,MATCH($U76,'ONLINE ORDERS'!$B$6:$B$155,0))),""))))</f>
      </c>
      <c r="X76" s="79"/>
      <c r="Y76" s="79"/>
      <c r="Z76" s="79"/>
      <c r="AA76" s="79"/>
      <c r="AB76" s="82"/>
      <c r="AC76" s="82"/>
      <c r="AD76" s="78">
        <f>IF($F76="","",LOWER(TRIM($C76&amp;"|"&amp;TRIM($F76))))</f>
      </c>
      <c r="AE76" s="78">
        <f>IF($AD76="","",IF(COUNTIF('GIFT PLANNER'!$AD$6:$AD$205,$AD76)&gt;1,"CHECK DUPLICATE",""))</f>
      </c>
      <c r="AF76" s="80"/>
      <c r="AG76" s="78">
        <f>IF($B76="",0,IF(COUNTIF('GIFT PLANNER'!$B$6:$B$205,$B76)&gt;1,1,0))</f>
      </c>
      <c r="AH76" s="78">
        <f>IF(OR(N($Q76)&gt;0,N($R76)&gt;0),IF($G76="",1,IF(COUNTIF('MASTER BUDGET'!$D$6:$D$25,$G76)=0,1,0)),0)</f>
      </c>
      <c r="AI76" s="78">
        <f>IF($C76="",0,IF(COUNTIF('PEOPLE + BUDGETS'!$B$6:$B$105,$C76)=0,1,0))</f>
      </c>
      <c r="AJ76" s="78">
        <f>IF($U76="",0,IF(COUNTIF('ONLINE ORDERS'!$B$6:$B$155,$U76)=0,1,0))</f>
      </c>
      <c r="AK76" s="75"/>
    </row>
    <row r="77" ht="17" customHeight="1" spans="1:37" x14ac:dyDescent="0.25">
      <c r="A77" s="75"/>
      <c r="B77" s="79"/>
      <c r="C77" s="79"/>
      <c r="D77" s="78">
        <f>IF($B77="","",IF($C77="","",IFERROR(IF(INDEX('PEOPLE + BUDGETS'!$C$6:$C$105,MATCH($C77,'PEOPLE + BUDGETS'!$B$6:$B$105,0))="","",INDEX('PEOPLE + BUDGETS'!$C$6:$C$105,MATCH($C77,'PEOPLE + BUDGETS'!$B$6:$B$105,0))),"")))</f>
      </c>
      <c r="E77" s="78">
        <f>IF($B77="","",IF(OR($S77="Cancelled",$S77="Returned"),"No",IFERROR(INDEX('PEOPLE + BUDGETS'!$O$6:$O$105,MATCH($C77,'PEOPLE + BUDGETS'!$B$6:$B$105,0)),"Yes")))</f>
      </c>
      <c r="F77" s="80"/>
      <c r="G77" s="79"/>
      <c r="H77" s="79"/>
      <c r="I77" s="79"/>
      <c r="J77" s="80"/>
      <c r="K77" s="79"/>
      <c r="L77" s="90"/>
      <c r="M77" s="86"/>
      <c r="N77" s="86"/>
      <c r="O77" s="86"/>
      <c r="P77" s="86"/>
      <c r="Q77" s="85">
        <f>IF($B77="","",ROUND(MAX(0,$L77*$M77-$N77)+$O77+$P77,2))</f>
      </c>
      <c r="R77" s="86"/>
      <c r="S77" s="79"/>
      <c r="T77" s="78">
        <f>IF($B77="","",IF($S77="Purchased","Yes","No"))</f>
      </c>
      <c r="U77" s="79"/>
      <c r="V77" s="79"/>
      <c r="W77" s="78">
        <f>IF($B77="","",IF($U77="","—",IF($U77="","",IFERROR(IF(INDEX('ONLINE ORDERS'!$M$6:$M$155,MATCH($U77,'ONLINE ORDERS'!$B$6:$B$155,0))="","",INDEX('ONLINE ORDERS'!$M$6:$M$155,MATCH($U77,'ONLINE ORDERS'!$B$6:$B$155,0))),""))))</f>
      </c>
      <c r="X77" s="79"/>
      <c r="Y77" s="79"/>
      <c r="Z77" s="79"/>
      <c r="AA77" s="79"/>
      <c r="AB77" s="82"/>
      <c r="AC77" s="82"/>
      <c r="AD77" s="78">
        <f>IF($F77="","",LOWER(TRIM($C77&amp;"|"&amp;TRIM($F77))))</f>
      </c>
      <c r="AE77" s="78">
        <f>IF($AD77="","",IF(COUNTIF('GIFT PLANNER'!$AD$6:$AD$205,$AD77)&gt;1,"CHECK DUPLICATE",""))</f>
      </c>
      <c r="AF77" s="80"/>
      <c r="AG77" s="78">
        <f>IF($B77="",0,IF(COUNTIF('GIFT PLANNER'!$B$6:$B$205,$B77)&gt;1,1,0))</f>
      </c>
      <c r="AH77" s="78">
        <f>IF(OR(N($Q77)&gt;0,N($R77)&gt;0),IF($G77="",1,IF(COUNTIF('MASTER BUDGET'!$D$6:$D$25,$G77)=0,1,0)),0)</f>
      </c>
      <c r="AI77" s="78">
        <f>IF($C77="",0,IF(COUNTIF('PEOPLE + BUDGETS'!$B$6:$B$105,$C77)=0,1,0))</f>
      </c>
      <c r="AJ77" s="78">
        <f>IF($U77="",0,IF(COUNTIF('ONLINE ORDERS'!$B$6:$B$155,$U77)=0,1,0))</f>
      </c>
      <c r="AK77" s="75"/>
    </row>
    <row r="78" ht="17" customHeight="1" spans="1:37" x14ac:dyDescent="0.25">
      <c r="A78" s="75"/>
      <c r="B78" s="79"/>
      <c r="C78" s="79"/>
      <c r="D78" s="78">
        <f>IF($B78="","",IF($C78="","",IFERROR(IF(INDEX('PEOPLE + BUDGETS'!$C$6:$C$105,MATCH($C78,'PEOPLE + BUDGETS'!$B$6:$B$105,0))="","",INDEX('PEOPLE + BUDGETS'!$C$6:$C$105,MATCH($C78,'PEOPLE + BUDGETS'!$B$6:$B$105,0))),"")))</f>
      </c>
      <c r="E78" s="78">
        <f>IF($B78="","",IF(OR($S78="Cancelled",$S78="Returned"),"No",IFERROR(INDEX('PEOPLE + BUDGETS'!$O$6:$O$105,MATCH($C78,'PEOPLE + BUDGETS'!$B$6:$B$105,0)),"Yes")))</f>
      </c>
      <c r="F78" s="80"/>
      <c r="G78" s="79"/>
      <c r="H78" s="79"/>
      <c r="I78" s="79"/>
      <c r="J78" s="80"/>
      <c r="K78" s="79"/>
      <c r="L78" s="90"/>
      <c r="M78" s="86"/>
      <c r="N78" s="86"/>
      <c r="O78" s="86"/>
      <c r="P78" s="86"/>
      <c r="Q78" s="85">
        <f>IF($B78="","",ROUND(MAX(0,$L78*$M78-$N78)+$O78+$P78,2))</f>
      </c>
      <c r="R78" s="86"/>
      <c r="S78" s="79"/>
      <c r="T78" s="78">
        <f>IF($B78="","",IF($S78="Purchased","Yes","No"))</f>
      </c>
      <c r="U78" s="79"/>
      <c r="V78" s="79"/>
      <c r="W78" s="78">
        <f>IF($B78="","",IF($U78="","—",IF($U78="","",IFERROR(IF(INDEX('ONLINE ORDERS'!$M$6:$M$155,MATCH($U78,'ONLINE ORDERS'!$B$6:$B$155,0))="","",INDEX('ONLINE ORDERS'!$M$6:$M$155,MATCH($U78,'ONLINE ORDERS'!$B$6:$B$155,0))),""))))</f>
      </c>
      <c r="X78" s="79"/>
      <c r="Y78" s="79"/>
      <c r="Z78" s="79"/>
      <c r="AA78" s="79"/>
      <c r="AB78" s="82"/>
      <c r="AC78" s="82"/>
      <c r="AD78" s="78">
        <f>IF($F78="","",LOWER(TRIM($C78&amp;"|"&amp;TRIM($F78))))</f>
      </c>
      <c r="AE78" s="78">
        <f>IF($AD78="","",IF(COUNTIF('GIFT PLANNER'!$AD$6:$AD$205,$AD78)&gt;1,"CHECK DUPLICATE",""))</f>
      </c>
      <c r="AF78" s="80"/>
      <c r="AG78" s="78">
        <f>IF($B78="",0,IF(COUNTIF('GIFT PLANNER'!$B$6:$B$205,$B78)&gt;1,1,0))</f>
      </c>
      <c r="AH78" s="78">
        <f>IF(OR(N($Q78)&gt;0,N($R78)&gt;0),IF($G78="",1,IF(COUNTIF('MASTER BUDGET'!$D$6:$D$25,$G78)=0,1,0)),0)</f>
      </c>
      <c r="AI78" s="78">
        <f>IF($C78="",0,IF(COUNTIF('PEOPLE + BUDGETS'!$B$6:$B$105,$C78)=0,1,0))</f>
      </c>
      <c r="AJ78" s="78">
        <f>IF($U78="",0,IF(COUNTIF('ONLINE ORDERS'!$B$6:$B$155,$U78)=0,1,0))</f>
      </c>
      <c r="AK78" s="75"/>
    </row>
    <row r="79" ht="17" customHeight="1" spans="1:37" x14ac:dyDescent="0.25">
      <c r="A79" s="75"/>
      <c r="B79" s="79"/>
      <c r="C79" s="79"/>
      <c r="D79" s="78">
        <f>IF($B79="","",IF($C79="","",IFERROR(IF(INDEX('PEOPLE + BUDGETS'!$C$6:$C$105,MATCH($C79,'PEOPLE + BUDGETS'!$B$6:$B$105,0))="","",INDEX('PEOPLE + BUDGETS'!$C$6:$C$105,MATCH($C79,'PEOPLE + BUDGETS'!$B$6:$B$105,0))),"")))</f>
      </c>
      <c r="E79" s="78">
        <f>IF($B79="","",IF(OR($S79="Cancelled",$S79="Returned"),"No",IFERROR(INDEX('PEOPLE + BUDGETS'!$O$6:$O$105,MATCH($C79,'PEOPLE + BUDGETS'!$B$6:$B$105,0)),"Yes")))</f>
      </c>
      <c r="F79" s="80"/>
      <c r="G79" s="79"/>
      <c r="H79" s="79"/>
      <c r="I79" s="79"/>
      <c r="J79" s="80"/>
      <c r="K79" s="79"/>
      <c r="L79" s="90"/>
      <c r="M79" s="86"/>
      <c r="N79" s="86"/>
      <c r="O79" s="86"/>
      <c r="P79" s="86"/>
      <c r="Q79" s="85">
        <f>IF($B79="","",ROUND(MAX(0,$L79*$M79-$N79)+$O79+$P79,2))</f>
      </c>
      <c r="R79" s="86"/>
      <c r="S79" s="79"/>
      <c r="T79" s="78">
        <f>IF($B79="","",IF($S79="Purchased","Yes","No"))</f>
      </c>
      <c r="U79" s="79"/>
      <c r="V79" s="79"/>
      <c r="W79" s="78">
        <f>IF($B79="","",IF($U79="","—",IF($U79="","",IFERROR(IF(INDEX('ONLINE ORDERS'!$M$6:$M$155,MATCH($U79,'ONLINE ORDERS'!$B$6:$B$155,0))="","",INDEX('ONLINE ORDERS'!$M$6:$M$155,MATCH($U79,'ONLINE ORDERS'!$B$6:$B$155,0))),""))))</f>
      </c>
      <c r="X79" s="79"/>
      <c r="Y79" s="79"/>
      <c r="Z79" s="79"/>
      <c r="AA79" s="79"/>
      <c r="AB79" s="82"/>
      <c r="AC79" s="82"/>
      <c r="AD79" s="78">
        <f>IF($F79="","",LOWER(TRIM($C79&amp;"|"&amp;TRIM($F79))))</f>
      </c>
      <c r="AE79" s="78">
        <f>IF($AD79="","",IF(COUNTIF('GIFT PLANNER'!$AD$6:$AD$205,$AD79)&gt;1,"CHECK DUPLICATE",""))</f>
      </c>
      <c r="AF79" s="80"/>
      <c r="AG79" s="78">
        <f>IF($B79="",0,IF(COUNTIF('GIFT PLANNER'!$B$6:$B$205,$B79)&gt;1,1,0))</f>
      </c>
      <c r="AH79" s="78">
        <f>IF(OR(N($Q79)&gt;0,N($R79)&gt;0),IF($G79="",1,IF(COUNTIF('MASTER BUDGET'!$D$6:$D$25,$G79)=0,1,0)),0)</f>
      </c>
      <c r="AI79" s="78">
        <f>IF($C79="",0,IF(COUNTIF('PEOPLE + BUDGETS'!$B$6:$B$105,$C79)=0,1,0))</f>
      </c>
      <c r="AJ79" s="78">
        <f>IF($U79="",0,IF(COUNTIF('ONLINE ORDERS'!$B$6:$B$155,$U79)=0,1,0))</f>
      </c>
      <c r="AK79" s="75"/>
    </row>
    <row r="80" ht="17" customHeight="1" spans="1:37" x14ac:dyDescent="0.25">
      <c r="A80" s="75"/>
      <c r="B80" s="79"/>
      <c r="C80" s="79"/>
      <c r="D80" s="78">
        <f>IF($B80="","",IF($C80="","",IFERROR(IF(INDEX('PEOPLE + BUDGETS'!$C$6:$C$105,MATCH($C80,'PEOPLE + BUDGETS'!$B$6:$B$105,0))="","",INDEX('PEOPLE + BUDGETS'!$C$6:$C$105,MATCH($C80,'PEOPLE + BUDGETS'!$B$6:$B$105,0))),"")))</f>
      </c>
      <c r="E80" s="78">
        <f>IF($B80="","",IF(OR($S80="Cancelled",$S80="Returned"),"No",IFERROR(INDEX('PEOPLE + BUDGETS'!$O$6:$O$105,MATCH($C80,'PEOPLE + BUDGETS'!$B$6:$B$105,0)),"Yes")))</f>
      </c>
      <c r="F80" s="80"/>
      <c r="G80" s="79"/>
      <c r="H80" s="79"/>
      <c r="I80" s="79"/>
      <c r="J80" s="80"/>
      <c r="K80" s="79"/>
      <c r="L80" s="90"/>
      <c r="M80" s="86"/>
      <c r="N80" s="86"/>
      <c r="O80" s="86"/>
      <c r="P80" s="86"/>
      <c r="Q80" s="85">
        <f>IF($B80="","",ROUND(MAX(0,$L80*$M80-$N80)+$O80+$P80,2))</f>
      </c>
      <c r="R80" s="86"/>
      <c r="S80" s="79"/>
      <c r="T80" s="78">
        <f>IF($B80="","",IF($S80="Purchased","Yes","No"))</f>
      </c>
      <c r="U80" s="79"/>
      <c r="V80" s="79"/>
      <c r="W80" s="78">
        <f>IF($B80="","",IF($U80="","—",IF($U80="","",IFERROR(IF(INDEX('ONLINE ORDERS'!$M$6:$M$155,MATCH($U80,'ONLINE ORDERS'!$B$6:$B$155,0))="","",INDEX('ONLINE ORDERS'!$M$6:$M$155,MATCH($U80,'ONLINE ORDERS'!$B$6:$B$155,0))),""))))</f>
      </c>
      <c r="X80" s="79"/>
      <c r="Y80" s="79"/>
      <c r="Z80" s="79"/>
      <c r="AA80" s="79"/>
      <c r="AB80" s="82"/>
      <c r="AC80" s="82"/>
      <c r="AD80" s="78">
        <f>IF($F80="","",LOWER(TRIM($C80&amp;"|"&amp;TRIM($F80))))</f>
      </c>
      <c r="AE80" s="78">
        <f>IF($AD80="","",IF(COUNTIF('GIFT PLANNER'!$AD$6:$AD$205,$AD80)&gt;1,"CHECK DUPLICATE",""))</f>
      </c>
      <c r="AF80" s="80"/>
      <c r="AG80" s="78">
        <f>IF($B80="",0,IF(COUNTIF('GIFT PLANNER'!$B$6:$B$205,$B80)&gt;1,1,0))</f>
      </c>
      <c r="AH80" s="78">
        <f>IF(OR(N($Q80)&gt;0,N($R80)&gt;0),IF($G80="",1,IF(COUNTIF('MASTER BUDGET'!$D$6:$D$25,$G80)=0,1,0)),0)</f>
      </c>
      <c r="AI80" s="78">
        <f>IF($C80="",0,IF(COUNTIF('PEOPLE + BUDGETS'!$B$6:$B$105,$C80)=0,1,0))</f>
      </c>
      <c r="AJ80" s="78">
        <f>IF($U80="",0,IF(COUNTIF('ONLINE ORDERS'!$B$6:$B$155,$U80)=0,1,0))</f>
      </c>
      <c r="AK80" s="75"/>
    </row>
    <row r="81" ht="17" customHeight="1" spans="1:37" x14ac:dyDescent="0.25">
      <c r="A81" s="75"/>
      <c r="B81" s="79"/>
      <c r="C81" s="79"/>
      <c r="D81" s="78">
        <f>IF($B81="","",IF($C81="","",IFERROR(IF(INDEX('PEOPLE + BUDGETS'!$C$6:$C$105,MATCH($C81,'PEOPLE + BUDGETS'!$B$6:$B$105,0))="","",INDEX('PEOPLE + BUDGETS'!$C$6:$C$105,MATCH($C81,'PEOPLE + BUDGETS'!$B$6:$B$105,0))),"")))</f>
      </c>
      <c r="E81" s="78">
        <f>IF($B81="","",IF(OR($S81="Cancelled",$S81="Returned"),"No",IFERROR(INDEX('PEOPLE + BUDGETS'!$O$6:$O$105,MATCH($C81,'PEOPLE + BUDGETS'!$B$6:$B$105,0)),"Yes")))</f>
      </c>
      <c r="F81" s="80"/>
      <c r="G81" s="79"/>
      <c r="H81" s="79"/>
      <c r="I81" s="79"/>
      <c r="J81" s="80"/>
      <c r="K81" s="79"/>
      <c r="L81" s="90"/>
      <c r="M81" s="86"/>
      <c r="N81" s="86"/>
      <c r="O81" s="86"/>
      <c r="P81" s="86"/>
      <c r="Q81" s="85">
        <f>IF($B81="","",ROUND(MAX(0,$L81*$M81-$N81)+$O81+$P81,2))</f>
      </c>
      <c r="R81" s="86"/>
      <c r="S81" s="79"/>
      <c r="T81" s="78">
        <f>IF($B81="","",IF($S81="Purchased","Yes","No"))</f>
      </c>
      <c r="U81" s="79"/>
      <c r="V81" s="79"/>
      <c r="W81" s="78">
        <f>IF($B81="","",IF($U81="","—",IF($U81="","",IFERROR(IF(INDEX('ONLINE ORDERS'!$M$6:$M$155,MATCH($U81,'ONLINE ORDERS'!$B$6:$B$155,0))="","",INDEX('ONLINE ORDERS'!$M$6:$M$155,MATCH($U81,'ONLINE ORDERS'!$B$6:$B$155,0))),""))))</f>
      </c>
      <c r="X81" s="79"/>
      <c r="Y81" s="79"/>
      <c r="Z81" s="79"/>
      <c r="AA81" s="79"/>
      <c r="AB81" s="82"/>
      <c r="AC81" s="82"/>
      <c r="AD81" s="78">
        <f>IF($F81="","",LOWER(TRIM($C81&amp;"|"&amp;TRIM($F81))))</f>
      </c>
      <c r="AE81" s="78">
        <f>IF($AD81="","",IF(COUNTIF('GIFT PLANNER'!$AD$6:$AD$205,$AD81)&gt;1,"CHECK DUPLICATE",""))</f>
      </c>
      <c r="AF81" s="80"/>
      <c r="AG81" s="78">
        <f>IF($B81="",0,IF(COUNTIF('GIFT PLANNER'!$B$6:$B$205,$B81)&gt;1,1,0))</f>
      </c>
      <c r="AH81" s="78">
        <f>IF(OR(N($Q81)&gt;0,N($R81)&gt;0),IF($G81="",1,IF(COUNTIF('MASTER BUDGET'!$D$6:$D$25,$G81)=0,1,0)),0)</f>
      </c>
      <c r="AI81" s="78">
        <f>IF($C81="",0,IF(COUNTIF('PEOPLE + BUDGETS'!$B$6:$B$105,$C81)=0,1,0))</f>
      </c>
      <c r="AJ81" s="78">
        <f>IF($U81="",0,IF(COUNTIF('ONLINE ORDERS'!$B$6:$B$155,$U81)=0,1,0))</f>
      </c>
      <c r="AK81" s="75"/>
    </row>
    <row r="82" ht="17" customHeight="1" spans="1:37" x14ac:dyDescent="0.25">
      <c r="A82" s="75"/>
      <c r="B82" s="79"/>
      <c r="C82" s="79"/>
      <c r="D82" s="78">
        <f>IF($B82="","",IF($C82="","",IFERROR(IF(INDEX('PEOPLE + BUDGETS'!$C$6:$C$105,MATCH($C82,'PEOPLE + BUDGETS'!$B$6:$B$105,0))="","",INDEX('PEOPLE + BUDGETS'!$C$6:$C$105,MATCH($C82,'PEOPLE + BUDGETS'!$B$6:$B$105,0))),"")))</f>
      </c>
      <c r="E82" s="78">
        <f>IF($B82="","",IF(OR($S82="Cancelled",$S82="Returned"),"No",IFERROR(INDEX('PEOPLE + BUDGETS'!$O$6:$O$105,MATCH($C82,'PEOPLE + BUDGETS'!$B$6:$B$105,0)),"Yes")))</f>
      </c>
      <c r="F82" s="80"/>
      <c r="G82" s="79"/>
      <c r="H82" s="79"/>
      <c r="I82" s="79"/>
      <c r="J82" s="80"/>
      <c r="K82" s="79"/>
      <c r="L82" s="90"/>
      <c r="M82" s="86"/>
      <c r="N82" s="86"/>
      <c r="O82" s="86"/>
      <c r="P82" s="86"/>
      <c r="Q82" s="85">
        <f>IF($B82="","",ROUND(MAX(0,$L82*$M82-$N82)+$O82+$P82,2))</f>
      </c>
      <c r="R82" s="86"/>
      <c r="S82" s="79"/>
      <c r="T82" s="78">
        <f>IF($B82="","",IF($S82="Purchased","Yes","No"))</f>
      </c>
      <c r="U82" s="79"/>
      <c r="V82" s="79"/>
      <c r="W82" s="78">
        <f>IF($B82="","",IF($U82="","—",IF($U82="","",IFERROR(IF(INDEX('ONLINE ORDERS'!$M$6:$M$155,MATCH($U82,'ONLINE ORDERS'!$B$6:$B$155,0))="","",INDEX('ONLINE ORDERS'!$M$6:$M$155,MATCH($U82,'ONLINE ORDERS'!$B$6:$B$155,0))),""))))</f>
      </c>
      <c r="X82" s="79"/>
      <c r="Y82" s="79"/>
      <c r="Z82" s="79"/>
      <c r="AA82" s="79"/>
      <c r="AB82" s="82"/>
      <c r="AC82" s="82"/>
      <c r="AD82" s="78">
        <f>IF($F82="","",LOWER(TRIM($C82&amp;"|"&amp;TRIM($F82))))</f>
      </c>
      <c r="AE82" s="78">
        <f>IF($AD82="","",IF(COUNTIF('GIFT PLANNER'!$AD$6:$AD$205,$AD82)&gt;1,"CHECK DUPLICATE",""))</f>
      </c>
      <c r="AF82" s="80"/>
      <c r="AG82" s="78">
        <f>IF($B82="",0,IF(COUNTIF('GIFT PLANNER'!$B$6:$B$205,$B82)&gt;1,1,0))</f>
      </c>
      <c r="AH82" s="78">
        <f>IF(OR(N($Q82)&gt;0,N($R82)&gt;0),IF($G82="",1,IF(COUNTIF('MASTER BUDGET'!$D$6:$D$25,$G82)=0,1,0)),0)</f>
      </c>
      <c r="AI82" s="78">
        <f>IF($C82="",0,IF(COUNTIF('PEOPLE + BUDGETS'!$B$6:$B$105,$C82)=0,1,0))</f>
      </c>
      <c r="AJ82" s="78">
        <f>IF($U82="",0,IF(COUNTIF('ONLINE ORDERS'!$B$6:$B$155,$U82)=0,1,0))</f>
      </c>
      <c r="AK82" s="75"/>
    </row>
    <row r="83" ht="17" customHeight="1" spans="1:37" x14ac:dyDescent="0.25">
      <c r="A83" s="75"/>
      <c r="B83" s="79"/>
      <c r="C83" s="79"/>
      <c r="D83" s="78">
        <f>IF($B83="","",IF($C83="","",IFERROR(IF(INDEX('PEOPLE + BUDGETS'!$C$6:$C$105,MATCH($C83,'PEOPLE + BUDGETS'!$B$6:$B$105,0))="","",INDEX('PEOPLE + BUDGETS'!$C$6:$C$105,MATCH($C83,'PEOPLE + BUDGETS'!$B$6:$B$105,0))),"")))</f>
      </c>
      <c r="E83" s="78">
        <f>IF($B83="","",IF(OR($S83="Cancelled",$S83="Returned"),"No",IFERROR(INDEX('PEOPLE + BUDGETS'!$O$6:$O$105,MATCH($C83,'PEOPLE + BUDGETS'!$B$6:$B$105,0)),"Yes")))</f>
      </c>
      <c r="F83" s="80"/>
      <c r="G83" s="79"/>
      <c r="H83" s="79"/>
      <c r="I83" s="79"/>
      <c r="J83" s="80"/>
      <c r="K83" s="79"/>
      <c r="L83" s="90"/>
      <c r="M83" s="86"/>
      <c r="N83" s="86"/>
      <c r="O83" s="86"/>
      <c r="P83" s="86"/>
      <c r="Q83" s="85">
        <f>IF($B83="","",ROUND(MAX(0,$L83*$M83-$N83)+$O83+$P83,2))</f>
      </c>
      <c r="R83" s="86"/>
      <c r="S83" s="79"/>
      <c r="T83" s="78">
        <f>IF($B83="","",IF($S83="Purchased","Yes","No"))</f>
      </c>
      <c r="U83" s="79"/>
      <c r="V83" s="79"/>
      <c r="W83" s="78">
        <f>IF($B83="","",IF($U83="","—",IF($U83="","",IFERROR(IF(INDEX('ONLINE ORDERS'!$M$6:$M$155,MATCH($U83,'ONLINE ORDERS'!$B$6:$B$155,0))="","",INDEX('ONLINE ORDERS'!$M$6:$M$155,MATCH($U83,'ONLINE ORDERS'!$B$6:$B$155,0))),""))))</f>
      </c>
      <c r="X83" s="79"/>
      <c r="Y83" s="79"/>
      <c r="Z83" s="79"/>
      <c r="AA83" s="79"/>
      <c r="AB83" s="82"/>
      <c r="AC83" s="82"/>
      <c r="AD83" s="78">
        <f>IF($F83="","",LOWER(TRIM($C83&amp;"|"&amp;TRIM($F83))))</f>
      </c>
      <c r="AE83" s="78">
        <f>IF($AD83="","",IF(COUNTIF('GIFT PLANNER'!$AD$6:$AD$205,$AD83)&gt;1,"CHECK DUPLICATE",""))</f>
      </c>
      <c r="AF83" s="80"/>
      <c r="AG83" s="78">
        <f>IF($B83="",0,IF(COUNTIF('GIFT PLANNER'!$B$6:$B$205,$B83)&gt;1,1,0))</f>
      </c>
      <c r="AH83" s="78">
        <f>IF(OR(N($Q83)&gt;0,N($R83)&gt;0),IF($G83="",1,IF(COUNTIF('MASTER BUDGET'!$D$6:$D$25,$G83)=0,1,0)),0)</f>
      </c>
      <c r="AI83" s="78">
        <f>IF($C83="",0,IF(COUNTIF('PEOPLE + BUDGETS'!$B$6:$B$105,$C83)=0,1,0))</f>
      </c>
      <c r="AJ83" s="78">
        <f>IF($U83="",0,IF(COUNTIF('ONLINE ORDERS'!$B$6:$B$155,$U83)=0,1,0))</f>
      </c>
      <c r="AK83" s="75"/>
    </row>
    <row r="84" ht="17" customHeight="1" spans="1:37" x14ac:dyDescent="0.25">
      <c r="A84" s="75"/>
      <c r="B84" s="79"/>
      <c r="C84" s="79"/>
      <c r="D84" s="78">
        <f>IF($B84="","",IF($C84="","",IFERROR(IF(INDEX('PEOPLE + BUDGETS'!$C$6:$C$105,MATCH($C84,'PEOPLE + BUDGETS'!$B$6:$B$105,0))="","",INDEX('PEOPLE + BUDGETS'!$C$6:$C$105,MATCH($C84,'PEOPLE + BUDGETS'!$B$6:$B$105,0))),"")))</f>
      </c>
      <c r="E84" s="78">
        <f>IF($B84="","",IF(OR($S84="Cancelled",$S84="Returned"),"No",IFERROR(INDEX('PEOPLE + BUDGETS'!$O$6:$O$105,MATCH($C84,'PEOPLE + BUDGETS'!$B$6:$B$105,0)),"Yes")))</f>
      </c>
      <c r="F84" s="80"/>
      <c r="G84" s="79"/>
      <c r="H84" s="79"/>
      <c r="I84" s="79"/>
      <c r="J84" s="80"/>
      <c r="K84" s="79"/>
      <c r="L84" s="90"/>
      <c r="M84" s="86"/>
      <c r="N84" s="86"/>
      <c r="O84" s="86"/>
      <c r="P84" s="86"/>
      <c r="Q84" s="85">
        <f>IF($B84="","",ROUND(MAX(0,$L84*$M84-$N84)+$O84+$P84,2))</f>
      </c>
      <c r="R84" s="86"/>
      <c r="S84" s="79"/>
      <c r="T84" s="78">
        <f>IF($B84="","",IF($S84="Purchased","Yes","No"))</f>
      </c>
      <c r="U84" s="79"/>
      <c r="V84" s="79"/>
      <c r="W84" s="78">
        <f>IF($B84="","",IF($U84="","—",IF($U84="","",IFERROR(IF(INDEX('ONLINE ORDERS'!$M$6:$M$155,MATCH($U84,'ONLINE ORDERS'!$B$6:$B$155,0))="","",INDEX('ONLINE ORDERS'!$M$6:$M$155,MATCH($U84,'ONLINE ORDERS'!$B$6:$B$155,0))),""))))</f>
      </c>
      <c r="X84" s="79"/>
      <c r="Y84" s="79"/>
      <c r="Z84" s="79"/>
      <c r="AA84" s="79"/>
      <c r="AB84" s="82"/>
      <c r="AC84" s="82"/>
      <c r="AD84" s="78">
        <f>IF($F84="","",LOWER(TRIM($C84&amp;"|"&amp;TRIM($F84))))</f>
      </c>
      <c r="AE84" s="78">
        <f>IF($AD84="","",IF(COUNTIF('GIFT PLANNER'!$AD$6:$AD$205,$AD84)&gt;1,"CHECK DUPLICATE",""))</f>
      </c>
      <c r="AF84" s="80"/>
      <c r="AG84" s="78">
        <f>IF($B84="",0,IF(COUNTIF('GIFT PLANNER'!$B$6:$B$205,$B84)&gt;1,1,0))</f>
      </c>
      <c r="AH84" s="78">
        <f>IF(OR(N($Q84)&gt;0,N($R84)&gt;0),IF($G84="",1,IF(COUNTIF('MASTER BUDGET'!$D$6:$D$25,$G84)=0,1,0)),0)</f>
      </c>
      <c r="AI84" s="78">
        <f>IF($C84="",0,IF(COUNTIF('PEOPLE + BUDGETS'!$B$6:$B$105,$C84)=0,1,0))</f>
      </c>
      <c r="AJ84" s="78">
        <f>IF($U84="",0,IF(COUNTIF('ONLINE ORDERS'!$B$6:$B$155,$U84)=0,1,0))</f>
      </c>
      <c r="AK84" s="75"/>
    </row>
    <row r="85" ht="17" customHeight="1" spans="1:37" x14ac:dyDescent="0.25">
      <c r="A85" s="75"/>
      <c r="B85" s="79"/>
      <c r="C85" s="79"/>
      <c r="D85" s="78">
        <f>IF($B85="","",IF($C85="","",IFERROR(IF(INDEX('PEOPLE + BUDGETS'!$C$6:$C$105,MATCH($C85,'PEOPLE + BUDGETS'!$B$6:$B$105,0))="","",INDEX('PEOPLE + BUDGETS'!$C$6:$C$105,MATCH($C85,'PEOPLE + BUDGETS'!$B$6:$B$105,0))),"")))</f>
      </c>
      <c r="E85" s="78">
        <f>IF($B85="","",IF(OR($S85="Cancelled",$S85="Returned"),"No",IFERROR(INDEX('PEOPLE + BUDGETS'!$O$6:$O$105,MATCH($C85,'PEOPLE + BUDGETS'!$B$6:$B$105,0)),"Yes")))</f>
      </c>
      <c r="F85" s="80"/>
      <c r="G85" s="79"/>
      <c r="H85" s="79"/>
      <c r="I85" s="79"/>
      <c r="J85" s="80"/>
      <c r="K85" s="79"/>
      <c r="L85" s="90"/>
      <c r="M85" s="86"/>
      <c r="N85" s="86"/>
      <c r="O85" s="86"/>
      <c r="P85" s="86"/>
      <c r="Q85" s="85">
        <f>IF($B85="","",ROUND(MAX(0,$L85*$M85-$N85)+$O85+$P85,2))</f>
      </c>
      <c r="R85" s="86"/>
      <c r="S85" s="79"/>
      <c r="T85" s="78">
        <f>IF($B85="","",IF($S85="Purchased","Yes","No"))</f>
      </c>
      <c r="U85" s="79"/>
      <c r="V85" s="79"/>
      <c r="W85" s="78">
        <f>IF($B85="","",IF($U85="","—",IF($U85="","",IFERROR(IF(INDEX('ONLINE ORDERS'!$M$6:$M$155,MATCH($U85,'ONLINE ORDERS'!$B$6:$B$155,0))="","",INDEX('ONLINE ORDERS'!$M$6:$M$155,MATCH($U85,'ONLINE ORDERS'!$B$6:$B$155,0))),""))))</f>
      </c>
      <c r="X85" s="79"/>
      <c r="Y85" s="79"/>
      <c r="Z85" s="79"/>
      <c r="AA85" s="79"/>
      <c r="AB85" s="82"/>
      <c r="AC85" s="82"/>
      <c r="AD85" s="78">
        <f>IF($F85="","",LOWER(TRIM($C85&amp;"|"&amp;TRIM($F85))))</f>
      </c>
      <c r="AE85" s="78">
        <f>IF($AD85="","",IF(COUNTIF('GIFT PLANNER'!$AD$6:$AD$205,$AD85)&gt;1,"CHECK DUPLICATE",""))</f>
      </c>
      <c r="AF85" s="80"/>
      <c r="AG85" s="78">
        <f>IF($B85="",0,IF(COUNTIF('GIFT PLANNER'!$B$6:$B$205,$B85)&gt;1,1,0))</f>
      </c>
      <c r="AH85" s="78">
        <f>IF(OR(N($Q85)&gt;0,N($R85)&gt;0),IF($G85="",1,IF(COUNTIF('MASTER BUDGET'!$D$6:$D$25,$G85)=0,1,0)),0)</f>
      </c>
      <c r="AI85" s="78">
        <f>IF($C85="",0,IF(COUNTIF('PEOPLE + BUDGETS'!$B$6:$B$105,$C85)=0,1,0))</f>
      </c>
      <c r="AJ85" s="78">
        <f>IF($U85="",0,IF(COUNTIF('ONLINE ORDERS'!$B$6:$B$155,$U85)=0,1,0))</f>
      </c>
      <c r="AK85" s="75"/>
    </row>
    <row r="86" ht="17" customHeight="1" spans="1:37" x14ac:dyDescent="0.25">
      <c r="A86" s="75"/>
      <c r="B86" s="79"/>
      <c r="C86" s="79"/>
      <c r="D86" s="78">
        <f>IF($B86="","",IF($C86="","",IFERROR(IF(INDEX('PEOPLE + BUDGETS'!$C$6:$C$105,MATCH($C86,'PEOPLE + BUDGETS'!$B$6:$B$105,0))="","",INDEX('PEOPLE + BUDGETS'!$C$6:$C$105,MATCH($C86,'PEOPLE + BUDGETS'!$B$6:$B$105,0))),"")))</f>
      </c>
      <c r="E86" s="78">
        <f>IF($B86="","",IF(OR($S86="Cancelled",$S86="Returned"),"No",IFERROR(INDEX('PEOPLE + BUDGETS'!$O$6:$O$105,MATCH($C86,'PEOPLE + BUDGETS'!$B$6:$B$105,0)),"Yes")))</f>
      </c>
      <c r="F86" s="80"/>
      <c r="G86" s="79"/>
      <c r="H86" s="79"/>
      <c r="I86" s="79"/>
      <c r="J86" s="80"/>
      <c r="K86" s="79"/>
      <c r="L86" s="90"/>
      <c r="M86" s="86"/>
      <c r="N86" s="86"/>
      <c r="O86" s="86"/>
      <c r="P86" s="86"/>
      <c r="Q86" s="85">
        <f>IF($B86="","",ROUND(MAX(0,$L86*$M86-$N86)+$O86+$P86,2))</f>
      </c>
      <c r="R86" s="86"/>
      <c r="S86" s="79"/>
      <c r="T86" s="78">
        <f>IF($B86="","",IF($S86="Purchased","Yes","No"))</f>
      </c>
      <c r="U86" s="79"/>
      <c r="V86" s="79"/>
      <c r="W86" s="78">
        <f>IF($B86="","",IF($U86="","—",IF($U86="","",IFERROR(IF(INDEX('ONLINE ORDERS'!$M$6:$M$155,MATCH($U86,'ONLINE ORDERS'!$B$6:$B$155,0))="","",INDEX('ONLINE ORDERS'!$M$6:$M$155,MATCH($U86,'ONLINE ORDERS'!$B$6:$B$155,0))),""))))</f>
      </c>
      <c r="X86" s="79"/>
      <c r="Y86" s="79"/>
      <c r="Z86" s="79"/>
      <c r="AA86" s="79"/>
      <c r="AB86" s="82"/>
      <c r="AC86" s="82"/>
      <c r="AD86" s="78">
        <f>IF($F86="","",LOWER(TRIM($C86&amp;"|"&amp;TRIM($F86))))</f>
      </c>
      <c r="AE86" s="78">
        <f>IF($AD86="","",IF(COUNTIF('GIFT PLANNER'!$AD$6:$AD$205,$AD86)&gt;1,"CHECK DUPLICATE",""))</f>
      </c>
      <c r="AF86" s="80"/>
      <c r="AG86" s="78">
        <f>IF($B86="",0,IF(COUNTIF('GIFT PLANNER'!$B$6:$B$205,$B86)&gt;1,1,0))</f>
      </c>
      <c r="AH86" s="78">
        <f>IF(OR(N($Q86)&gt;0,N($R86)&gt;0),IF($G86="",1,IF(COUNTIF('MASTER BUDGET'!$D$6:$D$25,$G86)=0,1,0)),0)</f>
      </c>
      <c r="AI86" s="78">
        <f>IF($C86="",0,IF(COUNTIF('PEOPLE + BUDGETS'!$B$6:$B$105,$C86)=0,1,0))</f>
      </c>
      <c r="AJ86" s="78">
        <f>IF($U86="",0,IF(COUNTIF('ONLINE ORDERS'!$B$6:$B$155,$U86)=0,1,0))</f>
      </c>
      <c r="AK86" s="75"/>
    </row>
    <row r="87" ht="17" customHeight="1" spans="1:37" x14ac:dyDescent="0.25">
      <c r="A87" s="75"/>
      <c r="B87" s="79"/>
      <c r="C87" s="79"/>
      <c r="D87" s="78">
        <f>IF($B87="","",IF($C87="","",IFERROR(IF(INDEX('PEOPLE + BUDGETS'!$C$6:$C$105,MATCH($C87,'PEOPLE + BUDGETS'!$B$6:$B$105,0))="","",INDEX('PEOPLE + BUDGETS'!$C$6:$C$105,MATCH($C87,'PEOPLE + BUDGETS'!$B$6:$B$105,0))),"")))</f>
      </c>
      <c r="E87" s="78">
        <f>IF($B87="","",IF(OR($S87="Cancelled",$S87="Returned"),"No",IFERROR(INDEX('PEOPLE + BUDGETS'!$O$6:$O$105,MATCH($C87,'PEOPLE + BUDGETS'!$B$6:$B$105,0)),"Yes")))</f>
      </c>
      <c r="F87" s="80"/>
      <c r="G87" s="79"/>
      <c r="H87" s="79"/>
      <c r="I87" s="79"/>
      <c r="J87" s="80"/>
      <c r="K87" s="79"/>
      <c r="L87" s="90"/>
      <c r="M87" s="86"/>
      <c r="N87" s="86"/>
      <c r="O87" s="86"/>
      <c r="P87" s="86"/>
      <c r="Q87" s="85">
        <f>IF($B87="","",ROUND(MAX(0,$L87*$M87-$N87)+$O87+$P87,2))</f>
      </c>
      <c r="R87" s="86"/>
      <c r="S87" s="79"/>
      <c r="T87" s="78">
        <f>IF($B87="","",IF($S87="Purchased","Yes","No"))</f>
      </c>
      <c r="U87" s="79"/>
      <c r="V87" s="79"/>
      <c r="W87" s="78">
        <f>IF($B87="","",IF($U87="","—",IF($U87="","",IFERROR(IF(INDEX('ONLINE ORDERS'!$M$6:$M$155,MATCH($U87,'ONLINE ORDERS'!$B$6:$B$155,0))="","",INDEX('ONLINE ORDERS'!$M$6:$M$155,MATCH($U87,'ONLINE ORDERS'!$B$6:$B$155,0))),""))))</f>
      </c>
      <c r="X87" s="79"/>
      <c r="Y87" s="79"/>
      <c r="Z87" s="79"/>
      <c r="AA87" s="79"/>
      <c r="AB87" s="82"/>
      <c r="AC87" s="82"/>
      <c r="AD87" s="78">
        <f>IF($F87="","",LOWER(TRIM($C87&amp;"|"&amp;TRIM($F87))))</f>
      </c>
      <c r="AE87" s="78">
        <f>IF($AD87="","",IF(COUNTIF('GIFT PLANNER'!$AD$6:$AD$205,$AD87)&gt;1,"CHECK DUPLICATE",""))</f>
      </c>
      <c r="AF87" s="80"/>
      <c r="AG87" s="78">
        <f>IF($B87="",0,IF(COUNTIF('GIFT PLANNER'!$B$6:$B$205,$B87)&gt;1,1,0))</f>
      </c>
      <c r="AH87" s="78">
        <f>IF(OR(N($Q87)&gt;0,N($R87)&gt;0),IF($G87="",1,IF(COUNTIF('MASTER BUDGET'!$D$6:$D$25,$G87)=0,1,0)),0)</f>
      </c>
      <c r="AI87" s="78">
        <f>IF($C87="",0,IF(COUNTIF('PEOPLE + BUDGETS'!$B$6:$B$105,$C87)=0,1,0))</f>
      </c>
      <c r="AJ87" s="78">
        <f>IF($U87="",0,IF(COUNTIF('ONLINE ORDERS'!$B$6:$B$155,$U87)=0,1,0))</f>
      </c>
      <c r="AK87" s="75"/>
    </row>
    <row r="88" ht="17" customHeight="1" spans="1:37" x14ac:dyDescent="0.25">
      <c r="A88" s="75"/>
      <c r="B88" s="79"/>
      <c r="C88" s="79"/>
      <c r="D88" s="78">
        <f>IF($B88="","",IF($C88="","",IFERROR(IF(INDEX('PEOPLE + BUDGETS'!$C$6:$C$105,MATCH($C88,'PEOPLE + BUDGETS'!$B$6:$B$105,0))="","",INDEX('PEOPLE + BUDGETS'!$C$6:$C$105,MATCH($C88,'PEOPLE + BUDGETS'!$B$6:$B$105,0))),"")))</f>
      </c>
      <c r="E88" s="78">
        <f>IF($B88="","",IF(OR($S88="Cancelled",$S88="Returned"),"No",IFERROR(INDEX('PEOPLE + BUDGETS'!$O$6:$O$105,MATCH($C88,'PEOPLE + BUDGETS'!$B$6:$B$105,0)),"Yes")))</f>
      </c>
      <c r="F88" s="80"/>
      <c r="G88" s="79"/>
      <c r="H88" s="79"/>
      <c r="I88" s="79"/>
      <c r="J88" s="80"/>
      <c r="K88" s="79"/>
      <c r="L88" s="90"/>
      <c r="M88" s="86"/>
      <c r="N88" s="86"/>
      <c r="O88" s="86"/>
      <c r="P88" s="86"/>
      <c r="Q88" s="85">
        <f>IF($B88="","",ROUND(MAX(0,$L88*$M88-$N88)+$O88+$P88,2))</f>
      </c>
      <c r="R88" s="86"/>
      <c r="S88" s="79"/>
      <c r="T88" s="78">
        <f>IF($B88="","",IF($S88="Purchased","Yes","No"))</f>
      </c>
      <c r="U88" s="79"/>
      <c r="V88" s="79"/>
      <c r="W88" s="78">
        <f>IF($B88="","",IF($U88="","—",IF($U88="","",IFERROR(IF(INDEX('ONLINE ORDERS'!$M$6:$M$155,MATCH($U88,'ONLINE ORDERS'!$B$6:$B$155,0))="","",INDEX('ONLINE ORDERS'!$M$6:$M$155,MATCH($U88,'ONLINE ORDERS'!$B$6:$B$155,0))),""))))</f>
      </c>
      <c r="X88" s="79"/>
      <c r="Y88" s="79"/>
      <c r="Z88" s="79"/>
      <c r="AA88" s="79"/>
      <c r="AB88" s="82"/>
      <c r="AC88" s="82"/>
      <c r="AD88" s="78">
        <f>IF($F88="","",LOWER(TRIM($C88&amp;"|"&amp;TRIM($F88))))</f>
      </c>
      <c r="AE88" s="78">
        <f>IF($AD88="","",IF(COUNTIF('GIFT PLANNER'!$AD$6:$AD$205,$AD88)&gt;1,"CHECK DUPLICATE",""))</f>
      </c>
      <c r="AF88" s="80"/>
      <c r="AG88" s="78">
        <f>IF($B88="",0,IF(COUNTIF('GIFT PLANNER'!$B$6:$B$205,$B88)&gt;1,1,0))</f>
      </c>
      <c r="AH88" s="78">
        <f>IF(OR(N($Q88)&gt;0,N($R88)&gt;0),IF($G88="",1,IF(COUNTIF('MASTER BUDGET'!$D$6:$D$25,$G88)=0,1,0)),0)</f>
      </c>
      <c r="AI88" s="78">
        <f>IF($C88="",0,IF(COUNTIF('PEOPLE + BUDGETS'!$B$6:$B$105,$C88)=0,1,0))</f>
      </c>
      <c r="AJ88" s="78">
        <f>IF($U88="",0,IF(COUNTIF('ONLINE ORDERS'!$B$6:$B$155,$U88)=0,1,0))</f>
      </c>
      <c r="AK88" s="75"/>
    </row>
    <row r="89" ht="17" customHeight="1" spans="1:37" x14ac:dyDescent="0.25">
      <c r="A89" s="75"/>
      <c r="B89" s="79"/>
      <c r="C89" s="79"/>
      <c r="D89" s="78">
        <f>IF($B89="","",IF($C89="","",IFERROR(IF(INDEX('PEOPLE + BUDGETS'!$C$6:$C$105,MATCH($C89,'PEOPLE + BUDGETS'!$B$6:$B$105,0))="","",INDEX('PEOPLE + BUDGETS'!$C$6:$C$105,MATCH($C89,'PEOPLE + BUDGETS'!$B$6:$B$105,0))),"")))</f>
      </c>
      <c r="E89" s="78">
        <f>IF($B89="","",IF(OR($S89="Cancelled",$S89="Returned"),"No",IFERROR(INDEX('PEOPLE + BUDGETS'!$O$6:$O$105,MATCH($C89,'PEOPLE + BUDGETS'!$B$6:$B$105,0)),"Yes")))</f>
      </c>
      <c r="F89" s="80"/>
      <c r="G89" s="79"/>
      <c r="H89" s="79"/>
      <c r="I89" s="79"/>
      <c r="J89" s="80"/>
      <c r="K89" s="79"/>
      <c r="L89" s="90"/>
      <c r="M89" s="86"/>
      <c r="N89" s="86"/>
      <c r="O89" s="86"/>
      <c r="P89" s="86"/>
      <c r="Q89" s="85">
        <f>IF($B89="","",ROUND(MAX(0,$L89*$M89-$N89)+$O89+$P89,2))</f>
      </c>
      <c r="R89" s="86"/>
      <c r="S89" s="79"/>
      <c r="T89" s="78">
        <f>IF($B89="","",IF($S89="Purchased","Yes","No"))</f>
      </c>
      <c r="U89" s="79"/>
      <c r="V89" s="79"/>
      <c r="W89" s="78">
        <f>IF($B89="","",IF($U89="","—",IF($U89="","",IFERROR(IF(INDEX('ONLINE ORDERS'!$M$6:$M$155,MATCH($U89,'ONLINE ORDERS'!$B$6:$B$155,0))="","",INDEX('ONLINE ORDERS'!$M$6:$M$155,MATCH($U89,'ONLINE ORDERS'!$B$6:$B$155,0))),""))))</f>
      </c>
      <c r="X89" s="79"/>
      <c r="Y89" s="79"/>
      <c r="Z89" s="79"/>
      <c r="AA89" s="79"/>
      <c r="AB89" s="82"/>
      <c r="AC89" s="82"/>
      <c r="AD89" s="78">
        <f>IF($F89="","",LOWER(TRIM($C89&amp;"|"&amp;TRIM($F89))))</f>
      </c>
      <c r="AE89" s="78">
        <f>IF($AD89="","",IF(COUNTIF('GIFT PLANNER'!$AD$6:$AD$205,$AD89)&gt;1,"CHECK DUPLICATE",""))</f>
      </c>
      <c r="AF89" s="80"/>
      <c r="AG89" s="78">
        <f>IF($B89="",0,IF(COUNTIF('GIFT PLANNER'!$B$6:$B$205,$B89)&gt;1,1,0))</f>
      </c>
      <c r="AH89" s="78">
        <f>IF(OR(N($Q89)&gt;0,N($R89)&gt;0),IF($G89="",1,IF(COUNTIF('MASTER BUDGET'!$D$6:$D$25,$G89)=0,1,0)),0)</f>
      </c>
      <c r="AI89" s="78">
        <f>IF($C89="",0,IF(COUNTIF('PEOPLE + BUDGETS'!$B$6:$B$105,$C89)=0,1,0))</f>
      </c>
      <c r="AJ89" s="78">
        <f>IF($U89="",0,IF(COUNTIF('ONLINE ORDERS'!$B$6:$B$155,$U89)=0,1,0))</f>
      </c>
      <c r="AK89" s="75"/>
    </row>
    <row r="90" ht="17" customHeight="1" spans="1:37" x14ac:dyDescent="0.25">
      <c r="A90" s="75"/>
      <c r="B90" s="79"/>
      <c r="C90" s="79"/>
      <c r="D90" s="78">
        <f>IF($B90="","",IF($C90="","",IFERROR(IF(INDEX('PEOPLE + BUDGETS'!$C$6:$C$105,MATCH($C90,'PEOPLE + BUDGETS'!$B$6:$B$105,0))="","",INDEX('PEOPLE + BUDGETS'!$C$6:$C$105,MATCH($C90,'PEOPLE + BUDGETS'!$B$6:$B$105,0))),"")))</f>
      </c>
      <c r="E90" s="78">
        <f>IF($B90="","",IF(OR($S90="Cancelled",$S90="Returned"),"No",IFERROR(INDEX('PEOPLE + BUDGETS'!$O$6:$O$105,MATCH($C90,'PEOPLE + BUDGETS'!$B$6:$B$105,0)),"Yes")))</f>
      </c>
      <c r="F90" s="80"/>
      <c r="G90" s="79"/>
      <c r="H90" s="79"/>
      <c r="I90" s="79"/>
      <c r="J90" s="80"/>
      <c r="K90" s="79"/>
      <c r="L90" s="90"/>
      <c r="M90" s="86"/>
      <c r="N90" s="86"/>
      <c r="O90" s="86"/>
      <c r="P90" s="86"/>
      <c r="Q90" s="85">
        <f>IF($B90="","",ROUND(MAX(0,$L90*$M90-$N90)+$O90+$P90,2))</f>
      </c>
      <c r="R90" s="86"/>
      <c r="S90" s="79"/>
      <c r="T90" s="78">
        <f>IF($B90="","",IF($S90="Purchased","Yes","No"))</f>
      </c>
      <c r="U90" s="79"/>
      <c r="V90" s="79"/>
      <c r="W90" s="78">
        <f>IF($B90="","",IF($U90="","—",IF($U90="","",IFERROR(IF(INDEX('ONLINE ORDERS'!$M$6:$M$155,MATCH($U90,'ONLINE ORDERS'!$B$6:$B$155,0))="","",INDEX('ONLINE ORDERS'!$M$6:$M$155,MATCH($U90,'ONLINE ORDERS'!$B$6:$B$155,0))),""))))</f>
      </c>
      <c r="X90" s="79"/>
      <c r="Y90" s="79"/>
      <c r="Z90" s="79"/>
      <c r="AA90" s="79"/>
      <c r="AB90" s="82"/>
      <c r="AC90" s="82"/>
      <c r="AD90" s="78">
        <f>IF($F90="","",LOWER(TRIM($C90&amp;"|"&amp;TRIM($F90))))</f>
      </c>
      <c r="AE90" s="78">
        <f>IF($AD90="","",IF(COUNTIF('GIFT PLANNER'!$AD$6:$AD$205,$AD90)&gt;1,"CHECK DUPLICATE",""))</f>
      </c>
      <c r="AF90" s="80"/>
      <c r="AG90" s="78">
        <f>IF($B90="",0,IF(COUNTIF('GIFT PLANNER'!$B$6:$B$205,$B90)&gt;1,1,0))</f>
      </c>
      <c r="AH90" s="78">
        <f>IF(OR(N($Q90)&gt;0,N($R90)&gt;0),IF($G90="",1,IF(COUNTIF('MASTER BUDGET'!$D$6:$D$25,$G90)=0,1,0)),0)</f>
      </c>
      <c r="AI90" s="78">
        <f>IF($C90="",0,IF(COUNTIF('PEOPLE + BUDGETS'!$B$6:$B$105,$C90)=0,1,0))</f>
      </c>
      <c r="AJ90" s="78">
        <f>IF($U90="",0,IF(COUNTIF('ONLINE ORDERS'!$B$6:$B$155,$U90)=0,1,0))</f>
      </c>
      <c r="AK90" s="75"/>
    </row>
    <row r="91" ht="17" customHeight="1" spans="1:37" x14ac:dyDescent="0.25">
      <c r="A91" s="75"/>
      <c r="B91" s="79"/>
      <c r="C91" s="79"/>
      <c r="D91" s="78">
        <f>IF($B91="","",IF($C91="","",IFERROR(IF(INDEX('PEOPLE + BUDGETS'!$C$6:$C$105,MATCH($C91,'PEOPLE + BUDGETS'!$B$6:$B$105,0))="","",INDEX('PEOPLE + BUDGETS'!$C$6:$C$105,MATCH($C91,'PEOPLE + BUDGETS'!$B$6:$B$105,0))),"")))</f>
      </c>
      <c r="E91" s="78">
        <f>IF($B91="","",IF(OR($S91="Cancelled",$S91="Returned"),"No",IFERROR(INDEX('PEOPLE + BUDGETS'!$O$6:$O$105,MATCH($C91,'PEOPLE + BUDGETS'!$B$6:$B$105,0)),"Yes")))</f>
      </c>
      <c r="F91" s="80"/>
      <c r="G91" s="79"/>
      <c r="H91" s="79"/>
      <c r="I91" s="79"/>
      <c r="J91" s="80"/>
      <c r="K91" s="79"/>
      <c r="L91" s="90"/>
      <c r="M91" s="86"/>
      <c r="N91" s="86"/>
      <c r="O91" s="86"/>
      <c r="P91" s="86"/>
      <c r="Q91" s="85">
        <f>IF($B91="","",ROUND(MAX(0,$L91*$M91-$N91)+$O91+$P91,2))</f>
      </c>
      <c r="R91" s="86"/>
      <c r="S91" s="79"/>
      <c r="T91" s="78">
        <f>IF($B91="","",IF($S91="Purchased","Yes","No"))</f>
      </c>
      <c r="U91" s="79"/>
      <c r="V91" s="79"/>
      <c r="W91" s="78">
        <f>IF($B91="","",IF($U91="","—",IF($U91="","",IFERROR(IF(INDEX('ONLINE ORDERS'!$M$6:$M$155,MATCH($U91,'ONLINE ORDERS'!$B$6:$B$155,0))="","",INDEX('ONLINE ORDERS'!$M$6:$M$155,MATCH($U91,'ONLINE ORDERS'!$B$6:$B$155,0))),""))))</f>
      </c>
      <c r="X91" s="79"/>
      <c r="Y91" s="79"/>
      <c r="Z91" s="79"/>
      <c r="AA91" s="79"/>
      <c r="AB91" s="82"/>
      <c r="AC91" s="82"/>
      <c r="AD91" s="78">
        <f>IF($F91="","",LOWER(TRIM($C91&amp;"|"&amp;TRIM($F91))))</f>
      </c>
      <c r="AE91" s="78">
        <f>IF($AD91="","",IF(COUNTIF('GIFT PLANNER'!$AD$6:$AD$205,$AD91)&gt;1,"CHECK DUPLICATE",""))</f>
      </c>
      <c r="AF91" s="80"/>
      <c r="AG91" s="78">
        <f>IF($B91="",0,IF(COUNTIF('GIFT PLANNER'!$B$6:$B$205,$B91)&gt;1,1,0))</f>
      </c>
      <c r="AH91" s="78">
        <f>IF(OR(N($Q91)&gt;0,N($R91)&gt;0),IF($G91="",1,IF(COUNTIF('MASTER BUDGET'!$D$6:$D$25,$G91)=0,1,0)),0)</f>
      </c>
      <c r="AI91" s="78">
        <f>IF($C91="",0,IF(COUNTIF('PEOPLE + BUDGETS'!$B$6:$B$105,$C91)=0,1,0))</f>
      </c>
      <c r="AJ91" s="78">
        <f>IF($U91="",0,IF(COUNTIF('ONLINE ORDERS'!$B$6:$B$155,$U91)=0,1,0))</f>
      </c>
      <c r="AK91" s="75"/>
    </row>
    <row r="92" ht="17" customHeight="1" spans="1:37" x14ac:dyDescent="0.25">
      <c r="A92" s="75"/>
      <c r="B92" s="79"/>
      <c r="C92" s="79"/>
      <c r="D92" s="78">
        <f>IF($B92="","",IF($C92="","",IFERROR(IF(INDEX('PEOPLE + BUDGETS'!$C$6:$C$105,MATCH($C92,'PEOPLE + BUDGETS'!$B$6:$B$105,0))="","",INDEX('PEOPLE + BUDGETS'!$C$6:$C$105,MATCH($C92,'PEOPLE + BUDGETS'!$B$6:$B$105,0))),"")))</f>
      </c>
      <c r="E92" s="78">
        <f>IF($B92="","",IF(OR($S92="Cancelled",$S92="Returned"),"No",IFERROR(INDEX('PEOPLE + BUDGETS'!$O$6:$O$105,MATCH($C92,'PEOPLE + BUDGETS'!$B$6:$B$105,0)),"Yes")))</f>
      </c>
      <c r="F92" s="80"/>
      <c r="G92" s="79"/>
      <c r="H92" s="79"/>
      <c r="I92" s="79"/>
      <c r="J92" s="80"/>
      <c r="K92" s="79"/>
      <c r="L92" s="90"/>
      <c r="M92" s="86"/>
      <c r="N92" s="86"/>
      <c r="O92" s="86"/>
      <c r="P92" s="86"/>
      <c r="Q92" s="85">
        <f>IF($B92="","",ROUND(MAX(0,$L92*$M92-$N92)+$O92+$P92,2))</f>
      </c>
      <c r="R92" s="86"/>
      <c r="S92" s="79"/>
      <c r="T92" s="78">
        <f>IF($B92="","",IF($S92="Purchased","Yes","No"))</f>
      </c>
      <c r="U92" s="79"/>
      <c r="V92" s="79"/>
      <c r="W92" s="78">
        <f>IF($B92="","",IF($U92="","—",IF($U92="","",IFERROR(IF(INDEX('ONLINE ORDERS'!$M$6:$M$155,MATCH($U92,'ONLINE ORDERS'!$B$6:$B$155,0))="","",INDEX('ONLINE ORDERS'!$M$6:$M$155,MATCH($U92,'ONLINE ORDERS'!$B$6:$B$155,0))),""))))</f>
      </c>
      <c r="X92" s="79"/>
      <c r="Y92" s="79"/>
      <c r="Z92" s="79"/>
      <c r="AA92" s="79"/>
      <c r="AB92" s="82"/>
      <c r="AC92" s="82"/>
      <c r="AD92" s="78">
        <f>IF($F92="","",LOWER(TRIM($C92&amp;"|"&amp;TRIM($F92))))</f>
      </c>
      <c r="AE92" s="78">
        <f>IF($AD92="","",IF(COUNTIF('GIFT PLANNER'!$AD$6:$AD$205,$AD92)&gt;1,"CHECK DUPLICATE",""))</f>
      </c>
      <c r="AF92" s="80"/>
      <c r="AG92" s="78">
        <f>IF($B92="",0,IF(COUNTIF('GIFT PLANNER'!$B$6:$B$205,$B92)&gt;1,1,0))</f>
      </c>
      <c r="AH92" s="78">
        <f>IF(OR(N($Q92)&gt;0,N($R92)&gt;0),IF($G92="",1,IF(COUNTIF('MASTER BUDGET'!$D$6:$D$25,$G92)=0,1,0)),0)</f>
      </c>
      <c r="AI92" s="78">
        <f>IF($C92="",0,IF(COUNTIF('PEOPLE + BUDGETS'!$B$6:$B$105,$C92)=0,1,0))</f>
      </c>
      <c r="AJ92" s="78">
        <f>IF($U92="",0,IF(COUNTIF('ONLINE ORDERS'!$B$6:$B$155,$U92)=0,1,0))</f>
      </c>
      <c r="AK92" s="75"/>
    </row>
    <row r="93" ht="17" customHeight="1" spans="1:37" x14ac:dyDescent="0.25">
      <c r="A93" s="75"/>
      <c r="B93" s="79"/>
      <c r="C93" s="79"/>
      <c r="D93" s="78">
        <f>IF($B93="","",IF($C93="","",IFERROR(IF(INDEX('PEOPLE + BUDGETS'!$C$6:$C$105,MATCH($C93,'PEOPLE + BUDGETS'!$B$6:$B$105,0))="","",INDEX('PEOPLE + BUDGETS'!$C$6:$C$105,MATCH($C93,'PEOPLE + BUDGETS'!$B$6:$B$105,0))),"")))</f>
      </c>
      <c r="E93" s="78">
        <f>IF($B93="","",IF(OR($S93="Cancelled",$S93="Returned"),"No",IFERROR(INDEX('PEOPLE + BUDGETS'!$O$6:$O$105,MATCH($C93,'PEOPLE + BUDGETS'!$B$6:$B$105,0)),"Yes")))</f>
      </c>
      <c r="F93" s="80"/>
      <c r="G93" s="79"/>
      <c r="H93" s="79"/>
      <c r="I93" s="79"/>
      <c r="J93" s="80"/>
      <c r="K93" s="79"/>
      <c r="L93" s="90"/>
      <c r="M93" s="86"/>
      <c r="N93" s="86"/>
      <c r="O93" s="86"/>
      <c r="P93" s="86"/>
      <c r="Q93" s="85">
        <f>IF($B93="","",ROUND(MAX(0,$L93*$M93-$N93)+$O93+$P93,2))</f>
      </c>
      <c r="R93" s="86"/>
      <c r="S93" s="79"/>
      <c r="T93" s="78">
        <f>IF($B93="","",IF($S93="Purchased","Yes","No"))</f>
      </c>
      <c r="U93" s="79"/>
      <c r="V93" s="79"/>
      <c r="W93" s="78">
        <f>IF($B93="","",IF($U93="","—",IF($U93="","",IFERROR(IF(INDEX('ONLINE ORDERS'!$M$6:$M$155,MATCH($U93,'ONLINE ORDERS'!$B$6:$B$155,0))="","",INDEX('ONLINE ORDERS'!$M$6:$M$155,MATCH($U93,'ONLINE ORDERS'!$B$6:$B$155,0))),""))))</f>
      </c>
      <c r="X93" s="79"/>
      <c r="Y93" s="79"/>
      <c r="Z93" s="79"/>
      <c r="AA93" s="79"/>
      <c r="AB93" s="82"/>
      <c r="AC93" s="82"/>
      <c r="AD93" s="78">
        <f>IF($F93="","",LOWER(TRIM($C93&amp;"|"&amp;TRIM($F93))))</f>
      </c>
      <c r="AE93" s="78">
        <f>IF($AD93="","",IF(COUNTIF('GIFT PLANNER'!$AD$6:$AD$205,$AD93)&gt;1,"CHECK DUPLICATE",""))</f>
      </c>
      <c r="AF93" s="80"/>
      <c r="AG93" s="78">
        <f>IF($B93="",0,IF(COUNTIF('GIFT PLANNER'!$B$6:$B$205,$B93)&gt;1,1,0))</f>
      </c>
      <c r="AH93" s="78">
        <f>IF(OR(N($Q93)&gt;0,N($R93)&gt;0),IF($G93="",1,IF(COUNTIF('MASTER BUDGET'!$D$6:$D$25,$G93)=0,1,0)),0)</f>
      </c>
      <c r="AI93" s="78">
        <f>IF($C93="",0,IF(COUNTIF('PEOPLE + BUDGETS'!$B$6:$B$105,$C93)=0,1,0))</f>
      </c>
      <c r="AJ93" s="78">
        <f>IF($U93="",0,IF(COUNTIF('ONLINE ORDERS'!$B$6:$B$155,$U93)=0,1,0))</f>
      </c>
      <c r="AK93" s="75"/>
    </row>
    <row r="94" ht="17" customHeight="1" spans="1:37" x14ac:dyDescent="0.25">
      <c r="A94" s="75"/>
      <c r="B94" s="79"/>
      <c r="C94" s="79"/>
      <c r="D94" s="78">
        <f>IF($B94="","",IF($C94="","",IFERROR(IF(INDEX('PEOPLE + BUDGETS'!$C$6:$C$105,MATCH($C94,'PEOPLE + BUDGETS'!$B$6:$B$105,0))="","",INDEX('PEOPLE + BUDGETS'!$C$6:$C$105,MATCH($C94,'PEOPLE + BUDGETS'!$B$6:$B$105,0))),"")))</f>
      </c>
      <c r="E94" s="78">
        <f>IF($B94="","",IF(OR($S94="Cancelled",$S94="Returned"),"No",IFERROR(INDEX('PEOPLE + BUDGETS'!$O$6:$O$105,MATCH($C94,'PEOPLE + BUDGETS'!$B$6:$B$105,0)),"Yes")))</f>
      </c>
      <c r="F94" s="80"/>
      <c r="G94" s="79"/>
      <c r="H94" s="79"/>
      <c r="I94" s="79"/>
      <c r="J94" s="80"/>
      <c r="K94" s="79"/>
      <c r="L94" s="90"/>
      <c r="M94" s="86"/>
      <c r="N94" s="86"/>
      <c r="O94" s="86"/>
      <c r="P94" s="86"/>
      <c r="Q94" s="85">
        <f>IF($B94="","",ROUND(MAX(0,$L94*$M94-$N94)+$O94+$P94,2))</f>
      </c>
      <c r="R94" s="86"/>
      <c r="S94" s="79"/>
      <c r="T94" s="78">
        <f>IF($B94="","",IF($S94="Purchased","Yes","No"))</f>
      </c>
      <c r="U94" s="79"/>
      <c r="V94" s="79"/>
      <c r="W94" s="78">
        <f>IF($B94="","",IF($U94="","—",IF($U94="","",IFERROR(IF(INDEX('ONLINE ORDERS'!$M$6:$M$155,MATCH($U94,'ONLINE ORDERS'!$B$6:$B$155,0))="","",INDEX('ONLINE ORDERS'!$M$6:$M$155,MATCH($U94,'ONLINE ORDERS'!$B$6:$B$155,0))),""))))</f>
      </c>
      <c r="X94" s="79"/>
      <c r="Y94" s="79"/>
      <c r="Z94" s="79"/>
      <c r="AA94" s="79"/>
      <c r="AB94" s="82"/>
      <c r="AC94" s="82"/>
      <c r="AD94" s="78">
        <f>IF($F94="","",LOWER(TRIM($C94&amp;"|"&amp;TRIM($F94))))</f>
      </c>
      <c r="AE94" s="78">
        <f>IF($AD94="","",IF(COUNTIF('GIFT PLANNER'!$AD$6:$AD$205,$AD94)&gt;1,"CHECK DUPLICATE",""))</f>
      </c>
      <c r="AF94" s="80"/>
      <c r="AG94" s="78">
        <f>IF($B94="",0,IF(COUNTIF('GIFT PLANNER'!$B$6:$B$205,$B94)&gt;1,1,0))</f>
      </c>
      <c r="AH94" s="78">
        <f>IF(OR(N($Q94)&gt;0,N($R94)&gt;0),IF($G94="",1,IF(COUNTIF('MASTER BUDGET'!$D$6:$D$25,$G94)=0,1,0)),0)</f>
      </c>
      <c r="AI94" s="78">
        <f>IF($C94="",0,IF(COUNTIF('PEOPLE + BUDGETS'!$B$6:$B$105,$C94)=0,1,0))</f>
      </c>
      <c r="AJ94" s="78">
        <f>IF($U94="",0,IF(COUNTIF('ONLINE ORDERS'!$B$6:$B$155,$U94)=0,1,0))</f>
      </c>
      <c r="AK94" s="75"/>
    </row>
    <row r="95" ht="17" customHeight="1" spans="1:37" x14ac:dyDescent="0.25">
      <c r="A95" s="75"/>
      <c r="B95" s="79"/>
      <c r="C95" s="79"/>
      <c r="D95" s="78">
        <f>IF($B95="","",IF($C95="","",IFERROR(IF(INDEX('PEOPLE + BUDGETS'!$C$6:$C$105,MATCH($C95,'PEOPLE + BUDGETS'!$B$6:$B$105,0))="","",INDEX('PEOPLE + BUDGETS'!$C$6:$C$105,MATCH($C95,'PEOPLE + BUDGETS'!$B$6:$B$105,0))),"")))</f>
      </c>
      <c r="E95" s="78">
        <f>IF($B95="","",IF(OR($S95="Cancelled",$S95="Returned"),"No",IFERROR(INDEX('PEOPLE + BUDGETS'!$O$6:$O$105,MATCH($C95,'PEOPLE + BUDGETS'!$B$6:$B$105,0)),"Yes")))</f>
      </c>
      <c r="F95" s="80"/>
      <c r="G95" s="79"/>
      <c r="H95" s="79"/>
      <c r="I95" s="79"/>
      <c r="J95" s="80"/>
      <c r="K95" s="79"/>
      <c r="L95" s="90"/>
      <c r="M95" s="86"/>
      <c r="N95" s="86"/>
      <c r="O95" s="86"/>
      <c r="P95" s="86"/>
      <c r="Q95" s="85">
        <f>IF($B95="","",ROUND(MAX(0,$L95*$M95-$N95)+$O95+$P95,2))</f>
      </c>
      <c r="R95" s="86"/>
      <c r="S95" s="79"/>
      <c r="T95" s="78">
        <f>IF($B95="","",IF($S95="Purchased","Yes","No"))</f>
      </c>
      <c r="U95" s="79"/>
      <c r="V95" s="79"/>
      <c r="W95" s="78">
        <f>IF($B95="","",IF($U95="","—",IF($U95="","",IFERROR(IF(INDEX('ONLINE ORDERS'!$M$6:$M$155,MATCH($U95,'ONLINE ORDERS'!$B$6:$B$155,0))="","",INDEX('ONLINE ORDERS'!$M$6:$M$155,MATCH($U95,'ONLINE ORDERS'!$B$6:$B$155,0))),""))))</f>
      </c>
      <c r="X95" s="79"/>
      <c r="Y95" s="79"/>
      <c r="Z95" s="79"/>
      <c r="AA95" s="79"/>
      <c r="AB95" s="82"/>
      <c r="AC95" s="82"/>
      <c r="AD95" s="78">
        <f>IF($F95="","",LOWER(TRIM($C95&amp;"|"&amp;TRIM($F95))))</f>
      </c>
      <c r="AE95" s="78">
        <f>IF($AD95="","",IF(COUNTIF('GIFT PLANNER'!$AD$6:$AD$205,$AD95)&gt;1,"CHECK DUPLICATE",""))</f>
      </c>
      <c r="AF95" s="80"/>
      <c r="AG95" s="78">
        <f>IF($B95="",0,IF(COUNTIF('GIFT PLANNER'!$B$6:$B$205,$B95)&gt;1,1,0))</f>
      </c>
      <c r="AH95" s="78">
        <f>IF(OR(N($Q95)&gt;0,N($R95)&gt;0),IF($G95="",1,IF(COUNTIF('MASTER BUDGET'!$D$6:$D$25,$G95)=0,1,0)),0)</f>
      </c>
      <c r="AI95" s="78">
        <f>IF($C95="",0,IF(COUNTIF('PEOPLE + BUDGETS'!$B$6:$B$105,$C95)=0,1,0))</f>
      </c>
      <c r="AJ95" s="78">
        <f>IF($U95="",0,IF(COUNTIF('ONLINE ORDERS'!$B$6:$B$155,$U95)=0,1,0))</f>
      </c>
      <c r="AK95" s="75"/>
    </row>
    <row r="96" ht="17" customHeight="1" spans="1:37" x14ac:dyDescent="0.25">
      <c r="A96" s="75"/>
      <c r="B96" s="79"/>
      <c r="C96" s="79"/>
      <c r="D96" s="78">
        <f>IF($B96="","",IF($C96="","",IFERROR(IF(INDEX('PEOPLE + BUDGETS'!$C$6:$C$105,MATCH($C96,'PEOPLE + BUDGETS'!$B$6:$B$105,0))="","",INDEX('PEOPLE + BUDGETS'!$C$6:$C$105,MATCH($C96,'PEOPLE + BUDGETS'!$B$6:$B$105,0))),"")))</f>
      </c>
      <c r="E96" s="78">
        <f>IF($B96="","",IF(OR($S96="Cancelled",$S96="Returned"),"No",IFERROR(INDEX('PEOPLE + BUDGETS'!$O$6:$O$105,MATCH($C96,'PEOPLE + BUDGETS'!$B$6:$B$105,0)),"Yes")))</f>
      </c>
      <c r="F96" s="80"/>
      <c r="G96" s="79"/>
      <c r="H96" s="79"/>
      <c r="I96" s="79"/>
      <c r="J96" s="80"/>
      <c r="K96" s="79"/>
      <c r="L96" s="90"/>
      <c r="M96" s="86"/>
      <c r="N96" s="86"/>
      <c r="O96" s="86"/>
      <c r="P96" s="86"/>
      <c r="Q96" s="85">
        <f>IF($B96="","",ROUND(MAX(0,$L96*$M96-$N96)+$O96+$P96,2))</f>
      </c>
      <c r="R96" s="86"/>
      <c r="S96" s="79"/>
      <c r="T96" s="78">
        <f>IF($B96="","",IF($S96="Purchased","Yes","No"))</f>
      </c>
      <c r="U96" s="79"/>
      <c r="V96" s="79"/>
      <c r="W96" s="78">
        <f>IF($B96="","",IF($U96="","—",IF($U96="","",IFERROR(IF(INDEX('ONLINE ORDERS'!$M$6:$M$155,MATCH($U96,'ONLINE ORDERS'!$B$6:$B$155,0))="","",INDEX('ONLINE ORDERS'!$M$6:$M$155,MATCH($U96,'ONLINE ORDERS'!$B$6:$B$155,0))),""))))</f>
      </c>
      <c r="X96" s="79"/>
      <c r="Y96" s="79"/>
      <c r="Z96" s="79"/>
      <c r="AA96" s="79"/>
      <c r="AB96" s="82"/>
      <c r="AC96" s="82"/>
      <c r="AD96" s="78">
        <f>IF($F96="","",LOWER(TRIM($C96&amp;"|"&amp;TRIM($F96))))</f>
      </c>
      <c r="AE96" s="78">
        <f>IF($AD96="","",IF(COUNTIF('GIFT PLANNER'!$AD$6:$AD$205,$AD96)&gt;1,"CHECK DUPLICATE",""))</f>
      </c>
      <c r="AF96" s="80"/>
      <c r="AG96" s="78">
        <f>IF($B96="",0,IF(COUNTIF('GIFT PLANNER'!$B$6:$B$205,$B96)&gt;1,1,0))</f>
      </c>
      <c r="AH96" s="78">
        <f>IF(OR(N($Q96)&gt;0,N($R96)&gt;0),IF($G96="",1,IF(COUNTIF('MASTER BUDGET'!$D$6:$D$25,$G96)=0,1,0)),0)</f>
      </c>
      <c r="AI96" s="78">
        <f>IF($C96="",0,IF(COUNTIF('PEOPLE + BUDGETS'!$B$6:$B$105,$C96)=0,1,0))</f>
      </c>
      <c r="AJ96" s="78">
        <f>IF($U96="",0,IF(COUNTIF('ONLINE ORDERS'!$B$6:$B$155,$U96)=0,1,0))</f>
      </c>
      <c r="AK96" s="75"/>
    </row>
    <row r="97" ht="17" customHeight="1" spans="1:37" x14ac:dyDescent="0.25">
      <c r="A97" s="75"/>
      <c r="B97" s="79"/>
      <c r="C97" s="79"/>
      <c r="D97" s="78">
        <f>IF($B97="","",IF($C97="","",IFERROR(IF(INDEX('PEOPLE + BUDGETS'!$C$6:$C$105,MATCH($C97,'PEOPLE + BUDGETS'!$B$6:$B$105,0))="","",INDEX('PEOPLE + BUDGETS'!$C$6:$C$105,MATCH($C97,'PEOPLE + BUDGETS'!$B$6:$B$105,0))),"")))</f>
      </c>
      <c r="E97" s="78">
        <f>IF($B97="","",IF(OR($S97="Cancelled",$S97="Returned"),"No",IFERROR(INDEX('PEOPLE + BUDGETS'!$O$6:$O$105,MATCH($C97,'PEOPLE + BUDGETS'!$B$6:$B$105,0)),"Yes")))</f>
      </c>
      <c r="F97" s="80"/>
      <c r="G97" s="79"/>
      <c r="H97" s="79"/>
      <c r="I97" s="79"/>
      <c r="J97" s="80"/>
      <c r="K97" s="79"/>
      <c r="L97" s="90"/>
      <c r="M97" s="86"/>
      <c r="N97" s="86"/>
      <c r="O97" s="86"/>
      <c r="P97" s="86"/>
      <c r="Q97" s="85">
        <f>IF($B97="","",ROUND(MAX(0,$L97*$M97-$N97)+$O97+$P97,2))</f>
      </c>
      <c r="R97" s="86"/>
      <c r="S97" s="79"/>
      <c r="T97" s="78">
        <f>IF($B97="","",IF($S97="Purchased","Yes","No"))</f>
      </c>
      <c r="U97" s="79"/>
      <c r="V97" s="79"/>
      <c r="W97" s="78">
        <f>IF($B97="","",IF($U97="","—",IF($U97="","",IFERROR(IF(INDEX('ONLINE ORDERS'!$M$6:$M$155,MATCH($U97,'ONLINE ORDERS'!$B$6:$B$155,0))="","",INDEX('ONLINE ORDERS'!$M$6:$M$155,MATCH($U97,'ONLINE ORDERS'!$B$6:$B$155,0))),""))))</f>
      </c>
      <c r="X97" s="79"/>
      <c r="Y97" s="79"/>
      <c r="Z97" s="79"/>
      <c r="AA97" s="79"/>
      <c r="AB97" s="82"/>
      <c r="AC97" s="82"/>
      <c r="AD97" s="78">
        <f>IF($F97="","",LOWER(TRIM($C97&amp;"|"&amp;TRIM($F97))))</f>
      </c>
      <c r="AE97" s="78">
        <f>IF($AD97="","",IF(COUNTIF('GIFT PLANNER'!$AD$6:$AD$205,$AD97)&gt;1,"CHECK DUPLICATE",""))</f>
      </c>
      <c r="AF97" s="80"/>
      <c r="AG97" s="78">
        <f>IF($B97="",0,IF(COUNTIF('GIFT PLANNER'!$B$6:$B$205,$B97)&gt;1,1,0))</f>
      </c>
      <c r="AH97" s="78">
        <f>IF(OR(N($Q97)&gt;0,N($R97)&gt;0),IF($G97="",1,IF(COUNTIF('MASTER BUDGET'!$D$6:$D$25,$G97)=0,1,0)),0)</f>
      </c>
      <c r="AI97" s="78">
        <f>IF($C97="",0,IF(COUNTIF('PEOPLE + BUDGETS'!$B$6:$B$105,$C97)=0,1,0))</f>
      </c>
      <c r="AJ97" s="78">
        <f>IF($U97="",0,IF(COUNTIF('ONLINE ORDERS'!$B$6:$B$155,$U97)=0,1,0))</f>
      </c>
      <c r="AK97" s="75"/>
    </row>
    <row r="98" ht="17" customHeight="1" spans="1:37" x14ac:dyDescent="0.25">
      <c r="A98" s="75"/>
      <c r="B98" s="79"/>
      <c r="C98" s="79"/>
      <c r="D98" s="78">
        <f>IF($B98="","",IF($C98="","",IFERROR(IF(INDEX('PEOPLE + BUDGETS'!$C$6:$C$105,MATCH($C98,'PEOPLE + BUDGETS'!$B$6:$B$105,0))="","",INDEX('PEOPLE + BUDGETS'!$C$6:$C$105,MATCH($C98,'PEOPLE + BUDGETS'!$B$6:$B$105,0))),"")))</f>
      </c>
      <c r="E98" s="78">
        <f>IF($B98="","",IF(OR($S98="Cancelled",$S98="Returned"),"No",IFERROR(INDEX('PEOPLE + BUDGETS'!$O$6:$O$105,MATCH($C98,'PEOPLE + BUDGETS'!$B$6:$B$105,0)),"Yes")))</f>
      </c>
      <c r="F98" s="80"/>
      <c r="G98" s="79"/>
      <c r="H98" s="79"/>
      <c r="I98" s="79"/>
      <c r="J98" s="80"/>
      <c r="K98" s="79"/>
      <c r="L98" s="90"/>
      <c r="M98" s="86"/>
      <c r="N98" s="86"/>
      <c r="O98" s="86"/>
      <c r="P98" s="86"/>
      <c r="Q98" s="85">
        <f>IF($B98="","",ROUND(MAX(0,$L98*$M98-$N98)+$O98+$P98,2))</f>
      </c>
      <c r="R98" s="86"/>
      <c r="S98" s="79"/>
      <c r="T98" s="78">
        <f>IF($B98="","",IF($S98="Purchased","Yes","No"))</f>
      </c>
      <c r="U98" s="79"/>
      <c r="V98" s="79"/>
      <c r="W98" s="78">
        <f>IF($B98="","",IF($U98="","—",IF($U98="","",IFERROR(IF(INDEX('ONLINE ORDERS'!$M$6:$M$155,MATCH($U98,'ONLINE ORDERS'!$B$6:$B$155,0))="","",INDEX('ONLINE ORDERS'!$M$6:$M$155,MATCH($U98,'ONLINE ORDERS'!$B$6:$B$155,0))),""))))</f>
      </c>
      <c r="X98" s="79"/>
      <c r="Y98" s="79"/>
      <c r="Z98" s="79"/>
      <c r="AA98" s="79"/>
      <c r="AB98" s="82"/>
      <c r="AC98" s="82"/>
      <c r="AD98" s="78">
        <f>IF($F98="","",LOWER(TRIM($C98&amp;"|"&amp;TRIM($F98))))</f>
      </c>
      <c r="AE98" s="78">
        <f>IF($AD98="","",IF(COUNTIF('GIFT PLANNER'!$AD$6:$AD$205,$AD98)&gt;1,"CHECK DUPLICATE",""))</f>
      </c>
      <c r="AF98" s="80"/>
      <c r="AG98" s="78">
        <f>IF($B98="",0,IF(COUNTIF('GIFT PLANNER'!$B$6:$B$205,$B98)&gt;1,1,0))</f>
      </c>
      <c r="AH98" s="78">
        <f>IF(OR(N($Q98)&gt;0,N($R98)&gt;0),IF($G98="",1,IF(COUNTIF('MASTER BUDGET'!$D$6:$D$25,$G98)=0,1,0)),0)</f>
      </c>
      <c r="AI98" s="78">
        <f>IF($C98="",0,IF(COUNTIF('PEOPLE + BUDGETS'!$B$6:$B$105,$C98)=0,1,0))</f>
      </c>
      <c r="AJ98" s="78">
        <f>IF($U98="",0,IF(COUNTIF('ONLINE ORDERS'!$B$6:$B$155,$U98)=0,1,0))</f>
      </c>
      <c r="AK98" s="75"/>
    </row>
    <row r="99" ht="17" customHeight="1" spans="1:37" x14ac:dyDescent="0.25">
      <c r="A99" s="75"/>
      <c r="B99" s="79"/>
      <c r="C99" s="79"/>
      <c r="D99" s="78">
        <f>IF($B99="","",IF($C99="","",IFERROR(IF(INDEX('PEOPLE + BUDGETS'!$C$6:$C$105,MATCH($C99,'PEOPLE + BUDGETS'!$B$6:$B$105,0))="","",INDEX('PEOPLE + BUDGETS'!$C$6:$C$105,MATCH($C99,'PEOPLE + BUDGETS'!$B$6:$B$105,0))),"")))</f>
      </c>
      <c r="E99" s="78">
        <f>IF($B99="","",IF(OR($S99="Cancelled",$S99="Returned"),"No",IFERROR(INDEX('PEOPLE + BUDGETS'!$O$6:$O$105,MATCH($C99,'PEOPLE + BUDGETS'!$B$6:$B$105,0)),"Yes")))</f>
      </c>
      <c r="F99" s="80"/>
      <c r="G99" s="79"/>
      <c r="H99" s="79"/>
      <c r="I99" s="79"/>
      <c r="J99" s="80"/>
      <c r="K99" s="79"/>
      <c r="L99" s="90"/>
      <c r="M99" s="86"/>
      <c r="N99" s="86"/>
      <c r="O99" s="86"/>
      <c r="P99" s="86"/>
      <c r="Q99" s="85">
        <f>IF($B99="","",ROUND(MAX(0,$L99*$M99-$N99)+$O99+$P99,2))</f>
      </c>
      <c r="R99" s="86"/>
      <c r="S99" s="79"/>
      <c r="T99" s="78">
        <f>IF($B99="","",IF($S99="Purchased","Yes","No"))</f>
      </c>
      <c r="U99" s="79"/>
      <c r="V99" s="79"/>
      <c r="W99" s="78">
        <f>IF($B99="","",IF($U99="","—",IF($U99="","",IFERROR(IF(INDEX('ONLINE ORDERS'!$M$6:$M$155,MATCH($U99,'ONLINE ORDERS'!$B$6:$B$155,0))="","",INDEX('ONLINE ORDERS'!$M$6:$M$155,MATCH($U99,'ONLINE ORDERS'!$B$6:$B$155,0))),""))))</f>
      </c>
      <c r="X99" s="79"/>
      <c r="Y99" s="79"/>
      <c r="Z99" s="79"/>
      <c r="AA99" s="79"/>
      <c r="AB99" s="82"/>
      <c r="AC99" s="82"/>
      <c r="AD99" s="78">
        <f>IF($F99="","",LOWER(TRIM($C99&amp;"|"&amp;TRIM($F99))))</f>
      </c>
      <c r="AE99" s="78">
        <f>IF($AD99="","",IF(COUNTIF('GIFT PLANNER'!$AD$6:$AD$205,$AD99)&gt;1,"CHECK DUPLICATE",""))</f>
      </c>
      <c r="AF99" s="80"/>
      <c r="AG99" s="78">
        <f>IF($B99="",0,IF(COUNTIF('GIFT PLANNER'!$B$6:$B$205,$B99)&gt;1,1,0))</f>
      </c>
      <c r="AH99" s="78">
        <f>IF(OR(N($Q99)&gt;0,N($R99)&gt;0),IF($G99="",1,IF(COUNTIF('MASTER BUDGET'!$D$6:$D$25,$G99)=0,1,0)),0)</f>
      </c>
      <c r="AI99" s="78">
        <f>IF($C99="",0,IF(COUNTIF('PEOPLE + BUDGETS'!$B$6:$B$105,$C99)=0,1,0))</f>
      </c>
      <c r="AJ99" s="78">
        <f>IF($U99="",0,IF(COUNTIF('ONLINE ORDERS'!$B$6:$B$155,$U99)=0,1,0))</f>
      </c>
      <c r="AK99" s="75"/>
    </row>
    <row r="100" ht="17" customHeight="1" spans="1:37" x14ac:dyDescent="0.25">
      <c r="A100" s="75"/>
      <c r="B100" s="79"/>
      <c r="C100" s="79"/>
      <c r="D100" s="78">
        <f>IF($B100="","",IF($C100="","",IFERROR(IF(INDEX('PEOPLE + BUDGETS'!$C$6:$C$105,MATCH($C100,'PEOPLE + BUDGETS'!$B$6:$B$105,0))="","",INDEX('PEOPLE + BUDGETS'!$C$6:$C$105,MATCH($C100,'PEOPLE + BUDGETS'!$B$6:$B$105,0))),"")))</f>
      </c>
      <c r="E100" s="78">
        <f>IF($B100="","",IF(OR($S100="Cancelled",$S100="Returned"),"No",IFERROR(INDEX('PEOPLE + BUDGETS'!$O$6:$O$105,MATCH($C100,'PEOPLE + BUDGETS'!$B$6:$B$105,0)),"Yes")))</f>
      </c>
      <c r="F100" s="80"/>
      <c r="G100" s="79"/>
      <c r="H100" s="79"/>
      <c r="I100" s="79"/>
      <c r="J100" s="80"/>
      <c r="K100" s="79"/>
      <c r="L100" s="90"/>
      <c r="M100" s="86"/>
      <c r="N100" s="86"/>
      <c r="O100" s="86"/>
      <c r="P100" s="86"/>
      <c r="Q100" s="85">
        <f>IF($B100="","",ROUND(MAX(0,$L100*$M100-$N100)+$O100+$P100,2))</f>
      </c>
      <c r="R100" s="86"/>
      <c r="S100" s="79"/>
      <c r="T100" s="78">
        <f>IF($B100="","",IF($S100="Purchased","Yes","No"))</f>
      </c>
      <c r="U100" s="79"/>
      <c r="V100" s="79"/>
      <c r="W100" s="78">
        <f>IF($B100="","",IF($U100="","—",IF($U100="","",IFERROR(IF(INDEX('ONLINE ORDERS'!$M$6:$M$155,MATCH($U100,'ONLINE ORDERS'!$B$6:$B$155,0))="","",INDEX('ONLINE ORDERS'!$M$6:$M$155,MATCH($U100,'ONLINE ORDERS'!$B$6:$B$155,0))),""))))</f>
      </c>
      <c r="X100" s="79"/>
      <c r="Y100" s="79"/>
      <c r="Z100" s="79"/>
      <c r="AA100" s="79"/>
      <c r="AB100" s="82"/>
      <c r="AC100" s="82"/>
      <c r="AD100" s="78">
        <f>IF($F100="","",LOWER(TRIM($C100&amp;"|"&amp;TRIM($F100))))</f>
      </c>
      <c r="AE100" s="78">
        <f>IF($AD100="","",IF(COUNTIF('GIFT PLANNER'!$AD$6:$AD$205,$AD100)&gt;1,"CHECK DUPLICATE",""))</f>
      </c>
      <c r="AF100" s="80"/>
      <c r="AG100" s="78">
        <f>IF($B100="",0,IF(COUNTIF('GIFT PLANNER'!$B$6:$B$205,$B100)&gt;1,1,0))</f>
      </c>
      <c r="AH100" s="78">
        <f>IF(OR(N($Q100)&gt;0,N($R100)&gt;0),IF($G100="",1,IF(COUNTIF('MASTER BUDGET'!$D$6:$D$25,$G100)=0,1,0)),0)</f>
      </c>
      <c r="AI100" s="78">
        <f>IF($C100="",0,IF(COUNTIF('PEOPLE + BUDGETS'!$B$6:$B$105,$C100)=0,1,0))</f>
      </c>
      <c r="AJ100" s="78">
        <f>IF($U100="",0,IF(COUNTIF('ONLINE ORDERS'!$B$6:$B$155,$U100)=0,1,0))</f>
      </c>
      <c r="AK100" s="75"/>
    </row>
    <row r="101" ht="17" customHeight="1" spans="1:37" x14ac:dyDescent="0.25">
      <c r="A101" s="75"/>
      <c r="B101" s="79"/>
      <c r="C101" s="79"/>
      <c r="D101" s="78">
        <f>IF($B101="","",IF($C101="","",IFERROR(IF(INDEX('PEOPLE + BUDGETS'!$C$6:$C$105,MATCH($C101,'PEOPLE + BUDGETS'!$B$6:$B$105,0))="","",INDEX('PEOPLE + BUDGETS'!$C$6:$C$105,MATCH($C101,'PEOPLE + BUDGETS'!$B$6:$B$105,0))),"")))</f>
      </c>
      <c r="E101" s="78">
        <f>IF($B101="","",IF(OR($S101="Cancelled",$S101="Returned"),"No",IFERROR(INDEX('PEOPLE + BUDGETS'!$O$6:$O$105,MATCH($C101,'PEOPLE + BUDGETS'!$B$6:$B$105,0)),"Yes")))</f>
      </c>
      <c r="F101" s="80"/>
      <c r="G101" s="79"/>
      <c r="H101" s="79"/>
      <c r="I101" s="79"/>
      <c r="J101" s="80"/>
      <c r="K101" s="79"/>
      <c r="L101" s="90"/>
      <c r="M101" s="86"/>
      <c r="N101" s="86"/>
      <c r="O101" s="86"/>
      <c r="P101" s="86"/>
      <c r="Q101" s="85">
        <f>IF($B101="","",ROUND(MAX(0,$L101*$M101-$N101)+$O101+$P101,2))</f>
      </c>
      <c r="R101" s="86"/>
      <c r="S101" s="79"/>
      <c r="T101" s="78">
        <f>IF($B101="","",IF($S101="Purchased","Yes","No"))</f>
      </c>
      <c r="U101" s="79"/>
      <c r="V101" s="79"/>
      <c r="W101" s="78">
        <f>IF($B101="","",IF($U101="","—",IF($U101="","",IFERROR(IF(INDEX('ONLINE ORDERS'!$M$6:$M$155,MATCH($U101,'ONLINE ORDERS'!$B$6:$B$155,0))="","",INDEX('ONLINE ORDERS'!$M$6:$M$155,MATCH($U101,'ONLINE ORDERS'!$B$6:$B$155,0))),""))))</f>
      </c>
      <c r="X101" s="79"/>
      <c r="Y101" s="79"/>
      <c r="Z101" s="79"/>
      <c r="AA101" s="79"/>
      <c r="AB101" s="82"/>
      <c r="AC101" s="82"/>
      <c r="AD101" s="78">
        <f>IF($F101="","",LOWER(TRIM($C101&amp;"|"&amp;TRIM($F101))))</f>
      </c>
      <c r="AE101" s="78">
        <f>IF($AD101="","",IF(COUNTIF('GIFT PLANNER'!$AD$6:$AD$205,$AD101)&gt;1,"CHECK DUPLICATE",""))</f>
      </c>
      <c r="AF101" s="80"/>
      <c r="AG101" s="78">
        <f>IF($B101="",0,IF(COUNTIF('GIFT PLANNER'!$B$6:$B$205,$B101)&gt;1,1,0))</f>
      </c>
      <c r="AH101" s="78">
        <f>IF(OR(N($Q101)&gt;0,N($R101)&gt;0),IF($G101="",1,IF(COUNTIF('MASTER BUDGET'!$D$6:$D$25,$G101)=0,1,0)),0)</f>
      </c>
      <c r="AI101" s="78">
        <f>IF($C101="",0,IF(COUNTIF('PEOPLE + BUDGETS'!$B$6:$B$105,$C101)=0,1,0))</f>
      </c>
      <c r="AJ101" s="78">
        <f>IF($U101="",0,IF(COUNTIF('ONLINE ORDERS'!$B$6:$B$155,$U101)=0,1,0))</f>
      </c>
      <c r="AK101" s="75"/>
    </row>
    <row r="102" ht="17" customHeight="1" spans="1:37" x14ac:dyDescent="0.25">
      <c r="A102" s="75"/>
      <c r="B102" s="79"/>
      <c r="C102" s="79"/>
      <c r="D102" s="78">
        <f>IF($B102="","",IF($C102="","",IFERROR(IF(INDEX('PEOPLE + BUDGETS'!$C$6:$C$105,MATCH($C102,'PEOPLE + BUDGETS'!$B$6:$B$105,0))="","",INDEX('PEOPLE + BUDGETS'!$C$6:$C$105,MATCH($C102,'PEOPLE + BUDGETS'!$B$6:$B$105,0))),"")))</f>
      </c>
      <c r="E102" s="78">
        <f>IF($B102="","",IF(OR($S102="Cancelled",$S102="Returned"),"No",IFERROR(INDEX('PEOPLE + BUDGETS'!$O$6:$O$105,MATCH($C102,'PEOPLE + BUDGETS'!$B$6:$B$105,0)),"Yes")))</f>
      </c>
      <c r="F102" s="80"/>
      <c r="G102" s="79"/>
      <c r="H102" s="79"/>
      <c r="I102" s="79"/>
      <c r="J102" s="80"/>
      <c r="K102" s="79"/>
      <c r="L102" s="90"/>
      <c r="M102" s="86"/>
      <c r="N102" s="86"/>
      <c r="O102" s="86"/>
      <c r="P102" s="86"/>
      <c r="Q102" s="85">
        <f>IF($B102="","",ROUND(MAX(0,$L102*$M102-$N102)+$O102+$P102,2))</f>
      </c>
      <c r="R102" s="86"/>
      <c r="S102" s="79"/>
      <c r="T102" s="78">
        <f>IF($B102="","",IF($S102="Purchased","Yes","No"))</f>
      </c>
      <c r="U102" s="79"/>
      <c r="V102" s="79"/>
      <c r="W102" s="78">
        <f>IF($B102="","",IF($U102="","—",IF($U102="","",IFERROR(IF(INDEX('ONLINE ORDERS'!$M$6:$M$155,MATCH($U102,'ONLINE ORDERS'!$B$6:$B$155,0))="","",INDEX('ONLINE ORDERS'!$M$6:$M$155,MATCH($U102,'ONLINE ORDERS'!$B$6:$B$155,0))),""))))</f>
      </c>
      <c r="X102" s="79"/>
      <c r="Y102" s="79"/>
      <c r="Z102" s="79"/>
      <c r="AA102" s="79"/>
      <c r="AB102" s="82"/>
      <c r="AC102" s="82"/>
      <c r="AD102" s="78">
        <f>IF($F102="","",LOWER(TRIM($C102&amp;"|"&amp;TRIM($F102))))</f>
      </c>
      <c r="AE102" s="78">
        <f>IF($AD102="","",IF(COUNTIF('GIFT PLANNER'!$AD$6:$AD$205,$AD102)&gt;1,"CHECK DUPLICATE",""))</f>
      </c>
      <c r="AF102" s="80"/>
      <c r="AG102" s="78">
        <f>IF($B102="",0,IF(COUNTIF('GIFT PLANNER'!$B$6:$B$205,$B102)&gt;1,1,0))</f>
      </c>
      <c r="AH102" s="78">
        <f>IF(OR(N($Q102)&gt;0,N($R102)&gt;0),IF($G102="",1,IF(COUNTIF('MASTER BUDGET'!$D$6:$D$25,$G102)=0,1,0)),0)</f>
      </c>
      <c r="AI102" s="78">
        <f>IF($C102="",0,IF(COUNTIF('PEOPLE + BUDGETS'!$B$6:$B$105,$C102)=0,1,0))</f>
      </c>
      <c r="AJ102" s="78">
        <f>IF($U102="",0,IF(COUNTIF('ONLINE ORDERS'!$B$6:$B$155,$U102)=0,1,0))</f>
      </c>
      <c r="AK102" s="75"/>
    </row>
    <row r="103" ht="17" customHeight="1" spans="1:37" x14ac:dyDescent="0.25">
      <c r="A103" s="75"/>
      <c r="B103" s="79"/>
      <c r="C103" s="79"/>
      <c r="D103" s="78">
        <f>IF($B103="","",IF($C103="","",IFERROR(IF(INDEX('PEOPLE + BUDGETS'!$C$6:$C$105,MATCH($C103,'PEOPLE + BUDGETS'!$B$6:$B$105,0))="","",INDEX('PEOPLE + BUDGETS'!$C$6:$C$105,MATCH($C103,'PEOPLE + BUDGETS'!$B$6:$B$105,0))),"")))</f>
      </c>
      <c r="E103" s="78">
        <f>IF($B103="","",IF(OR($S103="Cancelled",$S103="Returned"),"No",IFERROR(INDEX('PEOPLE + BUDGETS'!$O$6:$O$105,MATCH($C103,'PEOPLE + BUDGETS'!$B$6:$B$105,0)),"Yes")))</f>
      </c>
      <c r="F103" s="80"/>
      <c r="G103" s="79"/>
      <c r="H103" s="79"/>
      <c r="I103" s="79"/>
      <c r="J103" s="80"/>
      <c r="K103" s="79"/>
      <c r="L103" s="90"/>
      <c r="M103" s="86"/>
      <c r="N103" s="86"/>
      <c r="O103" s="86"/>
      <c r="P103" s="86"/>
      <c r="Q103" s="85">
        <f>IF($B103="","",ROUND(MAX(0,$L103*$M103-$N103)+$O103+$P103,2))</f>
      </c>
      <c r="R103" s="86"/>
      <c r="S103" s="79"/>
      <c r="T103" s="78">
        <f>IF($B103="","",IF($S103="Purchased","Yes","No"))</f>
      </c>
      <c r="U103" s="79"/>
      <c r="V103" s="79"/>
      <c r="W103" s="78">
        <f>IF($B103="","",IF($U103="","—",IF($U103="","",IFERROR(IF(INDEX('ONLINE ORDERS'!$M$6:$M$155,MATCH($U103,'ONLINE ORDERS'!$B$6:$B$155,0))="","",INDEX('ONLINE ORDERS'!$M$6:$M$155,MATCH($U103,'ONLINE ORDERS'!$B$6:$B$155,0))),""))))</f>
      </c>
      <c r="X103" s="79"/>
      <c r="Y103" s="79"/>
      <c r="Z103" s="79"/>
      <c r="AA103" s="79"/>
      <c r="AB103" s="82"/>
      <c r="AC103" s="82"/>
      <c r="AD103" s="78">
        <f>IF($F103="","",LOWER(TRIM($C103&amp;"|"&amp;TRIM($F103))))</f>
      </c>
      <c r="AE103" s="78">
        <f>IF($AD103="","",IF(COUNTIF('GIFT PLANNER'!$AD$6:$AD$205,$AD103)&gt;1,"CHECK DUPLICATE",""))</f>
      </c>
      <c r="AF103" s="80"/>
      <c r="AG103" s="78">
        <f>IF($B103="",0,IF(COUNTIF('GIFT PLANNER'!$B$6:$B$205,$B103)&gt;1,1,0))</f>
      </c>
      <c r="AH103" s="78">
        <f>IF(OR(N($Q103)&gt;0,N($R103)&gt;0),IF($G103="",1,IF(COUNTIF('MASTER BUDGET'!$D$6:$D$25,$G103)=0,1,0)),0)</f>
      </c>
      <c r="AI103" s="78">
        <f>IF($C103="",0,IF(COUNTIF('PEOPLE + BUDGETS'!$B$6:$B$105,$C103)=0,1,0))</f>
      </c>
      <c r="AJ103" s="78">
        <f>IF($U103="",0,IF(COUNTIF('ONLINE ORDERS'!$B$6:$B$155,$U103)=0,1,0))</f>
      </c>
      <c r="AK103" s="75"/>
    </row>
    <row r="104" ht="17" customHeight="1" spans="1:37" x14ac:dyDescent="0.25">
      <c r="A104" s="75"/>
      <c r="B104" s="79"/>
      <c r="C104" s="79"/>
      <c r="D104" s="78">
        <f>IF($B104="","",IF($C104="","",IFERROR(IF(INDEX('PEOPLE + BUDGETS'!$C$6:$C$105,MATCH($C104,'PEOPLE + BUDGETS'!$B$6:$B$105,0))="","",INDEX('PEOPLE + BUDGETS'!$C$6:$C$105,MATCH($C104,'PEOPLE + BUDGETS'!$B$6:$B$105,0))),"")))</f>
      </c>
      <c r="E104" s="78">
        <f>IF($B104="","",IF(OR($S104="Cancelled",$S104="Returned"),"No",IFERROR(INDEX('PEOPLE + BUDGETS'!$O$6:$O$105,MATCH($C104,'PEOPLE + BUDGETS'!$B$6:$B$105,0)),"Yes")))</f>
      </c>
      <c r="F104" s="80"/>
      <c r="G104" s="79"/>
      <c r="H104" s="79"/>
      <c r="I104" s="79"/>
      <c r="J104" s="80"/>
      <c r="K104" s="79"/>
      <c r="L104" s="90"/>
      <c r="M104" s="86"/>
      <c r="N104" s="86"/>
      <c r="O104" s="86"/>
      <c r="P104" s="86"/>
      <c r="Q104" s="85">
        <f>IF($B104="","",ROUND(MAX(0,$L104*$M104-$N104)+$O104+$P104,2))</f>
      </c>
      <c r="R104" s="86"/>
      <c r="S104" s="79"/>
      <c r="T104" s="78">
        <f>IF($B104="","",IF($S104="Purchased","Yes","No"))</f>
      </c>
      <c r="U104" s="79"/>
      <c r="V104" s="79"/>
      <c r="W104" s="78">
        <f>IF($B104="","",IF($U104="","—",IF($U104="","",IFERROR(IF(INDEX('ONLINE ORDERS'!$M$6:$M$155,MATCH($U104,'ONLINE ORDERS'!$B$6:$B$155,0))="","",INDEX('ONLINE ORDERS'!$M$6:$M$155,MATCH($U104,'ONLINE ORDERS'!$B$6:$B$155,0))),""))))</f>
      </c>
      <c r="X104" s="79"/>
      <c r="Y104" s="79"/>
      <c r="Z104" s="79"/>
      <c r="AA104" s="79"/>
      <c r="AB104" s="82"/>
      <c r="AC104" s="82"/>
      <c r="AD104" s="78">
        <f>IF($F104="","",LOWER(TRIM($C104&amp;"|"&amp;TRIM($F104))))</f>
      </c>
      <c r="AE104" s="78">
        <f>IF($AD104="","",IF(COUNTIF('GIFT PLANNER'!$AD$6:$AD$205,$AD104)&gt;1,"CHECK DUPLICATE",""))</f>
      </c>
      <c r="AF104" s="80"/>
      <c r="AG104" s="78">
        <f>IF($B104="",0,IF(COUNTIF('GIFT PLANNER'!$B$6:$B$205,$B104)&gt;1,1,0))</f>
      </c>
      <c r="AH104" s="78">
        <f>IF(OR(N($Q104)&gt;0,N($R104)&gt;0),IF($G104="",1,IF(COUNTIF('MASTER BUDGET'!$D$6:$D$25,$G104)=0,1,0)),0)</f>
      </c>
      <c r="AI104" s="78">
        <f>IF($C104="",0,IF(COUNTIF('PEOPLE + BUDGETS'!$B$6:$B$105,$C104)=0,1,0))</f>
      </c>
      <c r="AJ104" s="78">
        <f>IF($U104="",0,IF(COUNTIF('ONLINE ORDERS'!$B$6:$B$155,$U104)=0,1,0))</f>
      </c>
      <c r="AK104" s="75"/>
    </row>
    <row r="105" ht="17" customHeight="1" spans="1:37" x14ac:dyDescent="0.25">
      <c r="A105" s="75"/>
      <c r="B105" s="79"/>
      <c r="C105" s="79"/>
      <c r="D105" s="78">
        <f>IF($B105="","",IF($C105="","",IFERROR(IF(INDEX('PEOPLE + BUDGETS'!$C$6:$C$105,MATCH($C105,'PEOPLE + BUDGETS'!$B$6:$B$105,0))="","",INDEX('PEOPLE + BUDGETS'!$C$6:$C$105,MATCH($C105,'PEOPLE + BUDGETS'!$B$6:$B$105,0))),"")))</f>
      </c>
      <c r="E105" s="78">
        <f>IF($B105="","",IF(OR($S105="Cancelled",$S105="Returned"),"No",IFERROR(INDEX('PEOPLE + BUDGETS'!$O$6:$O$105,MATCH($C105,'PEOPLE + BUDGETS'!$B$6:$B$105,0)),"Yes")))</f>
      </c>
      <c r="F105" s="80"/>
      <c r="G105" s="79"/>
      <c r="H105" s="79"/>
      <c r="I105" s="79"/>
      <c r="J105" s="80"/>
      <c r="K105" s="79"/>
      <c r="L105" s="90"/>
      <c r="M105" s="86"/>
      <c r="N105" s="86"/>
      <c r="O105" s="86"/>
      <c r="P105" s="86"/>
      <c r="Q105" s="85">
        <f>IF($B105="","",ROUND(MAX(0,$L105*$M105-$N105)+$O105+$P105,2))</f>
      </c>
      <c r="R105" s="86"/>
      <c r="S105" s="79"/>
      <c r="T105" s="78">
        <f>IF($B105="","",IF($S105="Purchased","Yes","No"))</f>
      </c>
      <c r="U105" s="79"/>
      <c r="V105" s="79"/>
      <c r="W105" s="78">
        <f>IF($B105="","",IF($U105="","—",IF($U105="","",IFERROR(IF(INDEX('ONLINE ORDERS'!$M$6:$M$155,MATCH($U105,'ONLINE ORDERS'!$B$6:$B$155,0))="","",INDEX('ONLINE ORDERS'!$M$6:$M$155,MATCH($U105,'ONLINE ORDERS'!$B$6:$B$155,0))),""))))</f>
      </c>
      <c r="X105" s="79"/>
      <c r="Y105" s="79"/>
      <c r="Z105" s="79"/>
      <c r="AA105" s="79"/>
      <c r="AB105" s="82"/>
      <c r="AC105" s="82"/>
      <c r="AD105" s="78">
        <f>IF($F105="","",LOWER(TRIM($C105&amp;"|"&amp;TRIM($F105))))</f>
      </c>
      <c r="AE105" s="78">
        <f>IF($AD105="","",IF(COUNTIF('GIFT PLANNER'!$AD$6:$AD$205,$AD105)&gt;1,"CHECK DUPLICATE",""))</f>
      </c>
      <c r="AF105" s="80"/>
      <c r="AG105" s="78">
        <f>IF($B105="",0,IF(COUNTIF('GIFT PLANNER'!$B$6:$B$205,$B105)&gt;1,1,0))</f>
      </c>
      <c r="AH105" s="78">
        <f>IF(OR(N($Q105)&gt;0,N($R105)&gt;0),IF($G105="",1,IF(COUNTIF('MASTER BUDGET'!$D$6:$D$25,$G105)=0,1,0)),0)</f>
      </c>
      <c r="AI105" s="78">
        <f>IF($C105="",0,IF(COUNTIF('PEOPLE + BUDGETS'!$B$6:$B$105,$C105)=0,1,0))</f>
      </c>
      <c r="AJ105" s="78">
        <f>IF($U105="",0,IF(COUNTIF('ONLINE ORDERS'!$B$6:$B$155,$U105)=0,1,0))</f>
      </c>
      <c r="AK105" s="75"/>
    </row>
    <row r="106" ht="17" customHeight="1" spans="1:37" x14ac:dyDescent="0.25">
      <c r="A106" s="75"/>
      <c r="B106" s="79"/>
      <c r="C106" s="79"/>
      <c r="D106" s="78">
        <f>IF($B106="","",IF($C106="","",IFERROR(IF(INDEX('PEOPLE + BUDGETS'!$C$6:$C$105,MATCH($C106,'PEOPLE + BUDGETS'!$B$6:$B$105,0))="","",INDEX('PEOPLE + BUDGETS'!$C$6:$C$105,MATCH($C106,'PEOPLE + BUDGETS'!$B$6:$B$105,0))),"")))</f>
      </c>
      <c r="E106" s="78">
        <f>IF($B106="","",IF(OR($S106="Cancelled",$S106="Returned"),"No",IFERROR(INDEX('PEOPLE + BUDGETS'!$O$6:$O$105,MATCH($C106,'PEOPLE + BUDGETS'!$B$6:$B$105,0)),"Yes")))</f>
      </c>
      <c r="F106" s="80"/>
      <c r="G106" s="79"/>
      <c r="H106" s="79"/>
      <c r="I106" s="79"/>
      <c r="J106" s="80"/>
      <c r="K106" s="79"/>
      <c r="L106" s="90"/>
      <c r="M106" s="86"/>
      <c r="N106" s="86"/>
      <c r="O106" s="86"/>
      <c r="P106" s="86"/>
      <c r="Q106" s="85">
        <f>IF($B106="","",ROUND(MAX(0,$L106*$M106-$N106)+$O106+$P106,2))</f>
      </c>
      <c r="R106" s="86"/>
      <c r="S106" s="79"/>
      <c r="T106" s="78">
        <f>IF($B106="","",IF($S106="Purchased","Yes","No"))</f>
      </c>
      <c r="U106" s="79"/>
      <c r="V106" s="79"/>
      <c r="W106" s="78">
        <f>IF($B106="","",IF($U106="","—",IF($U106="","",IFERROR(IF(INDEX('ONLINE ORDERS'!$M$6:$M$155,MATCH($U106,'ONLINE ORDERS'!$B$6:$B$155,0))="","",INDEX('ONLINE ORDERS'!$M$6:$M$155,MATCH($U106,'ONLINE ORDERS'!$B$6:$B$155,0))),""))))</f>
      </c>
      <c r="X106" s="79"/>
      <c r="Y106" s="79"/>
      <c r="Z106" s="79"/>
      <c r="AA106" s="79"/>
      <c r="AB106" s="82"/>
      <c r="AC106" s="82"/>
      <c r="AD106" s="78">
        <f>IF($F106="","",LOWER(TRIM($C106&amp;"|"&amp;TRIM($F106))))</f>
      </c>
      <c r="AE106" s="78">
        <f>IF($AD106="","",IF(COUNTIF('GIFT PLANNER'!$AD$6:$AD$205,$AD106)&gt;1,"CHECK DUPLICATE",""))</f>
      </c>
      <c r="AF106" s="80"/>
      <c r="AG106" s="78">
        <f>IF($B106="",0,IF(COUNTIF('GIFT PLANNER'!$B$6:$B$205,$B106)&gt;1,1,0))</f>
      </c>
      <c r="AH106" s="78">
        <f>IF(OR(N($Q106)&gt;0,N($R106)&gt;0),IF($G106="",1,IF(COUNTIF('MASTER BUDGET'!$D$6:$D$25,$G106)=0,1,0)),0)</f>
      </c>
      <c r="AI106" s="78">
        <f>IF($C106="",0,IF(COUNTIF('PEOPLE + BUDGETS'!$B$6:$B$105,$C106)=0,1,0))</f>
      </c>
      <c r="AJ106" s="78">
        <f>IF($U106="",0,IF(COUNTIF('ONLINE ORDERS'!$B$6:$B$155,$U106)=0,1,0))</f>
      </c>
      <c r="AK106" s="75"/>
    </row>
    <row r="107" ht="17" customHeight="1" spans="1:37" x14ac:dyDescent="0.25">
      <c r="A107" s="75"/>
      <c r="B107" s="79"/>
      <c r="C107" s="79"/>
      <c r="D107" s="78">
        <f>IF($B107="","",IF($C107="","",IFERROR(IF(INDEX('PEOPLE + BUDGETS'!$C$6:$C$105,MATCH($C107,'PEOPLE + BUDGETS'!$B$6:$B$105,0))="","",INDEX('PEOPLE + BUDGETS'!$C$6:$C$105,MATCH($C107,'PEOPLE + BUDGETS'!$B$6:$B$105,0))),"")))</f>
      </c>
      <c r="E107" s="78">
        <f>IF($B107="","",IF(OR($S107="Cancelled",$S107="Returned"),"No",IFERROR(INDEX('PEOPLE + BUDGETS'!$O$6:$O$105,MATCH($C107,'PEOPLE + BUDGETS'!$B$6:$B$105,0)),"Yes")))</f>
      </c>
      <c r="F107" s="80"/>
      <c r="G107" s="79"/>
      <c r="H107" s="79"/>
      <c r="I107" s="79"/>
      <c r="J107" s="80"/>
      <c r="K107" s="79"/>
      <c r="L107" s="90"/>
      <c r="M107" s="86"/>
      <c r="N107" s="86"/>
      <c r="O107" s="86"/>
      <c r="P107" s="86"/>
      <c r="Q107" s="85">
        <f>IF($B107="","",ROUND(MAX(0,$L107*$M107-$N107)+$O107+$P107,2))</f>
      </c>
      <c r="R107" s="86"/>
      <c r="S107" s="79"/>
      <c r="T107" s="78">
        <f>IF($B107="","",IF($S107="Purchased","Yes","No"))</f>
      </c>
      <c r="U107" s="79"/>
      <c r="V107" s="79"/>
      <c r="W107" s="78">
        <f>IF($B107="","",IF($U107="","—",IF($U107="","",IFERROR(IF(INDEX('ONLINE ORDERS'!$M$6:$M$155,MATCH($U107,'ONLINE ORDERS'!$B$6:$B$155,0))="","",INDEX('ONLINE ORDERS'!$M$6:$M$155,MATCH($U107,'ONLINE ORDERS'!$B$6:$B$155,0))),""))))</f>
      </c>
      <c r="X107" s="79"/>
      <c r="Y107" s="79"/>
      <c r="Z107" s="79"/>
      <c r="AA107" s="79"/>
      <c r="AB107" s="82"/>
      <c r="AC107" s="82"/>
      <c r="AD107" s="78">
        <f>IF($F107="","",LOWER(TRIM($C107&amp;"|"&amp;TRIM($F107))))</f>
      </c>
      <c r="AE107" s="78">
        <f>IF($AD107="","",IF(COUNTIF('GIFT PLANNER'!$AD$6:$AD$205,$AD107)&gt;1,"CHECK DUPLICATE",""))</f>
      </c>
      <c r="AF107" s="80"/>
      <c r="AG107" s="78">
        <f>IF($B107="",0,IF(COUNTIF('GIFT PLANNER'!$B$6:$B$205,$B107)&gt;1,1,0))</f>
      </c>
      <c r="AH107" s="78">
        <f>IF(OR(N($Q107)&gt;0,N($R107)&gt;0),IF($G107="",1,IF(COUNTIF('MASTER BUDGET'!$D$6:$D$25,$G107)=0,1,0)),0)</f>
      </c>
      <c r="AI107" s="78">
        <f>IF($C107="",0,IF(COUNTIF('PEOPLE + BUDGETS'!$B$6:$B$105,$C107)=0,1,0))</f>
      </c>
      <c r="AJ107" s="78">
        <f>IF($U107="",0,IF(COUNTIF('ONLINE ORDERS'!$B$6:$B$155,$U107)=0,1,0))</f>
      </c>
      <c r="AK107" s="75"/>
    </row>
    <row r="108" ht="17" customHeight="1" spans="1:37" x14ac:dyDescent="0.25">
      <c r="A108" s="75"/>
      <c r="B108" s="79"/>
      <c r="C108" s="79"/>
      <c r="D108" s="78">
        <f>IF($B108="","",IF($C108="","",IFERROR(IF(INDEX('PEOPLE + BUDGETS'!$C$6:$C$105,MATCH($C108,'PEOPLE + BUDGETS'!$B$6:$B$105,0))="","",INDEX('PEOPLE + BUDGETS'!$C$6:$C$105,MATCH($C108,'PEOPLE + BUDGETS'!$B$6:$B$105,0))),"")))</f>
      </c>
      <c r="E108" s="78">
        <f>IF($B108="","",IF(OR($S108="Cancelled",$S108="Returned"),"No",IFERROR(INDEX('PEOPLE + BUDGETS'!$O$6:$O$105,MATCH($C108,'PEOPLE + BUDGETS'!$B$6:$B$105,0)),"Yes")))</f>
      </c>
      <c r="F108" s="80"/>
      <c r="G108" s="79"/>
      <c r="H108" s="79"/>
      <c r="I108" s="79"/>
      <c r="J108" s="80"/>
      <c r="K108" s="79"/>
      <c r="L108" s="90"/>
      <c r="M108" s="86"/>
      <c r="N108" s="86"/>
      <c r="O108" s="86"/>
      <c r="P108" s="86"/>
      <c r="Q108" s="85">
        <f>IF($B108="","",ROUND(MAX(0,$L108*$M108-$N108)+$O108+$P108,2))</f>
      </c>
      <c r="R108" s="86"/>
      <c r="S108" s="79"/>
      <c r="T108" s="78">
        <f>IF($B108="","",IF($S108="Purchased","Yes","No"))</f>
      </c>
      <c r="U108" s="79"/>
      <c r="V108" s="79"/>
      <c r="W108" s="78">
        <f>IF($B108="","",IF($U108="","—",IF($U108="","",IFERROR(IF(INDEX('ONLINE ORDERS'!$M$6:$M$155,MATCH($U108,'ONLINE ORDERS'!$B$6:$B$155,0))="","",INDEX('ONLINE ORDERS'!$M$6:$M$155,MATCH($U108,'ONLINE ORDERS'!$B$6:$B$155,0))),""))))</f>
      </c>
      <c r="X108" s="79"/>
      <c r="Y108" s="79"/>
      <c r="Z108" s="79"/>
      <c r="AA108" s="79"/>
      <c r="AB108" s="82"/>
      <c r="AC108" s="82"/>
      <c r="AD108" s="78">
        <f>IF($F108="","",LOWER(TRIM($C108&amp;"|"&amp;TRIM($F108))))</f>
      </c>
      <c r="AE108" s="78">
        <f>IF($AD108="","",IF(COUNTIF('GIFT PLANNER'!$AD$6:$AD$205,$AD108)&gt;1,"CHECK DUPLICATE",""))</f>
      </c>
      <c r="AF108" s="80"/>
      <c r="AG108" s="78">
        <f>IF($B108="",0,IF(COUNTIF('GIFT PLANNER'!$B$6:$B$205,$B108)&gt;1,1,0))</f>
      </c>
      <c r="AH108" s="78">
        <f>IF(OR(N($Q108)&gt;0,N($R108)&gt;0),IF($G108="",1,IF(COUNTIF('MASTER BUDGET'!$D$6:$D$25,$G108)=0,1,0)),0)</f>
      </c>
      <c r="AI108" s="78">
        <f>IF($C108="",0,IF(COUNTIF('PEOPLE + BUDGETS'!$B$6:$B$105,$C108)=0,1,0))</f>
      </c>
      <c r="AJ108" s="78">
        <f>IF($U108="",0,IF(COUNTIF('ONLINE ORDERS'!$B$6:$B$155,$U108)=0,1,0))</f>
      </c>
      <c r="AK108" s="75"/>
    </row>
    <row r="109" ht="17" customHeight="1" spans="1:37" x14ac:dyDescent="0.25">
      <c r="A109" s="75"/>
      <c r="B109" s="79"/>
      <c r="C109" s="79"/>
      <c r="D109" s="78">
        <f>IF($B109="","",IF($C109="","",IFERROR(IF(INDEX('PEOPLE + BUDGETS'!$C$6:$C$105,MATCH($C109,'PEOPLE + BUDGETS'!$B$6:$B$105,0))="","",INDEX('PEOPLE + BUDGETS'!$C$6:$C$105,MATCH($C109,'PEOPLE + BUDGETS'!$B$6:$B$105,0))),"")))</f>
      </c>
      <c r="E109" s="78">
        <f>IF($B109="","",IF(OR($S109="Cancelled",$S109="Returned"),"No",IFERROR(INDEX('PEOPLE + BUDGETS'!$O$6:$O$105,MATCH($C109,'PEOPLE + BUDGETS'!$B$6:$B$105,0)),"Yes")))</f>
      </c>
      <c r="F109" s="80"/>
      <c r="G109" s="79"/>
      <c r="H109" s="79"/>
      <c r="I109" s="79"/>
      <c r="J109" s="80"/>
      <c r="K109" s="79"/>
      <c r="L109" s="90"/>
      <c r="M109" s="86"/>
      <c r="N109" s="86"/>
      <c r="O109" s="86"/>
      <c r="P109" s="86"/>
      <c r="Q109" s="85">
        <f>IF($B109="","",ROUND(MAX(0,$L109*$M109-$N109)+$O109+$P109,2))</f>
      </c>
      <c r="R109" s="86"/>
      <c r="S109" s="79"/>
      <c r="T109" s="78">
        <f>IF($B109="","",IF($S109="Purchased","Yes","No"))</f>
      </c>
      <c r="U109" s="79"/>
      <c r="V109" s="79"/>
      <c r="W109" s="78">
        <f>IF($B109="","",IF($U109="","—",IF($U109="","",IFERROR(IF(INDEX('ONLINE ORDERS'!$M$6:$M$155,MATCH($U109,'ONLINE ORDERS'!$B$6:$B$155,0))="","",INDEX('ONLINE ORDERS'!$M$6:$M$155,MATCH($U109,'ONLINE ORDERS'!$B$6:$B$155,0))),""))))</f>
      </c>
      <c r="X109" s="79"/>
      <c r="Y109" s="79"/>
      <c r="Z109" s="79"/>
      <c r="AA109" s="79"/>
      <c r="AB109" s="82"/>
      <c r="AC109" s="82"/>
      <c r="AD109" s="78">
        <f>IF($F109="","",LOWER(TRIM($C109&amp;"|"&amp;TRIM($F109))))</f>
      </c>
      <c r="AE109" s="78">
        <f>IF($AD109="","",IF(COUNTIF('GIFT PLANNER'!$AD$6:$AD$205,$AD109)&gt;1,"CHECK DUPLICATE",""))</f>
      </c>
      <c r="AF109" s="80"/>
      <c r="AG109" s="78">
        <f>IF($B109="",0,IF(COUNTIF('GIFT PLANNER'!$B$6:$B$205,$B109)&gt;1,1,0))</f>
      </c>
      <c r="AH109" s="78">
        <f>IF(OR(N($Q109)&gt;0,N($R109)&gt;0),IF($G109="",1,IF(COUNTIF('MASTER BUDGET'!$D$6:$D$25,$G109)=0,1,0)),0)</f>
      </c>
      <c r="AI109" s="78">
        <f>IF($C109="",0,IF(COUNTIF('PEOPLE + BUDGETS'!$B$6:$B$105,$C109)=0,1,0))</f>
      </c>
      <c r="AJ109" s="78">
        <f>IF($U109="",0,IF(COUNTIF('ONLINE ORDERS'!$B$6:$B$155,$U109)=0,1,0))</f>
      </c>
      <c r="AK109" s="75"/>
    </row>
    <row r="110" ht="17" customHeight="1" spans="1:37" x14ac:dyDescent="0.25">
      <c r="A110" s="75"/>
      <c r="B110" s="79"/>
      <c r="C110" s="79"/>
      <c r="D110" s="78">
        <f>IF($B110="","",IF($C110="","",IFERROR(IF(INDEX('PEOPLE + BUDGETS'!$C$6:$C$105,MATCH($C110,'PEOPLE + BUDGETS'!$B$6:$B$105,0))="","",INDEX('PEOPLE + BUDGETS'!$C$6:$C$105,MATCH($C110,'PEOPLE + BUDGETS'!$B$6:$B$105,0))),"")))</f>
      </c>
      <c r="E110" s="78">
        <f>IF($B110="","",IF(OR($S110="Cancelled",$S110="Returned"),"No",IFERROR(INDEX('PEOPLE + BUDGETS'!$O$6:$O$105,MATCH($C110,'PEOPLE + BUDGETS'!$B$6:$B$105,0)),"Yes")))</f>
      </c>
      <c r="F110" s="80"/>
      <c r="G110" s="79"/>
      <c r="H110" s="79"/>
      <c r="I110" s="79"/>
      <c r="J110" s="80"/>
      <c r="K110" s="79"/>
      <c r="L110" s="90"/>
      <c r="M110" s="86"/>
      <c r="N110" s="86"/>
      <c r="O110" s="86"/>
      <c r="P110" s="86"/>
      <c r="Q110" s="85">
        <f>IF($B110="","",ROUND(MAX(0,$L110*$M110-$N110)+$O110+$P110,2))</f>
      </c>
      <c r="R110" s="86"/>
      <c r="S110" s="79"/>
      <c r="T110" s="78">
        <f>IF($B110="","",IF($S110="Purchased","Yes","No"))</f>
      </c>
      <c r="U110" s="79"/>
      <c r="V110" s="79"/>
      <c r="W110" s="78">
        <f>IF($B110="","",IF($U110="","—",IF($U110="","",IFERROR(IF(INDEX('ONLINE ORDERS'!$M$6:$M$155,MATCH($U110,'ONLINE ORDERS'!$B$6:$B$155,0))="","",INDEX('ONLINE ORDERS'!$M$6:$M$155,MATCH($U110,'ONLINE ORDERS'!$B$6:$B$155,0))),""))))</f>
      </c>
      <c r="X110" s="79"/>
      <c r="Y110" s="79"/>
      <c r="Z110" s="79"/>
      <c r="AA110" s="79"/>
      <c r="AB110" s="82"/>
      <c r="AC110" s="82"/>
      <c r="AD110" s="78">
        <f>IF($F110="","",LOWER(TRIM($C110&amp;"|"&amp;TRIM($F110))))</f>
      </c>
      <c r="AE110" s="78">
        <f>IF($AD110="","",IF(COUNTIF('GIFT PLANNER'!$AD$6:$AD$205,$AD110)&gt;1,"CHECK DUPLICATE",""))</f>
      </c>
      <c r="AF110" s="80"/>
      <c r="AG110" s="78">
        <f>IF($B110="",0,IF(COUNTIF('GIFT PLANNER'!$B$6:$B$205,$B110)&gt;1,1,0))</f>
      </c>
      <c r="AH110" s="78">
        <f>IF(OR(N($Q110)&gt;0,N($R110)&gt;0),IF($G110="",1,IF(COUNTIF('MASTER BUDGET'!$D$6:$D$25,$G110)=0,1,0)),0)</f>
      </c>
      <c r="AI110" s="78">
        <f>IF($C110="",0,IF(COUNTIF('PEOPLE + BUDGETS'!$B$6:$B$105,$C110)=0,1,0))</f>
      </c>
      <c r="AJ110" s="78">
        <f>IF($U110="",0,IF(COUNTIF('ONLINE ORDERS'!$B$6:$B$155,$U110)=0,1,0))</f>
      </c>
      <c r="AK110" s="75"/>
    </row>
    <row r="111" ht="17" customHeight="1" spans="1:37" x14ac:dyDescent="0.25">
      <c r="A111" s="75"/>
      <c r="B111" s="79"/>
      <c r="C111" s="79"/>
      <c r="D111" s="78">
        <f>IF($B111="","",IF($C111="","",IFERROR(IF(INDEX('PEOPLE + BUDGETS'!$C$6:$C$105,MATCH($C111,'PEOPLE + BUDGETS'!$B$6:$B$105,0))="","",INDEX('PEOPLE + BUDGETS'!$C$6:$C$105,MATCH($C111,'PEOPLE + BUDGETS'!$B$6:$B$105,0))),"")))</f>
      </c>
      <c r="E111" s="78">
        <f>IF($B111="","",IF(OR($S111="Cancelled",$S111="Returned"),"No",IFERROR(INDEX('PEOPLE + BUDGETS'!$O$6:$O$105,MATCH($C111,'PEOPLE + BUDGETS'!$B$6:$B$105,0)),"Yes")))</f>
      </c>
      <c r="F111" s="80"/>
      <c r="G111" s="79"/>
      <c r="H111" s="79"/>
      <c r="I111" s="79"/>
      <c r="J111" s="80"/>
      <c r="K111" s="79"/>
      <c r="L111" s="90"/>
      <c r="M111" s="86"/>
      <c r="N111" s="86"/>
      <c r="O111" s="86"/>
      <c r="P111" s="86"/>
      <c r="Q111" s="85">
        <f>IF($B111="","",ROUND(MAX(0,$L111*$M111-$N111)+$O111+$P111,2))</f>
      </c>
      <c r="R111" s="86"/>
      <c r="S111" s="79"/>
      <c r="T111" s="78">
        <f>IF($B111="","",IF($S111="Purchased","Yes","No"))</f>
      </c>
      <c r="U111" s="79"/>
      <c r="V111" s="79"/>
      <c r="W111" s="78">
        <f>IF($B111="","",IF($U111="","—",IF($U111="","",IFERROR(IF(INDEX('ONLINE ORDERS'!$M$6:$M$155,MATCH($U111,'ONLINE ORDERS'!$B$6:$B$155,0))="","",INDEX('ONLINE ORDERS'!$M$6:$M$155,MATCH($U111,'ONLINE ORDERS'!$B$6:$B$155,0))),""))))</f>
      </c>
      <c r="X111" s="79"/>
      <c r="Y111" s="79"/>
      <c r="Z111" s="79"/>
      <c r="AA111" s="79"/>
      <c r="AB111" s="82"/>
      <c r="AC111" s="82"/>
      <c r="AD111" s="78">
        <f>IF($F111="","",LOWER(TRIM($C111&amp;"|"&amp;TRIM($F111))))</f>
      </c>
      <c r="AE111" s="78">
        <f>IF($AD111="","",IF(COUNTIF('GIFT PLANNER'!$AD$6:$AD$205,$AD111)&gt;1,"CHECK DUPLICATE",""))</f>
      </c>
      <c r="AF111" s="80"/>
      <c r="AG111" s="78">
        <f>IF($B111="",0,IF(COUNTIF('GIFT PLANNER'!$B$6:$B$205,$B111)&gt;1,1,0))</f>
      </c>
      <c r="AH111" s="78">
        <f>IF(OR(N($Q111)&gt;0,N($R111)&gt;0),IF($G111="",1,IF(COUNTIF('MASTER BUDGET'!$D$6:$D$25,$G111)=0,1,0)),0)</f>
      </c>
      <c r="AI111" s="78">
        <f>IF($C111="",0,IF(COUNTIF('PEOPLE + BUDGETS'!$B$6:$B$105,$C111)=0,1,0))</f>
      </c>
      <c r="AJ111" s="78">
        <f>IF($U111="",0,IF(COUNTIF('ONLINE ORDERS'!$B$6:$B$155,$U111)=0,1,0))</f>
      </c>
      <c r="AK111" s="75"/>
    </row>
    <row r="112" ht="17" customHeight="1" spans="1:37" x14ac:dyDescent="0.25">
      <c r="A112" s="75"/>
      <c r="B112" s="79"/>
      <c r="C112" s="79"/>
      <c r="D112" s="78">
        <f>IF($B112="","",IF($C112="","",IFERROR(IF(INDEX('PEOPLE + BUDGETS'!$C$6:$C$105,MATCH($C112,'PEOPLE + BUDGETS'!$B$6:$B$105,0))="","",INDEX('PEOPLE + BUDGETS'!$C$6:$C$105,MATCH($C112,'PEOPLE + BUDGETS'!$B$6:$B$105,0))),"")))</f>
      </c>
      <c r="E112" s="78">
        <f>IF($B112="","",IF(OR($S112="Cancelled",$S112="Returned"),"No",IFERROR(INDEX('PEOPLE + BUDGETS'!$O$6:$O$105,MATCH($C112,'PEOPLE + BUDGETS'!$B$6:$B$105,0)),"Yes")))</f>
      </c>
      <c r="F112" s="80"/>
      <c r="G112" s="79"/>
      <c r="H112" s="79"/>
      <c r="I112" s="79"/>
      <c r="J112" s="80"/>
      <c r="K112" s="79"/>
      <c r="L112" s="90"/>
      <c r="M112" s="86"/>
      <c r="N112" s="86"/>
      <c r="O112" s="86"/>
      <c r="P112" s="86"/>
      <c r="Q112" s="85">
        <f>IF($B112="","",ROUND(MAX(0,$L112*$M112-$N112)+$O112+$P112,2))</f>
      </c>
      <c r="R112" s="86"/>
      <c r="S112" s="79"/>
      <c r="T112" s="78">
        <f>IF($B112="","",IF($S112="Purchased","Yes","No"))</f>
      </c>
      <c r="U112" s="79"/>
      <c r="V112" s="79"/>
      <c r="W112" s="78">
        <f>IF($B112="","",IF($U112="","—",IF($U112="","",IFERROR(IF(INDEX('ONLINE ORDERS'!$M$6:$M$155,MATCH($U112,'ONLINE ORDERS'!$B$6:$B$155,0))="","",INDEX('ONLINE ORDERS'!$M$6:$M$155,MATCH($U112,'ONLINE ORDERS'!$B$6:$B$155,0))),""))))</f>
      </c>
      <c r="X112" s="79"/>
      <c r="Y112" s="79"/>
      <c r="Z112" s="79"/>
      <c r="AA112" s="79"/>
      <c r="AB112" s="82"/>
      <c r="AC112" s="82"/>
      <c r="AD112" s="78">
        <f>IF($F112="","",LOWER(TRIM($C112&amp;"|"&amp;TRIM($F112))))</f>
      </c>
      <c r="AE112" s="78">
        <f>IF($AD112="","",IF(COUNTIF('GIFT PLANNER'!$AD$6:$AD$205,$AD112)&gt;1,"CHECK DUPLICATE",""))</f>
      </c>
      <c r="AF112" s="80"/>
      <c r="AG112" s="78">
        <f>IF($B112="",0,IF(COUNTIF('GIFT PLANNER'!$B$6:$B$205,$B112)&gt;1,1,0))</f>
      </c>
      <c r="AH112" s="78">
        <f>IF(OR(N($Q112)&gt;0,N($R112)&gt;0),IF($G112="",1,IF(COUNTIF('MASTER BUDGET'!$D$6:$D$25,$G112)=0,1,0)),0)</f>
      </c>
      <c r="AI112" s="78">
        <f>IF($C112="",0,IF(COUNTIF('PEOPLE + BUDGETS'!$B$6:$B$105,$C112)=0,1,0))</f>
      </c>
      <c r="AJ112" s="78">
        <f>IF($U112="",0,IF(COUNTIF('ONLINE ORDERS'!$B$6:$B$155,$U112)=0,1,0))</f>
      </c>
      <c r="AK112" s="75"/>
    </row>
    <row r="113" ht="17" customHeight="1" spans="1:37" x14ac:dyDescent="0.25">
      <c r="A113" s="75"/>
      <c r="B113" s="79"/>
      <c r="C113" s="79"/>
      <c r="D113" s="78">
        <f>IF($B113="","",IF($C113="","",IFERROR(IF(INDEX('PEOPLE + BUDGETS'!$C$6:$C$105,MATCH($C113,'PEOPLE + BUDGETS'!$B$6:$B$105,0))="","",INDEX('PEOPLE + BUDGETS'!$C$6:$C$105,MATCH($C113,'PEOPLE + BUDGETS'!$B$6:$B$105,0))),"")))</f>
      </c>
      <c r="E113" s="78">
        <f>IF($B113="","",IF(OR($S113="Cancelled",$S113="Returned"),"No",IFERROR(INDEX('PEOPLE + BUDGETS'!$O$6:$O$105,MATCH($C113,'PEOPLE + BUDGETS'!$B$6:$B$105,0)),"Yes")))</f>
      </c>
      <c r="F113" s="80"/>
      <c r="G113" s="79"/>
      <c r="H113" s="79"/>
      <c r="I113" s="79"/>
      <c r="J113" s="80"/>
      <c r="K113" s="79"/>
      <c r="L113" s="90"/>
      <c r="M113" s="86"/>
      <c r="N113" s="86"/>
      <c r="O113" s="86"/>
      <c r="P113" s="86"/>
      <c r="Q113" s="85">
        <f>IF($B113="","",ROUND(MAX(0,$L113*$M113-$N113)+$O113+$P113,2))</f>
      </c>
      <c r="R113" s="86"/>
      <c r="S113" s="79"/>
      <c r="T113" s="78">
        <f>IF($B113="","",IF($S113="Purchased","Yes","No"))</f>
      </c>
      <c r="U113" s="79"/>
      <c r="V113" s="79"/>
      <c r="W113" s="78">
        <f>IF($B113="","",IF($U113="","—",IF($U113="","",IFERROR(IF(INDEX('ONLINE ORDERS'!$M$6:$M$155,MATCH($U113,'ONLINE ORDERS'!$B$6:$B$155,0))="","",INDEX('ONLINE ORDERS'!$M$6:$M$155,MATCH($U113,'ONLINE ORDERS'!$B$6:$B$155,0))),""))))</f>
      </c>
      <c r="X113" s="79"/>
      <c r="Y113" s="79"/>
      <c r="Z113" s="79"/>
      <c r="AA113" s="79"/>
      <c r="AB113" s="82"/>
      <c r="AC113" s="82"/>
      <c r="AD113" s="78">
        <f>IF($F113="","",LOWER(TRIM($C113&amp;"|"&amp;TRIM($F113))))</f>
      </c>
      <c r="AE113" s="78">
        <f>IF($AD113="","",IF(COUNTIF('GIFT PLANNER'!$AD$6:$AD$205,$AD113)&gt;1,"CHECK DUPLICATE",""))</f>
      </c>
      <c r="AF113" s="80"/>
      <c r="AG113" s="78">
        <f>IF($B113="",0,IF(COUNTIF('GIFT PLANNER'!$B$6:$B$205,$B113)&gt;1,1,0))</f>
      </c>
      <c r="AH113" s="78">
        <f>IF(OR(N($Q113)&gt;0,N($R113)&gt;0),IF($G113="",1,IF(COUNTIF('MASTER BUDGET'!$D$6:$D$25,$G113)=0,1,0)),0)</f>
      </c>
      <c r="AI113" s="78">
        <f>IF($C113="",0,IF(COUNTIF('PEOPLE + BUDGETS'!$B$6:$B$105,$C113)=0,1,0))</f>
      </c>
      <c r="AJ113" s="78">
        <f>IF($U113="",0,IF(COUNTIF('ONLINE ORDERS'!$B$6:$B$155,$U113)=0,1,0))</f>
      </c>
      <c r="AK113" s="75"/>
    </row>
    <row r="114" ht="17" customHeight="1" spans="1:37" x14ac:dyDescent="0.25">
      <c r="A114" s="75"/>
      <c r="B114" s="79"/>
      <c r="C114" s="79"/>
      <c r="D114" s="78">
        <f>IF($B114="","",IF($C114="","",IFERROR(IF(INDEX('PEOPLE + BUDGETS'!$C$6:$C$105,MATCH($C114,'PEOPLE + BUDGETS'!$B$6:$B$105,0))="","",INDEX('PEOPLE + BUDGETS'!$C$6:$C$105,MATCH($C114,'PEOPLE + BUDGETS'!$B$6:$B$105,0))),"")))</f>
      </c>
      <c r="E114" s="78">
        <f>IF($B114="","",IF(OR($S114="Cancelled",$S114="Returned"),"No",IFERROR(INDEX('PEOPLE + BUDGETS'!$O$6:$O$105,MATCH($C114,'PEOPLE + BUDGETS'!$B$6:$B$105,0)),"Yes")))</f>
      </c>
      <c r="F114" s="80"/>
      <c r="G114" s="79"/>
      <c r="H114" s="79"/>
      <c r="I114" s="79"/>
      <c r="J114" s="80"/>
      <c r="K114" s="79"/>
      <c r="L114" s="90"/>
      <c r="M114" s="86"/>
      <c r="N114" s="86"/>
      <c r="O114" s="86"/>
      <c r="P114" s="86"/>
      <c r="Q114" s="85">
        <f>IF($B114="","",ROUND(MAX(0,$L114*$M114-$N114)+$O114+$P114,2))</f>
      </c>
      <c r="R114" s="86"/>
      <c r="S114" s="79"/>
      <c r="T114" s="78">
        <f>IF($B114="","",IF($S114="Purchased","Yes","No"))</f>
      </c>
      <c r="U114" s="79"/>
      <c r="V114" s="79"/>
      <c r="W114" s="78">
        <f>IF($B114="","",IF($U114="","—",IF($U114="","",IFERROR(IF(INDEX('ONLINE ORDERS'!$M$6:$M$155,MATCH($U114,'ONLINE ORDERS'!$B$6:$B$155,0))="","",INDEX('ONLINE ORDERS'!$M$6:$M$155,MATCH($U114,'ONLINE ORDERS'!$B$6:$B$155,0))),""))))</f>
      </c>
      <c r="X114" s="79"/>
      <c r="Y114" s="79"/>
      <c r="Z114" s="79"/>
      <c r="AA114" s="79"/>
      <c r="AB114" s="82"/>
      <c r="AC114" s="82"/>
      <c r="AD114" s="78">
        <f>IF($F114="","",LOWER(TRIM($C114&amp;"|"&amp;TRIM($F114))))</f>
      </c>
      <c r="AE114" s="78">
        <f>IF($AD114="","",IF(COUNTIF('GIFT PLANNER'!$AD$6:$AD$205,$AD114)&gt;1,"CHECK DUPLICATE",""))</f>
      </c>
      <c r="AF114" s="80"/>
      <c r="AG114" s="78">
        <f>IF($B114="",0,IF(COUNTIF('GIFT PLANNER'!$B$6:$B$205,$B114)&gt;1,1,0))</f>
      </c>
      <c r="AH114" s="78">
        <f>IF(OR(N($Q114)&gt;0,N($R114)&gt;0),IF($G114="",1,IF(COUNTIF('MASTER BUDGET'!$D$6:$D$25,$G114)=0,1,0)),0)</f>
      </c>
      <c r="AI114" s="78">
        <f>IF($C114="",0,IF(COUNTIF('PEOPLE + BUDGETS'!$B$6:$B$105,$C114)=0,1,0))</f>
      </c>
      <c r="AJ114" s="78">
        <f>IF($U114="",0,IF(COUNTIF('ONLINE ORDERS'!$B$6:$B$155,$U114)=0,1,0))</f>
      </c>
      <c r="AK114" s="75"/>
    </row>
    <row r="115" ht="17" customHeight="1" spans="1:37" x14ac:dyDescent="0.25">
      <c r="A115" s="75"/>
      <c r="B115" s="79"/>
      <c r="C115" s="79"/>
      <c r="D115" s="78">
        <f>IF($B115="","",IF($C115="","",IFERROR(IF(INDEX('PEOPLE + BUDGETS'!$C$6:$C$105,MATCH($C115,'PEOPLE + BUDGETS'!$B$6:$B$105,0))="","",INDEX('PEOPLE + BUDGETS'!$C$6:$C$105,MATCH($C115,'PEOPLE + BUDGETS'!$B$6:$B$105,0))),"")))</f>
      </c>
      <c r="E115" s="78">
        <f>IF($B115="","",IF(OR($S115="Cancelled",$S115="Returned"),"No",IFERROR(INDEX('PEOPLE + BUDGETS'!$O$6:$O$105,MATCH($C115,'PEOPLE + BUDGETS'!$B$6:$B$105,0)),"Yes")))</f>
      </c>
      <c r="F115" s="80"/>
      <c r="G115" s="79"/>
      <c r="H115" s="79"/>
      <c r="I115" s="79"/>
      <c r="J115" s="80"/>
      <c r="K115" s="79"/>
      <c r="L115" s="90"/>
      <c r="M115" s="86"/>
      <c r="N115" s="86"/>
      <c r="O115" s="86"/>
      <c r="P115" s="86"/>
      <c r="Q115" s="85">
        <f>IF($B115="","",ROUND(MAX(0,$L115*$M115-$N115)+$O115+$P115,2))</f>
      </c>
      <c r="R115" s="86"/>
      <c r="S115" s="79"/>
      <c r="T115" s="78">
        <f>IF($B115="","",IF($S115="Purchased","Yes","No"))</f>
      </c>
      <c r="U115" s="79"/>
      <c r="V115" s="79"/>
      <c r="W115" s="78">
        <f>IF($B115="","",IF($U115="","—",IF($U115="","",IFERROR(IF(INDEX('ONLINE ORDERS'!$M$6:$M$155,MATCH($U115,'ONLINE ORDERS'!$B$6:$B$155,0))="","",INDEX('ONLINE ORDERS'!$M$6:$M$155,MATCH($U115,'ONLINE ORDERS'!$B$6:$B$155,0))),""))))</f>
      </c>
      <c r="X115" s="79"/>
      <c r="Y115" s="79"/>
      <c r="Z115" s="79"/>
      <c r="AA115" s="79"/>
      <c r="AB115" s="82"/>
      <c r="AC115" s="82"/>
      <c r="AD115" s="78">
        <f>IF($F115="","",LOWER(TRIM($C115&amp;"|"&amp;TRIM($F115))))</f>
      </c>
      <c r="AE115" s="78">
        <f>IF($AD115="","",IF(COUNTIF('GIFT PLANNER'!$AD$6:$AD$205,$AD115)&gt;1,"CHECK DUPLICATE",""))</f>
      </c>
      <c r="AF115" s="80"/>
      <c r="AG115" s="78">
        <f>IF($B115="",0,IF(COUNTIF('GIFT PLANNER'!$B$6:$B$205,$B115)&gt;1,1,0))</f>
      </c>
      <c r="AH115" s="78">
        <f>IF(OR(N($Q115)&gt;0,N($R115)&gt;0),IF($G115="",1,IF(COUNTIF('MASTER BUDGET'!$D$6:$D$25,$G115)=0,1,0)),0)</f>
      </c>
      <c r="AI115" s="78">
        <f>IF($C115="",0,IF(COUNTIF('PEOPLE + BUDGETS'!$B$6:$B$105,$C115)=0,1,0))</f>
      </c>
      <c r="AJ115" s="78">
        <f>IF($U115="",0,IF(COUNTIF('ONLINE ORDERS'!$B$6:$B$155,$U115)=0,1,0))</f>
      </c>
      <c r="AK115" s="75"/>
    </row>
    <row r="116" ht="17" customHeight="1" spans="1:37" x14ac:dyDescent="0.25">
      <c r="A116" s="75"/>
      <c r="B116" s="79"/>
      <c r="C116" s="79"/>
      <c r="D116" s="78">
        <f>IF($B116="","",IF($C116="","",IFERROR(IF(INDEX('PEOPLE + BUDGETS'!$C$6:$C$105,MATCH($C116,'PEOPLE + BUDGETS'!$B$6:$B$105,0))="","",INDEX('PEOPLE + BUDGETS'!$C$6:$C$105,MATCH($C116,'PEOPLE + BUDGETS'!$B$6:$B$105,0))),"")))</f>
      </c>
      <c r="E116" s="78">
        <f>IF($B116="","",IF(OR($S116="Cancelled",$S116="Returned"),"No",IFERROR(INDEX('PEOPLE + BUDGETS'!$O$6:$O$105,MATCH($C116,'PEOPLE + BUDGETS'!$B$6:$B$105,0)),"Yes")))</f>
      </c>
      <c r="F116" s="80"/>
      <c r="G116" s="79"/>
      <c r="H116" s="79"/>
      <c r="I116" s="79"/>
      <c r="J116" s="80"/>
      <c r="K116" s="79"/>
      <c r="L116" s="90"/>
      <c r="M116" s="86"/>
      <c r="N116" s="86"/>
      <c r="O116" s="86"/>
      <c r="P116" s="86"/>
      <c r="Q116" s="85">
        <f>IF($B116="","",ROUND(MAX(0,$L116*$M116-$N116)+$O116+$P116,2))</f>
      </c>
      <c r="R116" s="86"/>
      <c r="S116" s="79"/>
      <c r="T116" s="78">
        <f>IF($B116="","",IF($S116="Purchased","Yes","No"))</f>
      </c>
      <c r="U116" s="79"/>
      <c r="V116" s="79"/>
      <c r="W116" s="78">
        <f>IF($B116="","",IF($U116="","—",IF($U116="","",IFERROR(IF(INDEX('ONLINE ORDERS'!$M$6:$M$155,MATCH($U116,'ONLINE ORDERS'!$B$6:$B$155,0))="","",INDEX('ONLINE ORDERS'!$M$6:$M$155,MATCH($U116,'ONLINE ORDERS'!$B$6:$B$155,0))),""))))</f>
      </c>
      <c r="X116" s="79"/>
      <c r="Y116" s="79"/>
      <c r="Z116" s="79"/>
      <c r="AA116" s="79"/>
      <c r="AB116" s="82"/>
      <c r="AC116" s="82"/>
      <c r="AD116" s="78">
        <f>IF($F116="","",LOWER(TRIM($C116&amp;"|"&amp;TRIM($F116))))</f>
      </c>
      <c r="AE116" s="78">
        <f>IF($AD116="","",IF(COUNTIF('GIFT PLANNER'!$AD$6:$AD$205,$AD116)&gt;1,"CHECK DUPLICATE",""))</f>
      </c>
      <c r="AF116" s="80"/>
      <c r="AG116" s="78">
        <f>IF($B116="",0,IF(COUNTIF('GIFT PLANNER'!$B$6:$B$205,$B116)&gt;1,1,0))</f>
      </c>
      <c r="AH116" s="78">
        <f>IF(OR(N($Q116)&gt;0,N($R116)&gt;0),IF($G116="",1,IF(COUNTIF('MASTER BUDGET'!$D$6:$D$25,$G116)=0,1,0)),0)</f>
      </c>
      <c r="AI116" s="78">
        <f>IF($C116="",0,IF(COUNTIF('PEOPLE + BUDGETS'!$B$6:$B$105,$C116)=0,1,0))</f>
      </c>
      <c r="AJ116" s="78">
        <f>IF($U116="",0,IF(COUNTIF('ONLINE ORDERS'!$B$6:$B$155,$U116)=0,1,0))</f>
      </c>
      <c r="AK116" s="75"/>
    </row>
    <row r="117" ht="17" customHeight="1" spans="1:37" x14ac:dyDescent="0.25">
      <c r="A117" s="75"/>
      <c r="B117" s="79"/>
      <c r="C117" s="79"/>
      <c r="D117" s="78">
        <f>IF($B117="","",IF($C117="","",IFERROR(IF(INDEX('PEOPLE + BUDGETS'!$C$6:$C$105,MATCH($C117,'PEOPLE + BUDGETS'!$B$6:$B$105,0))="","",INDEX('PEOPLE + BUDGETS'!$C$6:$C$105,MATCH($C117,'PEOPLE + BUDGETS'!$B$6:$B$105,0))),"")))</f>
      </c>
      <c r="E117" s="78">
        <f>IF($B117="","",IF(OR($S117="Cancelled",$S117="Returned"),"No",IFERROR(INDEX('PEOPLE + BUDGETS'!$O$6:$O$105,MATCH($C117,'PEOPLE + BUDGETS'!$B$6:$B$105,0)),"Yes")))</f>
      </c>
      <c r="F117" s="80"/>
      <c r="G117" s="79"/>
      <c r="H117" s="79"/>
      <c r="I117" s="79"/>
      <c r="J117" s="80"/>
      <c r="K117" s="79"/>
      <c r="L117" s="90"/>
      <c r="M117" s="86"/>
      <c r="N117" s="86"/>
      <c r="O117" s="86"/>
      <c r="P117" s="86"/>
      <c r="Q117" s="85">
        <f>IF($B117="","",ROUND(MAX(0,$L117*$M117-$N117)+$O117+$P117,2))</f>
      </c>
      <c r="R117" s="86"/>
      <c r="S117" s="79"/>
      <c r="T117" s="78">
        <f>IF($B117="","",IF($S117="Purchased","Yes","No"))</f>
      </c>
      <c r="U117" s="79"/>
      <c r="V117" s="79"/>
      <c r="W117" s="78">
        <f>IF($B117="","",IF($U117="","—",IF($U117="","",IFERROR(IF(INDEX('ONLINE ORDERS'!$M$6:$M$155,MATCH($U117,'ONLINE ORDERS'!$B$6:$B$155,0))="","",INDEX('ONLINE ORDERS'!$M$6:$M$155,MATCH($U117,'ONLINE ORDERS'!$B$6:$B$155,0))),""))))</f>
      </c>
      <c r="X117" s="79"/>
      <c r="Y117" s="79"/>
      <c r="Z117" s="79"/>
      <c r="AA117" s="79"/>
      <c r="AB117" s="82"/>
      <c r="AC117" s="82"/>
      <c r="AD117" s="78">
        <f>IF($F117="","",LOWER(TRIM($C117&amp;"|"&amp;TRIM($F117))))</f>
      </c>
      <c r="AE117" s="78">
        <f>IF($AD117="","",IF(COUNTIF('GIFT PLANNER'!$AD$6:$AD$205,$AD117)&gt;1,"CHECK DUPLICATE",""))</f>
      </c>
      <c r="AF117" s="80"/>
      <c r="AG117" s="78">
        <f>IF($B117="",0,IF(COUNTIF('GIFT PLANNER'!$B$6:$B$205,$B117)&gt;1,1,0))</f>
      </c>
      <c r="AH117" s="78">
        <f>IF(OR(N($Q117)&gt;0,N($R117)&gt;0),IF($G117="",1,IF(COUNTIF('MASTER BUDGET'!$D$6:$D$25,$G117)=0,1,0)),0)</f>
      </c>
      <c r="AI117" s="78">
        <f>IF($C117="",0,IF(COUNTIF('PEOPLE + BUDGETS'!$B$6:$B$105,$C117)=0,1,0))</f>
      </c>
      <c r="AJ117" s="78">
        <f>IF($U117="",0,IF(COUNTIF('ONLINE ORDERS'!$B$6:$B$155,$U117)=0,1,0))</f>
      </c>
      <c r="AK117" s="75"/>
    </row>
    <row r="118" ht="17" customHeight="1" spans="1:37" x14ac:dyDescent="0.25">
      <c r="A118" s="75"/>
      <c r="B118" s="79"/>
      <c r="C118" s="79"/>
      <c r="D118" s="78">
        <f>IF($B118="","",IF($C118="","",IFERROR(IF(INDEX('PEOPLE + BUDGETS'!$C$6:$C$105,MATCH($C118,'PEOPLE + BUDGETS'!$B$6:$B$105,0))="","",INDEX('PEOPLE + BUDGETS'!$C$6:$C$105,MATCH($C118,'PEOPLE + BUDGETS'!$B$6:$B$105,0))),"")))</f>
      </c>
      <c r="E118" s="78">
        <f>IF($B118="","",IF(OR($S118="Cancelled",$S118="Returned"),"No",IFERROR(INDEX('PEOPLE + BUDGETS'!$O$6:$O$105,MATCH($C118,'PEOPLE + BUDGETS'!$B$6:$B$105,0)),"Yes")))</f>
      </c>
      <c r="F118" s="80"/>
      <c r="G118" s="79"/>
      <c r="H118" s="79"/>
      <c r="I118" s="79"/>
      <c r="J118" s="80"/>
      <c r="K118" s="79"/>
      <c r="L118" s="90"/>
      <c r="M118" s="86"/>
      <c r="N118" s="86"/>
      <c r="O118" s="86"/>
      <c r="P118" s="86"/>
      <c r="Q118" s="85">
        <f>IF($B118="","",ROUND(MAX(0,$L118*$M118-$N118)+$O118+$P118,2))</f>
      </c>
      <c r="R118" s="86"/>
      <c r="S118" s="79"/>
      <c r="T118" s="78">
        <f>IF($B118="","",IF($S118="Purchased","Yes","No"))</f>
      </c>
      <c r="U118" s="79"/>
      <c r="V118" s="79"/>
      <c r="W118" s="78">
        <f>IF($B118="","",IF($U118="","—",IF($U118="","",IFERROR(IF(INDEX('ONLINE ORDERS'!$M$6:$M$155,MATCH($U118,'ONLINE ORDERS'!$B$6:$B$155,0))="","",INDEX('ONLINE ORDERS'!$M$6:$M$155,MATCH($U118,'ONLINE ORDERS'!$B$6:$B$155,0))),""))))</f>
      </c>
      <c r="X118" s="79"/>
      <c r="Y118" s="79"/>
      <c r="Z118" s="79"/>
      <c r="AA118" s="79"/>
      <c r="AB118" s="82"/>
      <c r="AC118" s="82"/>
      <c r="AD118" s="78">
        <f>IF($F118="","",LOWER(TRIM($C118&amp;"|"&amp;TRIM($F118))))</f>
      </c>
      <c r="AE118" s="78">
        <f>IF($AD118="","",IF(COUNTIF('GIFT PLANNER'!$AD$6:$AD$205,$AD118)&gt;1,"CHECK DUPLICATE",""))</f>
      </c>
      <c r="AF118" s="80"/>
      <c r="AG118" s="78">
        <f>IF($B118="",0,IF(COUNTIF('GIFT PLANNER'!$B$6:$B$205,$B118)&gt;1,1,0))</f>
      </c>
      <c r="AH118" s="78">
        <f>IF(OR(N($Q118)&gt;0,N($R118)&gt;0),IF($G118="",1,IF(COUNTIF('MASTER BUDGET'!$D$6:$D$25,$G118)=0,1,0)),0)</f>
      </c>
      <c r="AI118" s="78">
        <f>IF($C118="",0,IF(COUNTIF('PEOPLE + BUDGETS'!$B$6:$B$105,$C118)=0,1,0))</f>
      </c>
      <c r="AJ118" s="78">
        <f>IF($U118="",0,IF(COUNTIF('ONLINE ORDERS'!$B$6:$B$155,$U118)=0,1,0))</f>
      </c>
      <c r="AK118" s="75"/>
    </row>
    <row r="119" ht="17" customHeight="1" spans="1:37" x14ac:dyDescent="0.25">
      <c r="A119" s="75"/>
      <c r="B119" s="79"/>
      <c r="C119" s="79"/>
      <c r="D119" s="78">
        <f>IF($B119="","",IF($C119="","",IFERROR(IF(INDEX('PEOPLE + BUDGETS'!$C$6:$C$105,MATCH($C119,'PEOPLE + BUDGETS'!$B$6:$B$105,0))="","",INDEX('PEOPLE + BUDGETS'!$C$6:$C$105,MATCH($C119,'PEOPLE + BUDGETS'!$B$6:$B$105,0))),"")))</f>
      </c>
      <c r="E119" s="78">
        <f>IF($B119="","",IF(OR($S119="Cancelled",$S119="Returned"),"No",IFERROR(INDEX('PEOPLE + BUDGETS'!$O$6:$O$105,MATCH($C119,'PEOPLE + BUDGETS'!$B$6:$B$105,0)),"Yes")))</f>
      </c>
      <c r="F119" s="80"/>
      <c r="G119" s="79"/>
      <c r="H119" s="79"/>
      <c r="I119" s="79"/>
      <c r="J119" s="80"/>
      <c r="K119" s="79"/>
      <c r="L119" s="90"/>
      <c r="M119" s="86"/>
      <c r="N119" s="86"/>
      <c r="O119" s="86"/>
      <c r="P119" s="86"/>
      <c r="Q119" s="85">
        <f>IF($B119="","",ROUND(MAX(0,$L119*$M119-$N119)+$O119+$P119,2))</f>
      </c>
      <c r="R119" s="86"/>
      <c r="S119" s="79"/>
      <c r="T119" s="78">
        <f>IF($B119="","",IF($S119="Purchased","Yes","No"))</f>
      </c>
      <c r="U119" s="79"/>
      <c r="V119" s="79"/>
      <c r="W119" s="78">
        <f>IF($B119="","",IF($U119="","—",IF($U119="","",IFERROR(IF(INDEX('ONLINE ORDERS'!$M$6:$M$155,MATCH($U119,'ONLINE ORDERS'!$B$6:$B$155,0))="","",INDEX('ONLINE ORDERS'!$M$6:$M$155,MATCH($U119,'ONLINE ORDERS'!$B$6:$B$155,0))),""))))</f>
      </c>
      <c r="X119" s="79"/>
      <c r="Y119" s="79"/>
      <c r="Z119" s="79"/>
      <c r="AA119" s="79"/>
      <c r="AB119" s="82"/>
      <c r="AC119" s="82"/>
      <c r="AD119" s="78">
        <f>IF($F119="","",LOWER(TRIM($C119&amp;"|"&amp;TRIM($F119))))</f>
      </c>
      <c r="AE119" s="78">
        <f>IF($AD119="","",IF(COUNTIF('GIFT PLANNER'!$AD$6:$AD$205,$AD119)&gt;1,"CHECK DUPLICATE",""))</f>
      </c>
      <c r="AF119" s="80"/>
      <c r="AG119" s="78">
        <f>IF($B119="",0,IF(COUNTIF('GIFT PLANNER'!$B$6:$B$205,$B119)&gt;1,1,0))</f>
      </c>
      <c r="AH119" s="78">
        <f>IF(OR(N($Q119)&gt;0,N($R119)&gt;0),IF($G119="",1,IF(COUNTIF('MASTER BUDGET'!$D$6:$D$25,$G119)=0,1,0)),0)</f>
      </c>
      <c r="AI119" s="78">
        <f>IF($C119="",0,IF(COUNTIF('PEOPLE + BUDGETS'!$B$6:$B$105,$C119)=0,1,0))</f>
      </c>
      <c r="AJ119" s="78">
        <f>IF($U119="",0,IF(COUNTIF('ONLINE ORDERS'!$B$6:$B$155,$U119)=0,1,0))</f>
      </c>
      <c r="AK119" s="75"/>
    </row>
    <row r="120" ht="17" customHeight="1" spans="1:37" x14ac:dyDescent="0.25">
      <c r="A120" s="75"/>
      <c r="B120" s="79"/>
      <c r="C120" s="79"/>
      <c r="D120" s="78">
        <f>IF($B120="","",IF($C120="","",IFERROR(IF(INDEX('PEOPLE + BUDGETS'!$C$6:$C$105,MATCH($C120,'PEOPLE + BUDGETS'!$B$6:$B$105,0))="","",INDEX('PEOPLE + BUDGETS'!$C$6:$C$105,MATCH($C120,'PEOPLE + BUDGETS'!$B$6:$B$105,0))),"")))</f>
      </c>
      <c r="E120" s="78">
        <f>IF($B120="","",IF(OR($S120="Cancelled",$S120="Returned"),"No",IFERROR(INDEX('PEOPLE + BUDGETS'!$O$6:$O$105,MATCH($C120,'PEOPLE + BUDGETS'!$B$6:$B$105,0)),"Yes")))</f>
      </c>
      <c r="F120" s="80"/>
      <c r="G120" s="79"/>
      <c r="H120" s="79"/>
      <c r="I120" s="79"/>
      <c r="J120" s="80"/>
      <c r="K120" s="79"/>
      <c r="L120" s="90"/>
      <c r="M120" s="86"/>
      <c r="N120" s="86"/>
      <c r="O120" s="86"/>
      <c r="P120" s="86"/>
      <c r="Q120" s="85">
        <f>IF($B120="","",ROUND(MAX(0,$L120*$M120-$N120)+$O120+$P120,2))</f>
      </c>
      <c r="R120" s="86"/>
      <c r="S120" s="79"/>
      <c r="T120" s="78">
        <f>IF($B120="","",IF($S120="Purchased","Yes","No"))</f>
      </c>
      <c r="U120" s="79"/>
      <c r="V120" s="79"/>
      <c r="W120" s="78">
        <f>IF($B120="","",IF($U120="","—",IF($U120="","",IFERROR(IF(INDEX('ONLINE ORDERS'!$M$6:$M$155,MATCH($U120,'ONLINE ORDERS'!$B$6:$B$155,0))="","",INDEX('ONLINE ORDERS'!$M$6:$M$155,MATCH($U120,'ONLINE ORDERS'!$B$6:$B$155,0))),""))))</f>
      </c>
      <c r="X120" s="79"/>
      <c r="Y120" s="79"/>
      <c r="Z120" s="79"/>
      <c r="AA120" s="79"/>
      <c r="AB120" s="82"/>
      <c r="AC120" s="82"/>
      <c r="AD120" s="78">
        <f>IF($F120="","",LOWER(TRIM($C120&amp;"|"&amp;TRIM($F120))))</f>
      </c>
      <c r="AE120" s="78">
        <f>IF($AD120="","",IF(COUNTIF('GIFT PLANNER'!$AD$6:$AD$205,$AD120)&gt;1,"CHECK DUPLICATE",""))</f>
      </c>
      <c r="AF120" s="80"/>
      <c r="AG120" s="78">
        <f>IF($B120="",0,IF(COUNTIF('GIFT PLANNER'!$B$6:$B$205,$B120)&gt;1,1,0))</f>
      </c>
      <c r="AH120" s="78">
        <f>IF(OR(N($Q120)&gt;0,N($R120)&gt;0),IF($G120="",1,IF(COUNTIF('MASTER BUDGET'!$D$6:$D$25,$G120)=0,1,0)),0)</f>
      </c>
      <c r="AI120" s="78">
        <f>IF($C120="",0,IF(COUNTIF('PEOPLE + BUDGETS'!$B$6:$B$105,$C120)=0,1,0))</f>
      </c>
      <c r="AJ120" s="78">
        <f>IF($U120="",0,IF(COUNTIF('ONLINE ORDERS'!$B$6:$B$155,$U120)=0,1,0))</f>
      </c>
      <c r="AK120" s="75"/>
    </row>
    <row r="121" ht="17" customHeight="1" spans="1:37" x14ac:dyDescent="0.25">
      <c r="A121" s="75"/>
      <c r="B121" s="79"/>
      <c r="C121" s="79"/>
      <c r="D121" s="78">
        <f>IF($B121="","",IF($C121="","",IFERROR(IF(INDEX('PEOPLE + BUDGETS'!$C$6:$C$105,MATCH($C121,'PEOPLE + BUDGETS'!$B$6:$B$105,0))="","",INDEX('PEOPLE + BUDGETS'!$C$6:$C$105,MATCH($C121,'PEOPLE + BUDGETS'!$B$6:$B$105,0))),"")))</f>
      </c>
      <c r="E121" s="78">
        <f>IF($B121="","",IF(OR($S121="Cancelled",$S121="Returned"),"No",IFERROR(INDEX('PEOPLE + BUDGETS'!$O$6:$O$105,MATCH($C121,'PEOPLE + BUDGETS'!$B$6:$B$105,0)),"Yes")))</f>
      </c>
      <c r="F121" s="80"/>
      <c r="G121" s="79"/>
      <c r="H121" s="79"/>
      <c r="I121" s="79"/>
      <c r="J121" s="80"/>
      <c r="K121" s="79"/>
      <c r="L121" s="90"/>
      <c r="M121" s="86"/>
      <c r="N121" s="86"/>
      <c r="O121" s="86"/>
      <c r="P121" s="86"/>
      <c r="Q121" s="85">
        <f>IF($B121="","",ROUND(MAX(0,$L121*$M121-$N121)+$O121+$P121,2))</f>
      </c>
      <c r="R121" s="86"/>
      <c r="S121" s="79"/>
      <c r="T121" s="78">
        <f>IF($B121="","",IF($S121="Purchased","Yes","No"))</f>
      </c>
      <c r="U121" s="79"/>
      <c r="V121" s="79"/>
      <c r="W121" s="78">
        <f>IF($B121="","",IF($U121="","—",IF($U121="","",IFERROR(IF(INDEX('ONLINE ORDERS'!$M$6:$M$155,MATCH($U121,'ONLINE ORDERS'!$B$6:$B$155,0))="","",INDEX('ONLINE ORDERS'!$M$6:$M$155,MATCH($U121,'ONLINE ORDERS'!$B$6:$B$155,0))),""))))</f>
      </c>
      <c r="X121" s="79"/>
      <c r="Y121" s="79"/>
      <c r="Z121" s="79"/>
      <c r="AA121" s="79"/>
      <c r="AB121" s="82"/>
      <c r="AC121" s="82"/>
      <c r="AD121" s="78">
        <f>IF($F121="","",LOWER(TRIM($C121&amp;"|"&amp;TRIM($F121))))</f>
      </c>
      <c r="AE121" s="78">
        <f>IF($AD121="","",IF(COUNTIF('GIFT PLANNER'!$AD$6:$AD$205,$AD121)&gt;1,"CHECK DUPLICATE",""))</f>
      </c>
      <c r="AF121" s="80"/>
      <c r="AG121" s="78">
        <f>IF($B121="",0,IF(COUNTIF('GIFT PLANNER'!$B$6:$B$205,$B121)&gt;1,1,0))</f>
      </c>
      <c r="AH121" s="78">
        <f>IF(OR(N($Q121)&gt;0,N($R121)&gt;0),IF($G121="",1,IF(COUNTIF('MASTER BUDGET'!$D$6:$D$25,$G121)=0,1,0)),0)</f>
      </c>
      <c r="AI121" s="78">
        <f>IF($C121="",0,IF(COUNTIF('PEOPLE + BUDGETS'!$B$6:$B$105,$C121)=0,1,0))</f>
      </c>
      <c r="AJ121" s="78">
        <f>IF($U121="",0,IF(COUNTIF('ONLINE ORDERS'!$B$6:$B$155,$U121)=0,1,0))</f>
      </c>
      <c r="AK121" s="75"/>
    </row>
    <row r="122" ht="17" customHeight="1" spans="1:37" x14ac:dyDescent="0.25">
      <c r="A122" s="75"/>
      <c r="B122" s="79"/>
      <c r="C122" s="79"/>
      <c r="D122" s="78">
        <f>IF($B122="","",IF($C122="","",IFERROR(IF(INDEX('PEOPLE + BUDGETS'!$C$6:$C$105,MATCH($C122,'PEOPLE + BUDGETS'!$B$6:$B$105,0))="","",INDEX('PEOPLE + BUDGETS'!$C$6:$C$105,MATCH($C122,'PEOPLE + BUDGETS'!$B$6:$B$105,0))),"")))</f>
      </c>
      <c r="E122" s="78">
        <f>IF($B122="","",IF(OR($S122="Cancelled",$S122="Returned"),"No",IFERROR(INDEX('PEOPLE + BUDGETS'!$O$6:$O$105,MATCH($C122,'PEOPLE + BUDGETS'!$B$6:$B$105,0)),"Yes")))</f>
      </c>
      <c r="F122" s="80"/>
      <c r="G122" s="79"/>
      <c r="H122" s="79"/>
      <c r="I122" s="79"/>
      <c r="J122" s="80"/>
      <c r="K122" s="79"/>
      <c r="L122" s="90"/>
      <c r="M122" s="86"/>
      <c r="N122" s="86"/>
      <c r="O122" s="86"/>
      <c r="P122" s="86"/>
      <c r="Q122" s="85">
        <f>IF($B122="","",ROUND(MAX(0,$L122*$M122-$N122)+$O122+$P122,2))</f>
      </c>
      <c r="R122" s="86"/>
      <c r="S122" s="79"/>
      <c r="T122" s="78">
        <f>IF($B122="","",IF($S122="Purchased","Yes","No"))</f>
      </c>
      <c r="U122" s="79"/>
      <c r="V122" s="79"/>
      <c r="W122" s="78">
        <f>IF($B122="","",IF($U122="","—",IF($U122="","",IFERROR(IF(INDEX('ONLINE ORDERS'!$M$6:$M$155,MATCH($U122,'ONLINE ORDERS'!$B$6:$B$155,0))="","",INDEX('ONLINE ORDERS'!$M$6:$M$155,MATCH($U122,'ONLINE ORDERS'!$B$6:$B$155,0))),""))))</f>
      </c>
      <c r="X122" s="79"/>
      <c r="Y122" s="79"/>
      <c r="Z122" s="79"/>
      <c r="AA122" s="79"/>
      <c r="AB122" s="82"/>
      <c r="AC122" s="82"/>
      <c r="AD122" s="78">
        <f>IF($F122="","",LOWER(TRIM($C122&amp;"|"&amp;TRIM($F122))))</f>
      </c>
      <c r="AE122" s="78">
        <f>IF($AD122="","",IF(COUNTIF('GIFT PLANNER'!$AD$6:$AD$205,$AD122)&gt;1,"CHECK DUPLICATE",""))</f>
      </c>
      <c r="AF122" s="80"/>
      <c r="AG122" s="78">
        <f>IF($B122="",0,IF(COUNTIF('GIFT PLANNER'!$B$6:$B$205,$B122)&gt;1,1,0))</f>
      </c>
      <c r="AH122" s="78">
        <f>IF(OR(N($Q122)&gt;0,N($R122)&gt;0),IF($G122="",1,IF(COUNTIF('MASTER BUDGET'!$D$6:$D$25,$G122)=0,1,0)),0)</f>
      </c>
      <c r="AI122" s="78">
        <f>IF($C122="",0,IF(COUNTIF('PEOPLE + BUDGETS'!$B$6:$B$105,$C122)=0,1,0))</f>
      </c>
      <c r="AJ122" s="78">
        <f>IF($U122="",0,IF(COUNTIF('ONLINE ORDERS'!$B$6:$B$155,$U122)=0,1,0))</f>
      </c>
      <c r="AK122" s="75"/>
    </row>
    <row r="123" ht="17" customHeight="1" spans="1:37" x14ac:dyDescent="0.25">
      <c r="A123" s="75"/>
      <c r="B123" s="79"/>
      <c r="C123" s="79"/>
      <c r="D123" s="78">
        <f>IF($B123="","",IF($C123="","",IFERROR(IF(INDEX('PEOPLE + BUDGETS'!$C$6:$C$105,MATCH($C123,'PEOPLE + BUDGETS'!$B$6:$B$105,0))="","",INDEX('PEOPLE + BUDGETS'!$C$6:$C$105,MATCH($C123,'PEOPLE + BUDGETS'!$B$6:$B$105,0))),"")))</f>
      </c>
      <c r="E123" s="78">
        <f>IF($B123="","",IF(OR($S123="Cancelled",$S123="Returned"),"No",IFERROR(INDEX('PEOPLE + BUDGETS'!$O$6:$O$105,MATCH($C123,'PEOPLE + BUDGETS'!$B$6:$B$105,0)),"Yes")))</f>
      </c>
      <c r="F123" s="80"/>
      <c r="G123" s="79"/>
      <c r="H123" s="79"/>
      <c r="I123" s="79"/>
      <c r="J123" s="80"/>
      <c r="K123" s="79"/>
      <c r="L123" s="90"/>
      <c r="M123" s="86"/>
      <c r="N123" s="86"/>
      <c r="O123" s="86"/>
      <c r="P123" s="86"/>
      <c r="Q123" s="85">
        <f>IF($B123="","",ROUND(MAX(0,$L123*$M123-$N123)+$O123+$P123,2))</f>
      </c>
      <c r="R123" s="86"/>
      <c r="S123" s="79"/>
      <c r="T123" s="78">
        <f>IF($B123="","",IF($S123="Purchased","Yes","No"))</f>
      </c>
      <c r="U123" s="79"/>
      <c r="V123" s="79"/>
      <c r="W123" s="78">
        <f>IF($B123="","",IF($U123="","—",IF($U123="","",IFERROR(IF(INDEX('ONLINE ORDERS'!$M$6:$M$155,MATCH($U123,'ONLINE ORDERS'!$B$6:$B$155,0))="","",INDEX('ONLINE ORDERS'!$M$6:$M$155,MATCH($U123,'ONLINE ORDERS'!$B$6:$B$155,0))),""))))</f>
      </c>
      <c r="X123" s="79"/>
      <c r="Y123" s="79"/>
      <c r="Z123" s="79"/>
      <c r="AA123" s="79"/>
      <c r="AB123" s="82"/>
      <c r="AC123" s="82"/>
      <c r="AD123" s="78">
        <f>IF($F123="","",LOWER(TRIM($C123&amp;"|"&amp;TRIM($F123))))</f>
      </c>
      <c r="AE123" s="78">
        <f>IF($AD123="","",IF(COUNTIF('GIFT PLANNER'!$AD$6:$AD$205,$AD123)&gt;1,"CHECK DUPLICATE",""))</f>
      </c>
      <c r="AF123" s="80"/>
      <c r="AG123" s="78">
        <f>IF($B123="",0,IF(COUNTIF('GIFT PLANNER'!$B$6:$B$205,$B123)&gt;1,1,0))</f>
      </c>
      <c r="AH123" s="78">
        <f>IF(OR(N($Q123)&gt;0,N($R123)&gt;0),IF($G123="",1,IF(COUNTIF('MASTER BUDGET'!$D$6:$D$25,$G123)=0,1,0)),0)</f>
      </c>
      <c r="AI123" s="78">
        <f>IF($C123="",0,IF(COUNTIF('PEOPLE + BUDGETS'!$B$6:$B$105,$C123)=0,1,0))</f>
      </c>
      <c r="AJ123" s="78">
        <f>IF($U123="",0,IF(COUNTIF('ONLINE ORDERS'!$B$6:$B$155,$U123)=0,1,0))</f>
      </c>
      <c r="AK123" s="75"/>
    </row>
    <row r="124" ht="17" customHeight="1" spans="1:37" x14ac:dyDescent="0.25">
      <c r="A124" s="75"/>
      <c r="B124" s="79"/>
      <c r="C124" s="79"/>
      <c r="D124" s="78">
        <f>IF($B124="","",IF($C124="","",IFERROR(IF(INDEX('PEOPLE + BUDGETS'!$C$6:$C$105,MATCH($C124,'PEOPLE + BUDGETS'!$B$6:$B$105,0))="","",INDEX('PEOPLE + BUDGETS'!$C$6:$C$105,MATCH($C124,'PEOPLE + BUDGETS'!$B$6:$B$105,0))),"")))</f>
      </c>
      <c r="E124" s="78">
        <f>IF($B124="","",IF(OR($S124="Cancelled",$S124="Returned"),"No",IFERROR(INDEX('PEOPLE + BUDGETS'!$O$6:$O$105,MATCH($C124,'PEOPLE + BUDGETS'!$B$6:$B$105,0)),"Yes")))</f>
      </c>
      <c r="F124" s="80"/>
      <c r="G124" s="79"/>
      <c r="H124" s="79"/>
      <c r="I124" s="79"/>
      <c r="J124" s="80"/>
      <c r="K124" s="79"/>
      <c r="L124" s="90"/>
      <c r="M124" s="86"/>
      <c r="N124" s="86"/>
      <c r="O124" s="86"/>
      <c r="P124" s="86"/>
      <c r="Q124" s="85">
        <f>IF($B124="","",ROUND(MAX(0,$L124*$M124-$N124)+$O124+$P124,2))</f>
      </c>
      <c r="R124" s="86"/>
      <c r="S124" s="79"/>
      <c r="T124" s="78">
        <f>IF($B124="","",IF($S124="Purchased","Yes","No"))</f>
      </c>
      <c r="U124" s="79"/>
      <c r="V124" s="79"/>
      <c r="W124" s="78">
        <f>IF($B124="","",IF($U124="","—",IF($U124="","",IFERROR(IF(INDEX('ONLINE ORDERS'!$M$6:$M$155,MATCH($U124,'ONLINE ORDERS'!$B$6:$B$155,0))="","",INDEX('ONLINE ORDERS'!$M$6:$M$155,MATCH($U124,'ONLINE ORDERS'!$B$6:$B$155,0))),""))))</f>
      </c>
      <c r="X124" s="79"/>
      <c r="Y124" s="79"/>
      <c r="Z124" s="79"/>
      <c r="AA124" s="79"/>
      <c r="AB124" s="82"/>
      <c r="AC124" s="82"/>
      <c r="AD124" s="78">
        <f>IF($F124="","",LOWER(TRIM($C124&amp;"|"&amp;TRIM($F124))))</f>
      </c>
      <c r="AE124" s="78">
        <f>IF($AD124="","",IF(COUNTIF('GIFT PLANNER'!$AD$6:$AD$205,$AD124)&gt;1,"CHECK DUPLICATE",""))</f>
      </c>
      <c r="AF124" s="80"/>
      <c r="AG124" s="78">
        <f>IF($B124="",0,IF(COUNTIF('GIFT PLANNER'!$B$6:$B$205,$B124)&gt;1,1,0))</f>
      </c>
      <c r="AH124" s="78">
        <f>IF(OR(N($Q124)&gt;0,N($R124)&gt;0),IF($G124="",1,IF(COUNTIF('MASTER BUDGET'!$D$6:$D$25,$G124)=0,1,0)),0)</f>
      </c>
      <c r="AI124" s="78">
        <f>IF($C124="",0,IF(COUNTIF('PEOPLE + BUDGETS'!$B$6:$B$105,$C124)=0,1,0))</f>
      </c>
      <c r="AJ124" s="78">
        <f>IF($U124="",0,IF(COUNTIF('ONLINE ORDERS'!$B$6:$B$155,$U124)=0,1,0))</f>
      </c>
      <c r="AK124" s="75"/>
    </row>
    <row r="125" ht="17" customHeight="1" spans="1:37" x14ac:dyDescent="0.25">
      <c r="A125" s="75"/>
      <c r="B125" s="79"/>
      <c r="C125" s="79"/>
      <c r="D125" s="78">
        <f>IF($B125="","",IF($C125="","",IFERROR(IF(INDEX('PEOPLE + BUDGETS'!$C$6:$C$105,MATCH($C125,'PEOPLE + BUDGETS'!$B$6:$B$105,0))="","",INDEX('PEOPLE + BUDGETS'!$C$6:$C$105,MATCH($C125,'PEOPLE + BUDGETS'!$B$6:$B$105,0))),"")))</f>
      </c>
      <c r="E125" s="78">
        <f>IF($B125="","",IF(OR($S125="Cancelled",$S125="Returned"),"No",IFERROR(INDEX('PEOPLE + BUDGETS'!$O$6:$O$105,MATCH($C125,'PEOPLE + BUDGETS'!$B$6:$B$105,0)),"Yes")))</f>
      </c>
      <c r="F125" s="80"/>
      <c r="G125" s="79"/>
      <c r="H125" s="79"/>
      <c r="I125" s="79"/>
      <c r="J125" s="80"/>
      <c r="K125" s="79"/>
      <c r="L125" s="90"/>
      <c r="M125" s="86"/>
      <c r="N125" s="86"/>
      <c r="O125" s="86"/>
      <c r="P125" s="86"/>
      <c r="Q125" s="85">
        <f>IF($B125="","",ROUND(MAX(0,$L125*$M125-$N125)+$O125+$P125,2))</f>
      </c>
      <c r="R125" s="86"/>
      <c r="S125" s="79"/>
      <c r="T125" s="78">
        <f>IF($B125="","",IF($S125="Purchased","Yes","No"))</f>
      </c>
      <c r="U125" s="79"/>
      <c r="V125" s="79"/>
      <c r="W125" s="78">
        <f>IF($B125="","",IF($U125="","—",IF($U125="","",IFERROR(IF(INDEX('ONLINE ORDERS'!$M$6:$M$155,MATCH($U125,'ONLINE ORDERS'!$B$6:$B$155,0))="","",INDEX('ONLINE ORDERS'!$M$6:$M$155,MATCH($U125,'ONLINE ORDERS'!$B$6:$B$155,0))),""))))</f>
      </c>
      <c r="X125" s="79"/>
      <c r="Y125" s="79"/>
      <c r="Z125" s="79"/>
      <c r="AA125" s="79"/>
      <c r="AB125" s="82"/>
      <c r="AC125" s="82"/>
      <c r="AD125" s="78">
        <f>IF($F125="","",LOWER(TRIM($C125&amp;"|"&amp;TRIM($F125))))</f>
      </c>
      <c r="AE125" s="78">
        <f>IF($AD125="","",IF(COUNTIF('GIFT PLANNER'!$AD$6:$AD$205,$AD125)&gt;1,"CHECK DUPLICATE",""))</f>
      </c>
      <c r="AF125" s="80"/>
      <c r="AG125" s="78">
        <f>IF($B125="",0,IF(COUNTIF('GIFT PLANNER'!$B$6:$B$205,$B125)&gt;1,1,0))</f>
      </c>
      <c r="AH125" s="78">
        <f>IF(OR(N($Q125)&gt;0,N($R125)&gt;0),IF($G125="",1,IF(COUNTIF('MASTER BUDGET'!$D$6:$D$25,$G125)=0,1,0)),0)</f>
      </c>
      <c r="AI125" s="78">
        <f>IF($C125="",0,IF(COUNTIF('PEOPLE + BUDGETS'!$B$6:$B$105,$C125)=0,1,0))</f>
      </c>
      <c r="AJ125" s="78">
        <f>IF($U125="",0,IF(COUNTIF('ONLINE ORDERS'!$B$6:$B$155,$U125)=0,1,0))</f>
      </c>
      <c r="AK125" s="75"/>
    </row>
    <row r="126" ht="17" customHeight="1" spans="1:37" x14ac:dyDescent="0.25">
      <c r="A126" s="75"/>
      <c r="B126" s="79"/>
      <c r="C126" s="79"/>
      <c r="D126" s="78">
        <f>IF($B126="","",IF($C126="","",IFERROR(IF(INDEX('PEOPLE + BUDGETS'!$C$6:$C$105,MATCH($C126,'PEOPLE + BUDGETS'!$B$6:$B$105,0))="","",INDEX('PEOPLE + BUDGETS'!$C$6:$C$105,MATCH($C126,'PEOPLE + BUDGETS'!$B$6:$B$105,0))),"")))</f>
      </c>
      <c r="E126" s="78">
        <f>IF($B126="","",IF(OR($S126="Cancelled",$S126="Returned"),"No",IFERROR(INDEX('PEOPLE + BUDGETS'!$O$6:$O$105,MATCH($C126,'PEOPLE + BUDGETS'!$B$6:$B$105,0)),"Yes")))</f>
      </c>
      <c r="F126" s="80"/>
      <c r="G126" s="79"/>
      <c r="H126" s="79"/>
      <c r="I126" s="79"/>
      <c r="J126" s="80"/>
      <c r="K126" s="79"/>
      <c r="L126" s="90"/>
      <c r="M126" s="86"/>
      <c r="N126" s="86"/>
      <c r="O126" s="86"/>
      <c r="P126" s="86"/>
      <c r="Q126" s="85">
        <f>IF($B126="","",ROUND(MAX(0,$L126*$M126-$N126)+$O126+$P126,2))</f>
      </c>
      <c r="R126" s="86"/>
      <c r="S126" s="79"/>
      <c r="T126" s="78">
        <f>IF($B126="","",IF($S126="Purchased","Yes","No"))</f>
      </c>
      <c r="U126" s="79"/>
      <c r="V126" s="79"/>
      <c r="W126" s="78">
        <f>IF($B126="","",IF($U126="","—",IF($U126="","",IFERROR(IF(INDEX('ONLINE ORDERS'!$M$6:$M$155,MATCH($U126,'ONLINE ORDERS'!$B$6:$B$155,0))="","",INDEX('ONLINE ORDERS'!$M$6:$M$155,MATCH($U126,'ONLINE ORDERS'!$B$6:$B$155,0))),""))))</f>
      </c>
      <c r="X126" s="79"/>
      <c r="Y126" s="79"/>
      <c r="Z126" s="79"/>
      <c r="AA126" s="79"/>
      <c r="AB126" s="82"/>
      <c r="AC126" s="82"/>
      <c r="AD126" s="78">
        <f>IF($F126="","",LOWER(TRIM($C126&amp;"|"&amp;TRIM($F126))))</f>
      </c>
      <c r="AE126" s="78">
        <f>IF($AD126="","",IF(COUNTIF('GIFT PLANNER'!$AD$6:$AD$205,$AD126)&gt;1,"CHECK DUPLICATE",""))</f>
      </c>
      <c r="AF126" s="80"/>
      <c r="AG126" s="78">
        <f>IF($B126="",0,IF(COUNTIF('GIFT PLANNER'!$B$6:$B$205,$B126)&gt;1,1,0))</f>
      </c>
      <c r="AH126" s="78">
        <f>IF(OR(N($Q126)&gt;0,N($R126)&gt;0),IF($G126="",1,IF(COUNTIF('MASTER BUDGET'!$D$6:$D$25,$G126)=0,1,0)),0)</f>
      </c>
      <c r="AI126" s="78">
        <f>IF($C126="",0,IF(COUNTIF('PEOPLE + BUDGETS'!$B$6:$B$105,$C126)=0,1,0))</f>
      </c>
      <c r="AJ126" s="78">
        <f>IF($U126="",0,IF(COUNTIF('ONLINE ORDERS'!$B$6:$B$155,$U126)=0,1,0))</f>
      </c>
      <c r="AK126" s="75"/>
    </row>
    <row r="127" ht="17" customHeight="1" spans="1:37" x14ac:dyDescent="0.25">
      <c r="A127" s="75"/>
      <c r="B127" s="79"/>
      <c r="C127" s="79"/>
      <c r="D127" s="78">
        <f>IF($B127="","",IF($C127="","",IFERROR(IF(INDEX('PEOPLE + BUDGETS'!$C$6:$C$105,MATCH($C127,'PEOPLE + BUDGETS'!$B$6:$B$105,0))="","",INDEX('PEOPLE + BUDGETS'!$C$6:$C$105,MATCH($C127,'PEOPLE + BUDGETS'!$B$6:$B$105,0))),"")))</f>
      </c>
      <c r="E127" s="78">
        <f>IF($B127="","",IF(OR($S127="Cancelled",$S127="Returned"),"No",IFERROR(INDEX('PEOPLE + BUDGETS'!$O$6:$O$105,MATCH($C127,'PEOPLE + BUDGETS'!$B$6:$B$105,0)),"Yes")))</f>
      </c>
      <c r="F127" s="80"/>
      <c r="G127" s="79"/>
      <c r="H127" s="79"/>
      <c r="I127" s="79"/>
      <c r="J127" s="80"/>
      <c r="K127" s="79"/>
      <c r="L127" s="90"/>
      <c r="M127" s="86"/>
      <c r="N127" s="86"/>
      <c r="O127" s="86"/>
      <c r="P127" s="86"/>
      <c r="Q127" s="85">
        <f>IF($B127="","",ROUND(MAX(0,$L127*$M127-$N127)+$O127+$P127,2))</f>
      </c>
      <c r="R127" s="86"/>
      <c r="S127" s="79"/>
      <c r="T127" s="78">
        <f>IF($B127="","",IF($S127="Purchased","Yes","No"))</f>
      </c>
      <c r="U127" s="79"/>
      <c r="V127" s="79"/>
      <c r="W127" s="78">
        <f>IF($B127="","",IF($U127="","—",IF($U127="","",IFERROR(IF(INDEX('ONLINE ORDERS'!$M$6:$M$155,MATCH($U127,'ONLINE ORDERS'!$B$6:$B$155,0))="","",INDEX('ONLINE ORDERS'!$M$6:$M$155,MATCH($U127,'ONLINE ORDERS'!$B$6:$B$155,0))),""))))</f>
      </c>
      <c r="X127" s="79"/>
      <c r="Y127" s="79"/>
      <c r="Z127" s="79"/>
      <c r="AA127" s="79"/>
      <c r="AB127" s="82"/>
      <c r="AC127" s="82"/>
      <c r="AD127" s="78">
        <f>IF($F127="","",LOWER(TRIM($C127&amp;"|"&amp;TRIM($F127))))</f>
      </c>
      <c r="AE127" s="78">
        <f>IF($AD127="","",IF(COUNTIF('GIFT PLANNER'!$AD$6:$AD$205,$AD127)&gt;1,"CHECK DUPLICATE",""))</f>
      </c>
      <c r="AF127" s="80"/>
      <c r="AG127" s="78">
        <f>IF($B127="",0,IF(COUNTIF('GIFT PLANNER'!$B$6:$B$205,$B127)&gt;1,1,0))</f>
      </c>
      <c r="AH127" s="78">
        <f>IF(OR(N($Q127)&gt;0,N($R127)&gt;0),IF($G127="",1,IF(COUNTIF('MASTER BUDGET'!$D$6:$D$25,$G127)=0,1,0)),0)</f>
      </c>
      <c r="AI127" s="78">
        <f>IF($C127="",0,IF(COUNTIF('PEOPLE + BUDGETS'!$B$6:$B$105,$C127)=0,1,0))</f>
      </c>
      <c r="AJ127" s="78">
        <f>IF($U127="",0,IF(COUNTIF('ONLINE ORDERS'!$B$6:$B$155,$U127)=0,1,0))</f>
      </c>
      <c r="AK127" s="75"/>
    </row>
    <row r="128" ht="17" customHeight="1" spans="1:37" x14ac:dyDescent="0.25">
      <c r="A128" s="75"/>
      <c r="B128" s="79"/>
      <c r="C128" s="79"/>
      <c r="D128" s="78">
        <f>IF($B128="","",IF($C128="","",IFERROR(IF(INDEX('PEOPLE + BUDGETS'!$C$6:$C$105,MATCH($C128,'PEOPLE + BUDGETS'!$B$6:$B$105,0))="","",INDEX('PEOPLE + BUDGETS'!$C$6:$C$105,MATCH($C128,'PEOPLE + BUDGETS'!$B$6:$B$105,0))),"")))</f>
      </c>
      <c r="E128" s="78">
        <f>IF($B128="","",IF(OR($S128="Cancelled",$S128="Returned"),"No",IFERROR(INDEX('PEOPLE + BUDGETS'!$O$6:$O$105,MATCH($C128,'PEOPLE + BUDGETS'!$B$6:$B$105,0)),"Yes")))</f>
      </c>
      <c r="F128" s="80"/>
      <c r="G128" s="79"/>
      <c r="H128" s="79"/>
      <c r="I128" s="79"/>
      <c r="J128" s="80"/>
      <c r="K128" s="79"/>
      <c r="L128" s="90"/>
      <c r="M128" s="86"/>
      <c r="N128" s="86"/>
      <c r="O128" s="86"/>
      <c r="P128" s="86"/>
      <c r="Q128" s="85">
        <f>IF($B128="","",ROUND(MAX(0,$L128*$M128-$N128)+$O128+$P128,2))</f>
      </c>
      <c r="R128" s="86"/>
      <c r="S128" s="79"/>
      <c r="T128" s="78">
        <f>IF($B128="","",IF($S128="Purchased","Yes","No"))</f>
      </c>
      <c r="U128" s="79"/>
      <c r="V128" s="79"/>
      <c r="W128" s="78">
        <f>IF($B128="","",IF($U128="","—",IF($U128="","",IFERROR(IF(INDEX('ONLINE ORDERS'!$M$6:$M$155,MATCH($U128,'ONLINE ORDERS'!$B$6:$B$155,0))="","",INDEX('ONLINE ORDERS'!$M$6:$M$155,MATCH($U128,'ONLINE ORDERS'!$B$6:$B$155,0))),""))))</f>
      </c>
      <c r="X128" s="79"/>
      <c r="Y128" s="79"/>
      <c r="Z128" s="79"/>
      <c r="AA128" s="79"/>
      <c r="AB128" s="82"/>
      <c r="AC128" s="82"/>
      <c r="AD128" s="78">
        <f>IF($F128="","",LOWER(TRIM($C128&amp;"|"&amp;TRIM($F128))))</f>
      </c>
      <c r="AE128" s="78">
        <f>IF($AD128="","",IF(COUNTIF('GIFT PLANNER'!$AD$6:$AD$205,$AD128)&gt;1,"CHECK DUPLICATE",""))</f>
      </c>
      <c r="AF128" s="80"/>
      <c r="AG128" s="78">
        <f>IF($B128="",0,IF(COUNTIF('GIFT PLANNER'!$B$6:$B$205,$B128)&gt;1,1,0))</f>
      </c>
      <c r="AH128" s="78">
        <f>IF(OR(N($Q128)&gt;0,N($R128)&gt;0),IF($G128="",1,IF(COUNTIF('MASTER BUDGET'!$D$6:$D$25,$G128)=0,1,0)),0)</f>
      </c>
      <c r="AI128" s="78">
        <f>IF($C128="",0,IF(COUNTIF('PEOPLE + BUDGETS'!$B$6:$B$105,$C128)=0,1,0))</f>
      </c>
      <c r="AJ128" s="78">
        <f>IF($U128="",0,IF(COUNTIF('ONLINE ORDERS'!$B$6:$B$155,$U128)=0,1,0))</f>
      </c>
      <c r="AK128" s="75"/>
    </row>
    <row r="129" ht="17" customHeight="1" spans="1:37" x14ac:dyDescent="0.25">
      <c r="A129" s="75"/>
      <c r="B129" s="79"/>
      <c r="C129" s="79"/>
      <c r="D129" s="78">
        <f>IF($B129="","",IF($C129="","",IFERROR(IF(INDEX('PEOPLE + BUDGETS'!$C$6:$C$105,MATCH($C129,'PEOPLE + BUDGETS'!$B$6:$B$105,0))="","",INDEX('PEOPLE + BUDGETS'!$C$6:$C$105,MATCH($C129,'PEOPLE + BUDGETS'!$B$6:$B$105,0))),"")))</f>
      </c>
      <c r="E129" s="78">
        <f>IF($B129="","",IF(OR($S129="Cancelled",$S129="Returned"),"No",IFERROR(INDEX('PEOPLE + BUDGETS'!$O$6:$O$105,MATCH($C129,'PEOPLE + BUDGETS'!$B$6:$B$105,0)),"Yes")))</f>
      </c>
      <c r="F129" s="80"/>
      <c r="G129" s="79"/>
      <c r="H129" s="79"/>
      <c r="I129" s="79"/>
      <c r="J129" s="80"/>
      <c r="K129" s="79"/>
      <c r="L129" s="90"/>
      <c r="M129" s="86"/>
      <c r="N129" s="86"/>
      <c r="O129" s="86"/>
      <c r="P129" s="86"/>
      <c r="Q129" s="85">
        <f>IF($B129="","",ROUND(MAX(0,$L129*$M129-$N129)+$O129+$P129,2))</f>
      </c>
      <c r="R129" s="86"/>
      <c r="S129" s="79"/>
      <c r="T129" s="78">
        <f>IF($B129="","",IF($S129="Purchased","Yes","No"))</f>
      </c>
      <c r="U129" s="79"/>
      <c r="V129" s="79"/>
      <c r="W129" s="78">
        <f>IF($B129="","",IF($U129="","—",IF($U129="","",IFERROR(IF(INDEX('ONLINE ORDERS'!$M$6:$M$155,MATCH($U129,'ONLINE ORDERS'!$B$6:$B$155,0))="","",INDEX('ONLINE ORDERS'!$M$6:$M$155,MATCH($U129,'ONLINE ORDERS'!$B$6:$B$155,0))),""))))</f>
      </c>
      <c r="X129" s="79"/>
      <c r="Y129" s="79"/>
      <c r="Z129" s="79"/>
      <c r="AA129" s="79"/>
      <c r="AB129" s="82"/>
      <c r="AC129" s="82"/>
      <c r="AD129" s="78">
        <f>IF($F129="","",LOWER(TRIM($C129&amp;"|"&amp;TRIM($F129))))</f>
      </c>
      <c r="AE129" s="78">
        <f>IF($AD129="","",IF(COUNTIF('GIFT PLANNER'!$AD$6:$AD$205,$AD129)&gt;1,"CHECK DUPLICATE",""))</f>
      </c>
      <c r="AF129" s="80"/>
      <c r="AG129" s="78">
        <f>IF($B129="",0,IF(COUNTIF('GIFT PLANNER'!$B$6:$B$205,$B129)&gt;1,1,0))</f>
      </c>
      <c r="AH129" s="78">
        <f>IF(OR(N($Q129)&gt;0,N($R129)&gt;0),IF($G129="",1,IF(COUNTIF('MASTER BUDGET'!$D$6:$D$25,$G129)=0,1,0)),0)</f>
      </c>
      <c r="AI129" s="78">
        <f>IF($C129="",0,IF(COUNTIF('PEOPLE + BUDGETS'!$B$6:$B$105,$C129)=0,1,0))</f>
      </c>
      <c r="AJ129" s="78">
        <f>IF($U129="",0,IF(COUNTIF('ONLINE ORDERS'!$B$6:$B$155,$U129)=0,1,0))</f>
      </c>
      <c r="AK129" s="75"/>
    </row>
    <row r="130" ht="17" customHeight="1" spans="1:37" x14ac:dyDescent="0.25">
      <c r="A130" s="75"/>
      <c r="B130" s="79"/>
      <c r="C130" s="79"/>
      <c r="D130" s="78">
        <f>IF($B130="","",IF($C130="","",IFERROR(IF(INDEX('PEOPLE + BUDGETS'!$C$6:$C$105,MATCH($C130,'PEOPLE + BUDGETS'!$B$6:$B$105,0))="","",INDEX('PEOPLE + BUDGETS'!$C$6:$C$105,MATCH($C130,'PEOPLE + BUDGETS'!$B$6:$B$105,0))),"")))</f>
      </c>
      <c r="E130" s="78">
        <f>IF($B130="","",IF(OR($S130="Cancelled",$S130="Returned"),"No",IFERROR(INDEX('PEOPLE + BUDGETS'!$O$6:$O$105,MATCH($C130,'PEOPLE + BUDGETS'!$B$6:$B$105,0)),"Yes")))</f>
      </c>
      <c r="F130" s="80"/>
      <c r="G130" s="79"/>
      <c r="H130" s="79"/>
      <c r="I130" s="79"/>
      <c r="J130" s="80"/>
      <c r="K130" s="79"/>
      <c r="L130" s="90"/>
      <c r="M130" s="86"/>
      <c r="N130" s="86"/>
      <c r="O130" s="86"/>
      <c r="P130" s="86"/>
      <c r="Q130" s="85">
        <f>IF($B130="","",ROUND(MAX(0,$L130*$M130-$N130)+$O130+$P130,2))</f>
      </c>
      <c r="R130" s="86"/>
      <c r="S130" s="79"/>
      <c r="T130" s="78">
        <f>IF($B130="","",IF($S130="Purchased","Yes","No"))</f>
      </c>
      <c r="U130" s="79"/>
      <c r="V130" s="79"/>
      <c r="W130" s="78">
        <f>IF($B130="","",IF($U130="","—",IF($U130="","",IFERROR(IF(INDEX('ONLINE ORDERS'!$M$6:$M$155,MATCH($U130,'ONLINE ORDERS'!$B$6:$B$155,0))="","",INDEX('ONLINE ORDERS'!$M$6:$M$155,MATCH($U130,'ONLINE ORDERS'!$B$6:$B$155,0))),""))))</f>
      </c>
      <c r="X130" s="79"/>
      <c r="Y130" s="79"/>
      <c r="Z130" s="79"/>
      <c r="AA130" s="79"/>
      <c r="AB130" s="82"/>
      <c r="AC130" s="82"/>
      <c r="AD130" s="78">
        <f>IF($F130="","",LOWER(TRIM($C130&amp;"|"&amp;TRIM($F130))))</f>
      </c>
      <c r="AE130" s="78">
        <f>IF($AD130="","",IF(COUNTIF('GIFT PLANNER'!$AD$6:$AD$205,$AD130)&gt;1,"CHECK DUPLICATE",""))</f>
      </c>
      <c r="AF130" s="80"/>
      <c r="AG130" s="78">
        <f>IF($B130="",0,IF(COUNTIF('GIFT PLANNER'!$B$6:$B$205,$B130)&gt;1,1,0))</f>
      </c>
      <c r="AH130" s="78">
        <f>IF(OR(N($Q130)&gt;0,N($R130)&gt;0),IF($G130="",1,IF(COUNTIF('MASTER BUDGET'!$D$6:$D$25,$G130)=0,1,0)),0)</f>
      </c>
      <c r="AI130" s="78">
        <f>IF($C130="",0,IF(COUNTIF('PEOPLE + BUDGETS'!$B$6:$B$105,$C130)=0,1,0))</f>
      </c>
      <c r="AJ130" s="78">
        <f>IF($U130="",0,IF(COUNTIF('ONLINE ORDERS'!$B$6:$B$155,$U130)=0,1,0))</f>
      </c>
      <c r="AK130" s="75"/>
    </row>
    <row r="131" ht="17" customHeight="1" spans="1:37" x14ac:dyDescent="0.25">
      <c r="A131" s="75"/>
      <c r="B131" s="79"/>
      <c r="C131" s="79"/>
      <c r="D131" s="78">
        <f>IF($B131="","",IF($C131="","",IFERROR(IF(INDEX('PEOPLE + BUDGETS'!$C$6:$C$105,MATCH($C131,'PEOPLE + BUDGETS'!$B$6:$B$105,0))="","",INDEX('PEOPLE + BUDGETS'!$C$6:$C$105,MATCH($C131,'PEOPLE + BUDGETS'!$B$6:$B$105,0))),"")))</f>
      </c>
      <c r="E131" s="78">
        <f>IF($B131="","",IF(OR($S131="Cancelled",$S131="Returned"),"No",IFERROR(INDEX('PEOPLE + BUDGETS'!$O$6:$O$105,MATCH($C131,'PEOPLE + BUDGETS'!$B$6:$B$105,0)),"Yes")))</f>
      </c>
      <c r="F131" s="80"/>
      <c r="G131" s="79"/>
      <c r="H131" s="79"/>
      <c r="I131" s="79"/>
      <c r="J131" s="80"/>
      <c r="K131" s="79"/>
      <c r="L131" s="90"/>
      <c r="M131" s="86"/>
      <c r="N131" s="86"/>
      <c r="O131" s="86"/>
      <c r="P131" s="86"/>
      <c r="Q131" s="85">
        <f>IF($B131="","",ROUND(MAX(0,$L131*$M131-$N131)+$O131+$P131,2))</f>
      </c>
      <c r="R131" s="86"/>
      <c r="S131" s="79"/>
      <c r="T131" s="78">
        <f>IF($B131="","",IF($S131="Purchased","Yes","No"))</f>
      </c>
      <c r="U131" s="79"/>
      <c r="V131" s="79"/>
      <c r="W131" s="78">
        <f>IF($B131="","",IF($U131="","—",IF($U131="","",IFERROR(IF(INDEX('ONLINE ORDERS'!$M$6:$M$155,MATCH($U131,'ONLINE ORDERS'!$B$6:$B$155,0))="","",INDEX('ONLINE ORDERS'!$M$6:$M$155,MATCH($U131,'ONLINE ORDERS'!$B$6:$B$155,0))),""))))</f>
      </c>
      <c r="X131" s="79"/>
      <c r="Y131" s="79"/>
      <c r="Z131" s="79"/>
      <c r="AA131" s="79"/>
      <c r="AB131" s="82"/>
      <c r="AC131" s="82"/>
      <c r="AD131" s="78">
        <f>IF($F131="","",LOWER(TRIM($C131&amp;"|"&amp;TRIM($F131))))</f>
      </c>
      <c r="AE131" s="78">
        <f>IF($AD131="","",IF(COUNTIF('GIFT PLANNER'!$AD$6:$AD$205,$AD131)&gt;1,"CHECK DUPLICATE",""))</f>
      </c>
      <c r="AF131" s="80"/>
      <c r="AG131" s="78">
        <f>IF($B131="",0,IF(COUNTIF('GIFT PLANNER'!$B$6:$B$205,$B131)&gt;1,1,0))</f>
      </c>
      <c r="AH131" s="78">
        <f>IF(OR(N($Q131)&gt;0,N($R131)&gt;0),IF($G131="",1,IF(COUNTIF('MASTER BUDGET'!$D$6:$D$25,$G131)=0,1,0)),0)</f>
      </c>
      <c r="AI131" s="78">
        <f>IF($C131="",0,IF(COUNTIF('PEOPLE + BUDGETS'!$B$6:$B$105,$C131)=0,1,0))</f>
      </c>
      <c r="AJ131" s="78">
        <f>IF($U131="",0,IF(COUNTIF('ONLINE ORDERS'!$B$6:$B$155,$U131)=0,1,0))</f>
      </c>
      <c r="AK131" s="75"/>
    </row>
    <row r="132" ht="17" customHeight="1" spans="1:37" x14ac:dyDescent="0.25">
      <c r="A132" s="75"/>
      <c r="B132" s="79"/>
      <c r="C132" s="79"/>
      <c r="D132" s="78">
        <f>IF($B132="","",IF($C132="","",IFERROR(IF(INDEX('PEOPLE + BUDGETS'!$C$6:$C$105,MATCH($C132,'PEOPLE + BUDGETS'!$B$6:$B$105,0))="","",INDEX('PEOPLE + BUDGETS'!$C$6:$C$105,MATCH($C132,'PEOPLE + BUDGETS'!$B$6:$B$105,0))),"")))</f>
      </c>
      <c r="E132" s="78">
        <f>IF($B132="","",IF(OR($S132="Cancelled",$S132="Returned"),"No",IFERROR(INDEX('PEOPLE + BUDGETS'!$O$6:$O$105,MATCH($C132,'PEOPLE + BUDGETS'!$B$6:$B$105,0)),"Yes")))</f>
      </c>
      <c r="F132" s="80"/>
      <c r="G132" s="79"/>
      <c r="H132" s="79"/>
      <c r="I132" s="79"/>
      <c r="J132" s="80"/>
      <c r="K132" s="79"/>
      <c r="L132" s="90"/>
      <c r="M132" s="86"/>
      <c r="N132" s="86"/>
      <c r="O132" s="86"/>
      <c r="P132" s="86"/>
      <c r="Q132" s="85">
        <f>IF($B132="","",ROUND(MAX(0,$L132*$M132-$N132)+$O132+$P132,2))</f>
      </c>
      <c r="R132" s="86"/>
      <c r="S132" s="79"/>
      <c r="T132" s="78">
        <f>IF($B132="","",IF($S132="Purchased","Yes","No"))</f>
      </c>
      <c r="U132" s="79"/>
      <c r="V132" s="79"/>
      <c r="W132" s="78">
        <f>IF($B132="","",IF($U132="","—",IF($U132="","",IFERROR(IF(INDEX('ONLINE ORDERS'!$M$6:$M$155,MATCH($U132,'ONLINE ORDERS'!$B$6:$B$155,0))="","",INDEX('ONLINE ORDERS'!$M$6:$M$155,MATCH($U132,'ONLINE ORDERS'!$B$6:$B$155,0))),""))))</f>
      </c>
      <c r="X132" s="79"/>
      <c r="Y132" s="79"/>
      <c r="Z132" s="79"/>
      <c r="AA132" s="79"/>
      <c r="AB132" s="82"/>
      <c r="AC132" s="82"/>
      <c r="AD132" s="78">
        <f>IF($F132="","",LOWER(TRIM($C132&amp;"|"&amp;TRIM($F132))))</f>
      </c>
      <c r="AE132" s="78">
        <f>IF($AD132="","",IF(COUNTIF('GIFT PLANNER'!$AD$6:$AD$205,$AD132)&gt;1,"CHECK DUPLICATE",""))</f>
      </c>
      <c r="AF132" s="80"/>
      <c r="AG132" s="78">
        <f>IF($B132="",0,IF(COUNTIF('GIFT PLANNER'!$B$6:$B$205,$B132)&gt;1,1,0))</f>
      </c>
      <c r="AH132" s="78">
        <f>IF(OR(N($Q132)&gt;0,N($R132)&gt;0),IF($G132="",1,IF(COUNTIF('MASTER BUDGET'!$D$6:$D$25,$G132)=0,1,0)),0)</f>
      </c>
      <c r="AI132" s="78">
        <f>IF($C132="",0,IF(COUNTIF('PEOPLE + BUDGETS'!$B$6:$B$105,$C132)=0,1,0))</f>
      </c>
      <c r="AJ132" s="78">
        <f>IF($U132="",0,IF(COUNTIF('ONLINE ORDERS'!$B$6:$B$155,$U132)=0,1,0))</f>
      </c>
      <c r="AK132" s="75"/>
    </row>
    <row r="133" ht="17" customHeight="1" spans="1:37" x14ac:dyDescent="0.25">
      <c r="A133" s="75"/>
      <c r="B133" s="79"/>
      <c r="C133" s="79"/>
      <c r="D133" s="78">
        <f>IF($B133="","",IF($C133="","",IFERROR(IF(INDEX('PEOPLE + BUDGETS'!$C$6:$C$105,MATCH($C133,'PEOPLE + BUDGETS'!$B$6:$B$105,0))="","",INDEX('PEOPLE + BUDGETS'!$C$6:$C$105,MATCH($C133,'PEOPLE + BUDGETS'!$B$6:$B$105,0))),"")))</f>
      </c>
      <c r="E133" s="78">
        <f>IF($B133="","",IF(OR($S133="Cancelled",$S133="Returned"),"No",IFERROR(INDEX('PEOPLE + BUDGETS'!$O$6:$O$105,MATCH($C133,'PEOPLE + BUDGETS'!$B$6:$B$105,0)),"Yes")))</f>
      </c>
      <c r="F133" s="80"/>
      <c r="G133" s="79"/>
      <c r="H133" s="79"/>
      <c r="I133" s="79"/>
      <c r="J133" s="80"/>
      <c r="K133" s="79"/>
      <c r="L133" s="90"/>
      <c r="M133" s="86"/>
      <c r="N133" s="86"/>
      <c r="O133" s="86"/>
      <c r="P133" s="86"/>
      <c r="Q133" s="85">
        <f>IF($B133="","",ROUND(MAX(0,$L133*$M133-$N133)+$O133+$P133,2))</f>
      </c>
      <c r="R133" s="86"/>
      <c r="S133" s="79"/>
      <c r="T133" s="78">
        <f>IF($B133="","",IF($S133="Purchased","Yes","No"))</f>
      </c>
      <c r="U133" s="79"/>
      <c r="V133" s="79"/>
      <c r="W133" s="78">
        <f>IF($B133="","",IF($U133="","—",IF($U133="","",IFERROR(IF(INDEX('ONLINE ORDERS'!$M$6:$M$155,MATCH($U133,'ONLINE ORDERS'!$B$6:$B$155,0))="","",INDEX('ONLINE ORDERS'!$M$6:$M$155,MATCH($U133,'ONLINE ORDERS'!$B$6:$B$155,0))),""))))</f>
      </c>
      <c r="X133" s="79"/>
      <c r="Y133" s="79"/>
      <c r="Z133" s="79"/>
      <c r="AA133" s="79"/>
      <c r="AB133" s="82"/>
      <c r="AC133" s="82"/>
      <c r="AD133" s="78">
        <f>IF($F133="","",LOWER(TRIM($C133&amp;"|"&amp;TRIM($F133))))</f>
      </c>
      <c r="AE133" s="78">
        <f>IF($AD133="","",IF(COUNTIF('GIFT PLANNER'!$AD$6:$AD$205,$AD133)&gt;1,"CHECK DUPLICATE",""))</f>
      </c>
      <c r="AF133" s="80"/>
      <c r="AG133" s="78">
        <f>IF($B133="",0,IF(COUNTIF('GIFT PLANNER'!$B$6:$B$205,$B133)&gt;1,1,0))</f>
      </c>
      <c r="AH133" s="78">
        <f>IF(OR(N($Q133)&gt;0,N($R133)&gt;0),IF($G133="",1,IF(COUNTIF('MASTER BUDGET'!$D$6:$D$25,$G133)=0,1,0)),0)</f>
      </c>
      <c r="AI133" s="78">
        <f>IF($C133="",0,IF(COUNTIF('PEOPLE + BUDGETS'!$B$6:$B$105,$C133)=0,1,0))</f>
      </c>
      <c r="AJ133" s="78">
        <f>IF($U133="",0,IF(COUNTIF('ONLINE ORDERS'!$B$6:$B$155,$U133)=0,1,0))</f>
      </c>
      <c r="AK133" s="75"/>
    </row>
    <row r="134" ht="17" customHeight="1" spans="1:37" x14ac:dyDescent="0.25">
      <c r="A134" s="75"/>
      <c r="B134" s="79"/>
      <c r="C134" s="79"/>
      <c r="D134" s="78">
        <f>IF($B134="","",IF($C134="","",IFERROR(IF(INDEX('PEOPLE + BUDGETS'!$C$6:$C$105,MATCH($C134,'PEOPLE + BUDGETS'!$B$6:$B$105,0))="","",INDEX('PEOPLE + BUDGETS'!$C$6:$C$105,MATCH($C134,'PEOPLE + BUDGETS'!$B$6:$B$105,0))),"")))</f>
      </c>
      <c r="E134" s="78">
        <f>IF($B134="","",IF(OR($S134="Cancelled",$S134="Returned"),"No",IFERROR(INDEX('PEOPLE + BUDGETS'!$O$6:$O$105,MATCH($C134,'PEOPLE + BUDGETS'!$B$6:$B$105,0)),"Yes")))</f>
      </c>
      <c r="F134" s="80"/>
      <c r="G134" s="79"/>
      <c r="H134" s="79"/>
      <c r="I134" s="79"/>
      <c r="J134" s="80"/>
      <c r="K134" s="79"/>
      <c r="L134" s="90"/>
      <c r="M134" s="86"/>
      <c r="N134" s="86"/>
      <c r="O134" s="86"/>
      <c r="P134" s="86"/>
      <c r="Q134" s="85">
        <f>IF($B134="","",ROUND(MAX(0,$L134*$M134-$N134)+$O134+$P134,2))</f>
      </c>
      <c r="R134" s="86"/>
      <c r="S134" s="79"/>
      <c r="T134" s="78">
        <f>IF($B134="","",IF($S134="Purchased","Yes","No"))</f>
      </c>
      <c r="U134" s="79"/>
      <c r="V134" s="79"/>
      <c r="W134" s="78">
        <f>IF($B134="","",IF($U134="","—",IF($U134="","",IFERROR(IF(INDEX('ONLINE ORDERS'!$M$6:$M$155,MATCH($U134,'ONLINE ORDERS'!$B$6:$B$155,0))="","",INDEX('ONLINE ORDERS'!$M$6:$M$155,MATCH($U134,'ONLINE ORDERS'!$B$6:$B$155,0))),""))))</f>
      </c>
      <c r="X134" s="79"/>
      <c r="Y134" s="79"/>
      <c r="Z134" s="79"/>
      <c r="AA134" s="79"/>
      <c r="AB134" s="82"/>
      <c r="AC134" s="82"/>
      <c r="AD134" s="78">
        <f>IF($F134="","",LOWER(TRIM($C134&amp;"|"&amp;TRIM($F134))))</f>
      </c>
      <c r="AE134" s="78">
        <f>IF($AD134="","",IF(COUNTIF('GIFT PLANNER'!$AD$6:$AD$205,$AD134)&gt;1,"CHECK DUPLICATE",""))</f>
      </c>
      <c r="AF134" s="80"/>
      <c r="AG134" s="78">
        <f>IF($B134="",0,IF(COUNTIF('GIFT PLANNER'!$B$6:$B$205,$B134)&gt;1,1,0))</f>
      </c>
      <c r="AH134" s="78">
        <f>IF(OR(N($Q134)&gt;0,N($R134)&gt;0),IF($G134="",1,IF(COUNTIF('MASTER BUDGET'!$D$6:$D$25,$G134)=0,1,0)),0)</f>
      </c>
      <c r="AI134" s="78">
        <f>IF($C134="",0,IF(COUNTIF('PEOPLE + BUDGETS'!$B$6:$B$105,$C134)=0,1,0))</f>
      </c>
      <c r="AJ134" s="78">
        <f>IF($U134="",0,IF(COUNTIF('ONLINE ORDERS'!$B$6:$B$155,$U134)=0,1,0))</f>
      </c>
      <c r="AK134" s="75"/>
    </row>
    <row r="135" ht="17" customHeight="1" spans="1:37" x14ac:dyDescent="0.25">
      <c r="A135" s="75"/>
      <c r="B135" s="79"/>
      <c r="C135" s="79"/>
      <c r="D135" s="78">
        <f>IF($B135="","",IF($C135="","",IFERROR(IF(INDEX('PEOPLE + BUDGETS'!$C$6:$C$105,MATCH($C135,'PEOPLE + BUDGETS'!$B$6:$B$105,0))="","",INDEX('PEOPLE + BUDGETS'!$C$6:$C$105,MATCH($C135,'PEOPLE + BUDGETS'!$B$6:$B$105,0))),"")))</f>
      </c>
      <c r="E135" s="78">
        <f>IF($B135="","",IF(OR($S135="Cancelled",$S135="Returned"),"No",IFERROR(INDEX('PEOPLE + BUDGETS'!$O$6:$O$105,MATCH($C135,'PEOPLE + BUDGETS'!$B$6:$B$105,0)),"Yes")))</f>
      </c>
      <c r="F135" s="80"/>
      <c r="G135" s="79"/>
      <c r="H135" s="79"/>
      <c r="I135" s="79"/>
      <c r="J135" s="80"/>
      <c r="K135" s="79"/>
      <c r="L135" s="90"/>
      <c r="M135" s="86"/>
      <c r="N135" s="86"/>
      <c r="O135" s="86"/>
      <c r="P135" s="86"/>
      <c r="Q135" s="85">
        <f>IF($B135="","",ROUND(MAX(0,$L135*$M135-$N135)+$O135+$P135,2))</f>
      </c>
      <c r="R135" s="86"/>
      <c r="S135" s="79"/>
      <c r="T135" s="78">
        <f>IF($B135="","",IF($S135="Purchased","Yes","No"))</f>
      </c>
      <c r="U135" s="79"/>
      <c r="V135" s="79"/>
      <c r="W135" s="78">
        <f>IF($B135="","",IF($U135="","—",IF($U135="","",IFERROR(IF(INDEX('ONLINE ORDERS'!$M$6:$M$155,MATCH($U135,'ONLINE ORDERS'!$B$6:$B$155,0))="","",INDEX('ONLINE ORDERS'!$M$6:$M$155,MATCH($U135,'ONLINE ORDERS'!$B$6:$B$155,0))),""))))</f>
      </c>
      <c r="X135" s="79"/>
      <c r="Y135" s="79"/>
      <c r="Z135" s="79"/>
      <c r="AA135" s="79"/>
      <c r="AB135" s="82"/>
      <c r="AC135" s="82"/>
      <c r="AD135" s="78">
        <f>IF($F135="","",LOWER(TRIM($C135&amp;"|"&amp;TRIM($F135))))</f>
      </c>
      <c r="AE135" s="78">
        <f>IF($AD135="","",IF(COUNTIF('GIFT PLANNER'!$AD$6:$AD$205,$AD135)&gt;1,"CHECK DUPLICATE",""))</f>
      </c>
      <c r="AF135" s="80"/>
      <c r="AG135" s="78">
        <f>IF($B135="",0,IF(COUNTIF('GIFT PLANNER'!$B$6:$B$205,$B135)&gt;1,1,0))</f>
      </c>
      <c r="AH135" s="78">
        <f>IF(OR(N($Q135)&gt;0,N($R135)&gt;0),IF($G135="",1,IF(COUNTIF('MASTER BUDGET'!$D$6:$D$25,$G135)=0,1,0)),0)</f>
      </c>
      <c r="AI135" s="78">
        <f>IF($C135="",0,IF(COUNTIF('PEOPLE + BUDGETS'!$B$6:$B$105,$C135)=0,1,0))</f>
      </c>
      <c r="AJ135" s="78">
        <f>IF($U135="",0,IF(COUNTIF('ONLINE ORDERS'!$B$6:$B$155,$U135)=0,1,0))</f>
      </c>
      <c r="AK135" s="75"/>
    </row>
    <row r="136" ht="17" customHeight="1" spans="1:37" x14ac:dyDescent="0.25">
      <c r="A136" s="75"/>
      <c r="B136" s="79"/>
      <c r="C136" s="79"/>
      <c r="D136" s="78">
        <f>IF($B136="","",IF($C136="","",IFERROR(IF(INDEX('PEOPLE + BUDGETS'!$C$6:$C$105,MATCH($C136,'PEOPLE + BUDGETS'!$B$6:$B$105,0))="","",INDEX('PEOPLE + BUDGETS'!$C$6:$C$105,MATCH($C136,'PEOPLE + BUDGETS'!$B$6:$B$105,0))),"")))</f>
      </c>
      <c r="E136" s="78">
        <f>IF($B136="","",IF(OR($S136="Cancelled",$S136="Returned"),"No",IFERROR(INDEX('PEOPLE + BUDGETS'!$O$6:$O$105,MATCH($C136,'PEOPLE + BUDGETS'!$B$6:$B$105,0)),"Yes")))</f>
      </c>
      <c r="F136" s="80"/>
      <c r="G136" s="79"/>
      <c r="H136" s="79"/>
      <c r="I136" s="79"/>
      <c r="J136" s="80"/>
      <c r="K136" s="79"/>
      <c r="L136" s="90"/>
      <c r="M136" s="86"/>
      <c r="N136" s="86"/>
      <c r="O136" s="86"/>
      <c r="P136" s="86"/>
      <c r="Q136" s="85">
        <f>IF($B136="","",ROUND(MAX(0,$L136*$M136-$N136)+$O136+$P136,2))</f>
      </c>
      <c r="R136" s="86"/>
      <c r="S136" s="79"/>
      <c r="T136" s="78">
        <f>IF($B136="","",IF($S136="Purchased","Yes","No"))</f>
      </c>
      <c r="U136" s="79"/>
      <c r="V136" s="79"/>
      <c r="W136" s="78">
        <f>IF($B136="","",IF($U136="","—",IF($U136="","",IFERROR(IF(INDEX('ONLINE ORDERS'!$M$6:$M$155,MATCH($U136,'ONLINE ORDERS'!$B$6:$B$155,0))="","",INDEX('ONLINE ORDERS'!$M$6:$M$155,MATCH($U136,'ONLINE ORDERS'!$B$6:$B$155,0))),""))))</f>
      </c>
      <c r="X136" s="79"/>
      <c r="Y136" s="79"/>
      <c r="Z136" s="79"/>
      <c r="AA136" s="79"/>
      <c r="AB136" s="82"/>
      <c r="AC136" s="82"/>
      <c r="AD136" s="78">
        <f>IF($F136="","",LOWER(TRIM($C136&amp;"|"&amp;TRIM($F136))))</f>
      </c>
      <c r="AE136" s="78">
        <f>IF($AD136="","",IF(COUNTIF('GIFT PLANNER'!$AD$6:$AD$205,$AD136)&gt;1,"CHECK DUPLICATE",""))</f>
      </c>
      <c r="AF136" s="80"/>
      <c r="AG136" s="78">
        <f>IF($B136="",0,IF(COUNTIF('GIFT PLANNER'!$B$6:$B$205,$B136)&gt;1,1,0))</f>
      </c>
      <c r="AH136" s="78">
        <f>IF(OR(N($Q136)&gt;0,N($R136)&gt;0),IF($G136="",1,IF(COUNTIF('MASTER BUDGET'!$D$6:$D$25,$G136)=0,1,0)),0)</f>
      </c>
      <c r="AI136" s="78">
        <f>IF($C136="",0,IF(COUNTIF('PEOPLE + BUDGETS'!$B$6:$B$105,$C136)=0,1,0))</f>
      </c>
      <c r="AJ136" s="78">
        <f>IF($U136="",0,IF(COUNTIF('ONLINE ORDERS'!$B$6:$B$155,$U136)=0,1,0))</f>
      </c>
      <c r="AK136" s="75"/>
    </row>
    <row r="137" ht="17" customHeight="1" spans="1:37" x14ac:dyDescent="0.25">
      <c r="A137" s="75"/>
      <c r="B137" s="79"/>
      <c r="C137" s="79"/>
      <c r="D137" s="78">
        <f>IF($B137="","",IF($C137="","",IFERROR(IF(INDEX('PEOPLE + BUDGETS'!$C$6:$C$105,MATCH($C137,'PEOPLE + BUDGETS'!$B$6:$B$105,0))="","",INDEX('PEOPLE + BUDGETS'!$C$6:$C$105,MATCH($C137,'PEOPLE + BUDGETS'!$B$6:$B$105,0))),"")))</f>
      </c>
      <c r="E137" s="78">
        <f>IF($B137="","",IF(OR($S137="Cancelled",$S137="Returned"),"No",IFERROR(INDEX('PEOPLE + BUDGETS'!$O$6:$O$105,MATCH($C137,'PEOPLE + BUDGETS'!$B$6:$B$105,0)),"Yes")))</f>
      </c>
      <c r="F137" s="80"/>
      <c r="G137" s="79"/>
      <c r="H137" s="79"/>
      <c r="I137" s="79"/>
      <c r="J137" s="80"/>
      <c r="K137" s="79"/>
      <c r="L137" s="90"/>
      <c r="M137" s="86"/>
      <c r="N137" s="86"/>
      <c r="O137" s="86"/>
      <c r="P137" s="86"/>
      <c r="Q137" s="85">
        <f>IF($B137="","",ROUND(MAX(0,$L137*$M137-$N137)+$O137+$P137,2))</f>
      </c>
      <c r="R137" s="86"/>
      <c r="S137" s="79"/>
      <c r="T137" s="78">
        <f>IF($B137="","",IF($S137="Purchased","Yes","No"))</f>
      </c>
      <c r="U137" s="79"/>
      <c r="V137" s="79"/>
      <c r="W137" s="78">
        <f>IF($B137="","",IF($U137="","—",IF($U137="","",IFERROR(IF(INDEX('ONLINE ORDERS'!$M$6:$M$155,MATCH($U137,'ONLINE ORDERS'!$B$6:$B$155,0))="","",INDEX('ONLINE ORDERS'!$M$6:$M$155,MATCH($U137,'ONLINE ORDERS'!$B$6:$B$155,0))),""))))</f>
      </c>
      <c r="X137" s="79"/>
      <c r="Y137" s="79"/>
      <c r="Z137" s="79"/>
      <c r="AA137" s="79"/>
      <c r="AB137" s="82"/>
      <c r="AC137" s="82"/>
      <c r="AD137" s="78">
        <f>IF($F137="","",LOWER(TRIM($C137&amp;"|"&amp;TRIM($F137))))</f>
      </c>
      <c r="AE137" s="78">
        <f>IF($AD137="","",IF(COUNTIF('GIFT PLANNER'!$AD$6:$AD$205,$AD137)&gt;1,"CHECK DUPLICATE",""))</f>
      </c>
      <c r="AF137" s="80"/>
      <c r="AG137" s="78">
        <f>IF($B137="",0,IF(COUNTIF('GIFT PLANNER'!$B$6:$B$205,$B137)&gt;1,1,0))</f>
      </c>
      <c r="AH137" s="78">
        <f>IF(OR(N($Q137)&gt;0,N($R137)&gt;0),IF($G137="",1,IF(COUNTIF('MASTER BUDGET'!$D$6:$D$25,$G137)=0,1,0)),0)</f>
      </c>
      <c r="AI137" s="78">
        <f>IF($C137="",0,IF(COUNTIF('PEOPLE + BUDGETS'!$B$6:$B$105,$C137)=0,1,0))</f>
      </c>
      <c r="AJ137" s="78">
        <f>IF($U137="",0,IF(COUNTIF('ONLINE ORDERS'!$B$6:$B$155,$U137)=0,1,0))</f>
      </c>
      <c r="AK137" s="75"/>
    </row>
    <row r="138" ht="17" customHeight="1" spans="1:37" x14ac:dyDescent="0.25">
      <c r="A138" s="75"/>
      <c r="B138" s="79"/>
      <c r="C138" s="79"/>
      <c r="D138" s="78">
        <f>IF($B138="","",IF($C138="","",IFERROR(IF(INDEX('PEOPLE + BUDGETS'!$C$6:$C$105,MATCH($C138,'PEOPLE + BUDGETS'!$B$6:$B$105,0))="","",INDEX('PEOPLE + BUDGETS'!$C$6:$C$105,MATCH($C138,'PEOPLE + BUDGETS'!$B$6:$B$105,0))),"")))</f>
      </c>
      <c r="E138" s="78">
        <f>IF($B138="","",IF(OR($S138="Cancelled",$S138="Returned"),"No",IFERROR(INDEX('PEOPLE + BUDGETS'!$O$6:$O$105,MATCH($C138,'PEOPLE + BUDGETS'!$B$6:$B$105,0)),"Yes")))</f>
      </c>
      <c r="F138" s="80"/>
      <c r="G138" s="79"/>
      <c r="H138" s="79"/>
      <c r="I138" s="79"/>
      <c r="J138" s="80"/>
      <c r="K138" s="79"/>
      <c r="L138" s="90"/>
      <c r="M138" s="86"/>
      <c r="N138" s="86"/>
      <c r="O138" s="86"/>
      <c r="P138" s="86"/>
      <c r="Q138" s="85">
        <f>IF($B138="","",ROUND(MAX(0,$L138*$M138-$N138)+$O138+$P138,2))</f>
      </c>
      <c r="R138" s="86"/>
      <c r="S138" s="79"/>
      <c r="T138" s="78">
        <f>IF($B138="","",IF($S138="Purchased","Yes","No"))</f>
      </c>
      <c r="U138" s="79"/>
      <c r="V138" s="79"/>
      <c r="W138" s="78">
        <f>IF($B138="","",IF($U138="","—",IF($U138="","",IFERROR(IF(INDEX('ONLINE ORDERS'!$M$6:$M$155,MATCH($U138,'ONLINE ORDERS'!$B$6:$B$155,0))="","",INDEX('ONLINE ORDERS'!$M$6:$M$155,MATCH($U138,'ONLINE ORDERS'!$B$6:$B$155,0))),""))))</f>
      </c>
      <c r="X138" s="79"/>
      <c r="Y138" s="79"/>
      <c r="Z138" s="79"/>
      <c r="AA138" s="79"/>
      <c r="AB138" s="82"/>
      <c r="AC138" s="82"/>
      <c r="AD138" s="78">
        <f>IF($F138="","",LOWER(TRIM($C138&amp;"|"&amp;TRIM($F138))))</f>
      </c>
      <c r="AE138" s="78">
        <f>IF($AD138="","",IF(COUNTIF('GIFT PLANNER'!$AD$6:$AD$205,$AD138)&gt;1,"CHECK DUPLICATE",""))</f>
      </c>
      <c r="AF138" s="80"/>
      <c r="AG138" s="78">
        <f>IF($B138="",0,IF(COUNTIF('GIFT PLANNER'!$B$6:$B$205,$B138)&gt;1,1,0))</f>
      </c>
      <c r="AH138" s="78">
        <f>IF(OR(N($Q138)&gt;0,N($R138)&gt;0),IF($G138="",1,IF(COUNTIF('MASTER BUDGET'!$D$6:$D$25,$G138)=0,1,0)),0)</f>
      </c>
      <c r="AI138" s="78">
        <f>IF($C138="",0,IF(COUNTIF('PEOPLE + BUDGETS'!$B$6:$B$105,$C138)=0,1,0))</f>
      </c>
      <c r="AJ138" s="78">
        <f>IF($U138="",0,IF(COUNTIF('ONLINE ORDERS'!$B$6:$B$155,$U138)=0,1,0))</f>
      </c>
      <c r="AK138" s="75"/>
    </row>
    <row r="139" ht="17" customHeight="1" spans="1:37" x14ac:dyDescent="0.25">
      <c r="A139" s="75"/>
      <c r="B139" s="79"/>
      <c r="C139" s="79"/>
      <c r="D139" s="78">
        <f>IF($B139="","",IF($C139="","",IFERROR(IF(INDEX('PEOPLE + BUDGETS'!$C$6:$C$105,MATCH($C139,'PEOPLE + BUDGETS'!$B$6:$B$105,0))="","",INDEX('PEOPLE + BUDGETS'!$C$6:$C$105,MATCH($C139,'PEOPLE + BUDGETS'!$B$6:$B$105,0))),"")))</f>
      </c>
      <c r="E139" s="78">
        <f>IF($B139="","",IF(OR($S139="Cancelled",$S139="Returned"),"No",IFERROR(INDEX('PEOPLE + BUDGETS'!$O$6:$O$105,MATCH($C139,'PEOPLE + BUDGETS'!$B$6:$B$105,0)),"Yes")))</f>
      </c>
      <c r="F139" s="80"/>
      <c r="G139" s="79"/>
      <c r="H139" s="79"/>
      <c r="I139" s="79"/>
      <c r="J139" s="80"/>
      <c r="K139" s="79"/>
      <c r="L139" s="90"/>
      <c r="M139" s="86"/>
      <c r="N139" s="86"/>
      <c r="O139" s="86"/>
      <c r="P139" s="86"/>
      <c r="Q139" s="85">
        <f>IF($B139="","",ROUND(MAX(0,$L139*$M139-$N139)+$O139+$P139,2))</f>
      </c>
      <c r="R139" s="86"/>
      <c r="S139" s="79"/>
      <c r="T139" s="78">
        <f>IF($B139="","",IF($S139="Purchased","Yes","No"))</f>
      </c>
      <c r="U139" s="79"/>
      <c r="V139" s="79"/>
      <c r="W139" s="78">
        <f>IF($B139="","",IF($U139="","—",IF($U139="","",IFERROR(IF(INDEX('ONLINE ORDERS'!$M$6:$M$155,MATCH($U139,'ONLINE ORDERS'!$B$6:$B$155,0))="","",INDEX('ONLINE ORDERS'!$M$6:$M$155,MATCH($U139,'ONLINE ORDERS'!$B$6:$B$155,0))),""))))</f>
      </c>
      <c r="X139" s="79"/>
      <c r="Y139" s="79"/>
      <c r="Z139" s="79"/>
      <c r="AA139" s="79"/>
      <c r="AB139" s="82"/>
      <c r="AC139" s="82"/>
      <c r="AD139" s="78">
        <f>IF($F139="","",LOWER(TRIM($C139&amp;"|"&amp;TRIM($F139))))</f>
      </c>
      <c r="AE139" s="78">
        <f>IF($AD139="","",IF(COUNTIF('GIFT PLANNER'!$AD$6:$AD$205,$AD139)&gt;1,"CHECK DUPLICATE",""))</f>
      </c>
      <c r="AF139" s="80"/>
      <c r="AG139" s="78">
        <f>IF($B139="",0,IF(COUNTIF('GIFT PLANNER'!$B$6:$B$205,$B139)&gt;1,1,0))</f>
      </c>
      <c r="AH139" s="78">
        <f>IF(OR(N($Q139)&gt;0,N($R139)&gt;0),IF($G139="",1,IF(COUNTIF('MASTER BUDGET'!$D$6:$D$25,$G139)=0,1,0)),0)</f>
      </c>
      <c r="AI139" s="78">
        <f>IF($C139="",0,IF(COUNTIF('PEOPLE + BUDGETS'!$B$6:$B$105,$C139)=0,1,0))</f>
      </c>
      <c r="AJ139" s="78">
        <f>IF($U139="",0,IF(COUNTIF('ONLINE ORDERS'!$B$6:$B$155,$U139)=0,1,0))</f>
      </c>
      <c r="AK139" s="75"/>
    </row>
    <row r="140" ht="17" customHeight="1" spans="1:37" x14ac:dyDescent="0.25">
      <c r="A140" s="75"/>
      <c r="B140" s="79"/>
      <c r="C140" s="79"/>
      <c r="D140" s="78">
        <f>IF($B140="","",IF($C140="","",IFERROR(IF(INDEX('PEOPLE + BUDGETS'!$C$6:$C$105,MATCH($C140,'PEOPLE + BUDGETS'!$B$6:$B$105,0))="","",INDEX('PEOPLE + BUDGETS'!$C$6:$C$105,MATCH($C140,'PEOPLE + BUDGETS'!$B$6:$B$105,0))),"")))</f>
      </c>
      <c r="E140" s="78">
        <f>IF($B140="","",IF(OR($S140="Cancelled",$S140="Returned"),"No",IFERROR(INDEX('PEOPLE + BUDGETS'!$O$6:$O$105,MATCH($C140,'PEOPLE + BUDGETS'!$B$6:$B$105,0)),"Yes")))</f>
      </c>
      <c r="F140" s="80"/>
      <c r="G140" s="79"/>
      <c r="H140" s="79"/>
      <c r="I140" s="79"/>
      <c r="J140" s="80"/>
      <c r="K140" s="79"/>
      <c r="L140" s="90"/>
      <c r="M140" s="86"/>
      <c r="N140" s="86"/>
      <c r="O140" s="86"/>
      <c r="P140" s="86"/>
      <c r="Q140" s="85">
        <f>IF($B140="","",ROUND(MAX(0,$L140*$M140-$N140)+$O140+$P140,2))</f>
      </c>
      <c r="R140" s="86"/>
      <c r="S140" s="79"/>
      <c r="T140" s="78">
        <f>IF($B140="","",IF($S140="Purchased","Yes","No"))</f>
      </c>
      <c r="U140" s="79"/>
      <c r="V140" s="79"/>
      <c r="W140" s="78">
        <f>IF($B140="","",IF($U140="","—",IF($U140="","",IFERROR(IF(INDEX('ONLINE ORDERS'!$M$6:$M$155,MATCH($U140,'ONLINE ORDERS'!$B$6:$B$155,0))="","",INDEX('ONLINE ORDERS'!$M$6:$M$155,MATCH($U140,'ONLINE ORDERS'!$B$6:$B$155,0))),""))))</f>
      </c>
      <c r="X140" s="79"/>
      <c r="Y140" s="79"/>
      <c r="Z140" s="79"/>
      <c r="AA140" s="79"/>
      <c r="AB140" s="82"/>
      <c r="AC140" s="82"/>
      <c r="AD140" s="78">
        <f>IF($F140="","",LOWER(TRIM($C140&amp;"|"&amp;TRIM($F140))))</f>
      </c>
      <c r="AE140" s="78">
        <f>IF($AD140="","",IF(COUNTIF('GIFT PLANNER'!$AD$6:$AD$205,$AD140)&gt;1,"CHECK DUPLICATE",""))</f>
      </c>
      <c r="AF140" s="80"/>
      <c r="AG140" s="78">
        <f>IF($B140="",0,IF(COUNTIF('GIFT PLANNER'!$B$6:$B$205,$B140)&gt;1,1,0))</f>
      </c>
      <c r="AH140" s="78">
        <f>IF(OR(N($Q140)&gt;0,N($R140)&gt;0),IF($G140="",1,IF(COUNTIF('MASTER BUDGET'!$D$6:$D$25,$G140)=0,1,0)),0)</f>
      </c>
      <c r="AI140" s="78">
        <f>IF($C140="",0,IF(COUNTIF('PEOPLE + BUDGETS'!$B$6:$B$105,$C140)=0,1,0))</f>
      </c>
      <c r="AJ140" s="78">
        <f>IF($U140="",0,IF(COUNTIF('ONLINE ORDERS'!$B$6:$B$155,$U140)=0,1,0))</f>
      </c>
      <c r="AK140" s="75"/>
    </row>
    <row r="141" ht="17" customHeight="1" spans="1:37" x14ac:dyDescent="0.25">
      <c r="A141" s="75"/>
      <c r="B141" s="79"/>
      <c r="C141" s="79"/>
      <c r="D141" s="78">
        <f>IF($B141="","",IF($C141="","",IFERROR(IF(INDEX('PEOPLE + BUDGETS'!$C$6:$C$105,MATCH($C141,'PEOPLE + BUDGETS'!$B$6:$B$105,0))="","",INDEX('PEOPLE + BUDGETS'!$C$6:$C$105,MATCH($C141,'PEOPLE + BUDGETS'!$B$6:$B$105,0))),"")))</f>
      </c>
      <c r="E141" s="78">
        <f>IF($B141="","",IF(OR($S141="Cancelled",$S141="Returned"),"No",IFERROR(INDEX('PEOPLE + BUDGETS'!$O$6:$O$105,MATCH($C141,'PEOPLE + BUDGETS'!$B$6:$B$105,0)),"Yes")))</f>
      </c>
      <c r="F141" s="80"/>
      <c r="G141" s="79"/>
      <c r="H141" s="79"/>
      <c r="I141" s="79"/>
      <c r="J141" s="80"/>
      <c r="K141" s="79"/>
      <c r="L141" s="90"/>
      <c r="M141" s="86"/>
      <c r="N141" s="86"/>
      <c r="O141" s="86"/>
      <c r="P141" s="86"/>
      <c r="Q141" s="85">
        <f>IF($B141="","",ROUND(MAX(0,$L141*$M141-$N141)+$O141+$P141,2))</f>
      </c>
      <c r="R141" s="86"/>
      <c r="S141" s="79"/>
      <c r="T141" s="78">
        <f>IF($B141="","",IF($S141="Purchased","Yes","No"))</f>
      </c>
      <c r="U141" s="79"/>
      <c r="V141" s="79"/>
      <c r="W141" s="78">
        <f>IF($B141="","",IF($U141="","—",IF($U141="","",IFERROR(IF(INDEX('ONLINE ORDERS'!$M$6:$M$155,MATCH($U141,'ONLINE ORDERS'!$B$6:$B$155,0))="","",INDEX('ONLINE ORDERS'!$M$6:$M$155,MATCH($U141,'ONLINE ORDERS'!$B$6:$B$155,0))),""))))</f>
      </c>
      <c r="X141" s="79"/>
      <c r="Y141" s="79"/>
      <c r="Z141" s="79"/>
      <c r="AA141" s="79"/>
      <c r="AB141" s="82"/>
      <c r="AC141" s="82"/>
      <c r="AD141" s="78">
        <f>IF($F141="","",LOWER(TRIM($C141&amp;"|"&amp;TRIM($F141))))</f>
      </c>
      <c r="AE141" s="78">
        <f>IF($AD141="","",IF(COUNTIF('GIFT PLANNER'!$AD$6:$AD$205,$AD141)&gt;1,"CHECK DUPLICATE",""))</f>
      </c>
      <c r="AF141" s="80"/>
      <c r="AG141" s="78">
        <f>IF($B141="",0,IF(COUNTIF('GIFT PLANNER'!$B$6:$B$205,$B141)&gt;1,1,0))</f>
      </c>
      <c r="AH141" s="78">
        <f>IF(OR(N($Q141)&gt;0,N($R141)&gt;0),IF($G141="",1,IF(COUNTIF('MASTER BUDGET'!$D$6:$D$25,$G141)=0,1,0)),0)</f>
      </c>
      <c r="AI141" s="78">
        <f>IF($C141="",0,IF(COUNTIF('PEOPLE + BUDGETS'!$B$6:$B$105,$C141)=0,1,0))</f>
      </c>
      <c r="AJ141" s="78">
        <f>IF($U141="",0,IF(COUNTIF('ONLINE ORDERS'!$B$6:$B$155,$U141)=0,1,0))</f>
      </c>
      <c r="AK141" s="75"/>
    </row>
    <row r="142" ht="17" customHeight="1" spans="1:37" x14ac:dyDescent="0.25">
      <c r="A142" s="75"/>
      <c r="B142" s="79"/>
      <c r="C142" s="79"/>
      <c r="D142" s="78">
        <f>IF($B142="","",IF($C142="","",IFERROR(IF(INDEX('PEOPLE + BUDGETS'!$C$6:$C$105,MATCH($C142,'PEOPLE + BUDGETS'!$B$6:$B$105,0))="","",INDEX('PEOPLE + BUDGETS'!$C$6:$C$105,MATCH($C142,'PEOPLE + BUDGETS'!$B$6:$B$105,0))),"")))</f>
      </c>
      <c r="E142" s="78">
        <f>IF($B142="","",IF(OR($S142="Cancelled",$S142="Returned"),"No",IFERROR(INDEX('PEOPLE + BUDGETS'!$O$6:$O$105,MATCH($C142,'PEOPLE + BUDGETS'!$B$6:$B$105,0)),"Yes")))</f>
      </c>
      <c r="F142" s="80"/>
      <c r="G142" s="79"/>
      <c r="H142" s="79"/>
      <c r="I142" s="79"/>
      <c r="J142" s="80"/>
      <c r="K142" s="79"/>
      <c r="L142" s="90"/>
      <c r="M142" s="86"/>
      <c r="N142" s="86"/>
      <c r="O142" s="86"/>
      <c r="P142" s="86"/>
      <c r="Q142" s="85">
        <f>IF($B142="","",ROUND(MAX(0,$L142*$M142-$N142)+$O142+$P142,2))</f>
      </c>
      <c r="R142" s="86"/>
      <c r="S142" s="79"/>
      <c r="T142" s="78">
        <f>IF($B142="","",IF($S142="Purchased","Yes","No"))</f>
      </c>
      <c r="U142" s="79"/>
      <c r="V142" s="79"/>
      <c r="W142" s="78">
        <f>IF($B142="","",IF($U142="","—",IF($U142="","",IFERROR(IF(INDEX('ONLINE ORDERS'!$M$6:$M$155,MATCH($U142,'ONLINE ORDERS'!$B$6:$B$155,0))="","",INDEX('ONLINE ORDERS'!$M$6:$M$155,MATCH($U142,'ONLINE ORDERS'!$B$6:$B$155,0))),""))))</f>
      </c>
      <c r="X142" s="79"/>
      <c r="Y142" s="79"/>
      <c r="Z142" s="79"/>
      <c r="AA142" s="79"/>
      <c r="AB142" s="82"/>
      <c r="AC142" s="82"/>
      <c r="AD142" s="78">
        <f>IF($F142="","",LOWER(TRIM($C142&amp;"|"&amp;TRIM($F142))))</f>
      </c>
      <c r="AE142" s="78">
        <f>IF($AD142="","",IF(COUNTIF('GIFT PLANNER'!$AD$6:$AD$205,$AD142)&gt;1,"CHECK DUPLICATE",""))</f>
      </c>
      <c r="AF142" s="80"/>
      <c r="AG142" s="78">
        <f>IF($B142="",0,IF(COUNTIF('GIFT PLANNER'!$B$6:$B$205,$B142)&gt;1,1,0))</f>
      </c>
      <c r="AH142" s="78">
        <f>IF(OR(N($Q142)&gt;0,N($R142)&gt;0),IF($G142="",1,IF(COUNTIF('MASTER BUDGET'!$D$6:$D$25,$G142)=0,1,0)),0)</f>
      </c>
      <c r="AI142" s="78">
        <f>IF($C142="",0,IF(COUNTIF('PEOPLE + BUDGETS'!$B$6:$B$105,$C142)=0,1,0))</f>
      </c>
      <c r="AJ142" s="78">
        <f>IF($U142="",0,IF(COUNTIF('ONLINE ORDERS'!$B$6:$B$155,$U142)=0,1,0))</f>
      </c>
      <c r="AK142" s="75"/>
    </row>
    <row r="143" ht="17" customHeight="1" spans="1:37" x14ac:dyDescent="0.25">
      <c r="A143" s="75"/>
      <c r="B143" s="79"/>
      <c r="C143" s="79"/>
      <c r="D143" s="78">
        <f>IF($B143="","",IF($C143="","",IFERROR(IF(INDEX('PEOPLE + BUDGETS'!$C$6:$C$105,MATCH($C143,'PEOPLE + BUDGETS'!$B$6:$B$105,0))="","",INDEX('PEOPLE + BUDGETS'!$C$6:$C$105,MATCH($C143,'PEOPLE + BUDGETS'!$B$6:$B$105,0))),"")))</f>
      </c>
      <c r="E143" s="78">
        <f>IF($B143="","",IF(OR($S143="Cancelled",$S143="Returned"),"No",IFERROR(INDEX('PEOPLE + BUDGETS'!$O$6:$O$105,MATCH($C143,'PEOPLE + BUDGETS'!$B$6:$B$105,0)),"Yes")))</f>
      </c>
      <c r="F143" s="80"/>
      <c r="G143" s="79"/>
      <c r="H143" s="79"/>
      <c r="I143" s="79"/>
      <c r="J143" s="80"/>
      <c r="K143" s="79"/>
      <c r="L143" s="90"/>
      <c r="M143" s="86"/>
      <c r="N143" s="86"/>
      <c r="O143" s="86"/>
      <c r="P143" s="86"/>
      <c r="Q143" s="85">
        <f>IF($B143="","",ROUND(MAX(0,$L143*$M143-$N143)+$O143+$P143,2))</f>
      </c>
      <c r="R143" s="86"/>
      <c r="S143" s="79"/>
      <c r="T143" s="78">
        <f>IF($B143="","",IF($S143="Purchased","Yes","No"))</f>
      </c>
      <c r="U143" s="79"/>
      <c r="V143" s="79"/>
      <c r="W143" s="78">
        <f>IF($B143="","",IF($U143="","—",IF($U143="","",IFERROR(IF(INDEX('ONLINE ORDERS'!$M$6:$M$155,MATCH($U143,'ONLINE ORDERS'!$B$6:$B$155,0))="","",INDEX('ONLINE ORDERS'!$M$6:$M$155,MATCH($U143,'ONLINE ORDERS'!$B$6:$B$155,0))),""))))</f>
      </c>
      <c r="X143" s="79"/>
      <c r="Y143" s="79"/>
      <c r="Z143" s="79"/>
      <c r="AA143" s="79"/>
      <c r="AB143" s="82"/>
      <c r="AC143" s="82"/>
      <c r="AD143" s="78">
        <f>IF($F143="","",LOWER(TRIM($C143&amp;"|"&amp;TRIM($F143))))</f>
      </c>
      <c r="AE143" s="78">
        <f>IF($AD143="","",IF(COUNTIF('GIFT PLANNER'!$AD$6:$AD$205,$AD143)&gt;1,"CHECK DUPLICATE",""))</f>
      </c>
      <c r="AF143" s="80"/>
      <c r="AG143" s="78">
        <f>IF($B143="",0,IF(COUNTIF('GIFT PLANNER'!$B$6:$B$205,$B143)&gt;1,1,0))</f>
      </c>
      <c r="AH143" s="78">
        <f>IF(OR(N($Q143)&gt;0,N($R143)&gt;0),IF($G143="",1,IF(COUNTIF('MASTER BUDGET'!$D$6:$D$25,$G143)=0,1,0)),0)</f>
      </c>
      <c r="AI143" s="78">
        <f>IF($C143="",0,IF(COUNTIF('PEOPLE + BUDGETS'!$B$6:$B$105,$C143)=0,1,0))</f>
      </c>
      <c r="AJ143" s="78">
        <f>IF($U143="",0,IF(COUNTIF('ONLINE ORDERS'!$B$6:$B$155,$U143)=0,1,0))</f>
      </c>
      <c r="AK143" s="75"/>
    </row>
    <row r="144" ht="17" customHeight="1" spans="1:37" x14ac:dyDescent="0.25">
      <c r="A144" s="75"/>
      <c r="B144" s="79"/>
      <c r="C144" s="79"/>
      <c r="D144" s="78">
        <f>IF($B144="","",IF($C144="","",IFERROR(IF(INDEX('PEOPLE + BUDGETS'!$C$6:$C$105,MATCH($C144,'PEOPLE + BUDGETS'!$B$6:$B$105,0))="","",INDEX('PEOPLE + BUDGETS'!$C$6:$C$105,MATCH($C144,'PEOPLE + BUDGETS'!$B$6:$B$105,0))),"")))</f>
      </c>
      <c r="E144" s="78">
        <f>IF($B144="","",IF(OR($S144="Cancelled",$S144="Returned"),"No",IFERROR(INDEX('PEOPLE + BUDGETS'!$O$6:$O$105,MATCH($C144,'PEOPLE + BUDGETS'!$B$6:$B$105,0)),"Yes")))</f>
      </c>
      <c r="F144" s="80"/>
      <c r="G144" s="79"/>
      <c r="H144" s="79"/>
      <c r="I144" s="79"/>
      <c r="J144" s="80"/>
      <c r="K144" s="79"/>
      <c r="L144" s="90"/>
      <c r="M144" s="86"/>
      <c r="N144" s="86"/>
      <c r="O144" s="86"/>
      <c r="P144" s="86"/>
      <c r="Q144" s="85">
        <f>IF($B144="","",ROUND(MAX(0,$L144*$M144-$N144)+$O144+$P144,2))</f>
      </c>
      <c r="R144" s="86"/>
      <c r="S144" s="79"/>
      <c r="T144" s="78">
        <f>IF($B144="","",IF($S144="Purchased","Yes","No"))</f>
      </c>
      <c r="U144" s="79"/>
      <c r="V144" s="79"/>
      <c r="W144" s="78">
        <f>IF($B144="","",IF($U144="","—",IF($U144="","",IFERROR(IF(INDEX('ONLINE ORDERS'!$M$6:$M$155,MATCH($U144,'ONLINE ORDERS'!$B$6:$B$155,0))="","",INDEX('ONLINE ORDERS'!$M$6:$M$155,MATCH($U144,'ONLINE ORDERS'!$B$6:$B$155,0))),""))))</f>
      </c>
      <c r="X144" s="79"/>
      <c r="Y144" s="79"/>
      <c r="Z144" s="79"/>
      <c r="AA144" s="79"/>
      <c r="AB144" s="82"/>
      <c r="AC144" s="82"/>
      <c r="AD144" s="78">
        <f>IF($F144="","",LOWER(TRIM($C144&amp;"|"&amp;TRIM($F144))))</f>
      </c>
      <c r="AE144" s="78">
        <f>IF($AD144="","",IF(COUNTIF('GIFT PLANNER'!$AD$6:$AD$205,$AD144)&gt;1,"CHECK DUPLICATE",""))</f>
      </c>
      <c r="AF144" s="80"/>
      <c r="AG144" s="78">
        <f>IF($B144="",0,IF(COUNTIF('GIFT PLANNER'!$B$6:$B$205,$B144)&gt;1,1,0))</f>
      </c>
      <c r="AH144" s="78">
        <f>IF(OR(N($Q144)&gt;0,N($R144)&gt;0),IF($G144="",1,IF(COUNTIF('MASTER BUDGET'!$D$6:$D$25,$G144)=0,1,0)),0)</f>
      </c>
      <c r="AI144" s="78">
        <f>IF($C144="",0,IF(COUNTIF('PEOPLE + BUDGETS'!$B$6:$B$105,$C144)=0,1,0))</f>
      </c>
      <c r="AJ144" s="78">
        <f>IF($U144="",0,IF(COUNTIF('ONLINE ORDERS'!$B$6:$B$155,$U144)=0,1,0))</f>
      </c>
      <c r="AK144" s="75"/>
    </row>
    <row r="145" ht="17" customHeight="1" spans="1:37" x14ac:dyDescent="0.25">
      <c r="A145" s="75"/>
      <c r="B145" s="79"/>
      <c r="C145" s="79"/>
      <c r="D145" s="78">
        <f>IF($B145="","",IF($C145="","",IFERROR(IF(INDEX('PEOPLE + BUDGETS'!$C$6:$C$105,MATCH($C145,'PEOPLE + BUDGETS'!$B$6:$B$105,0))="","",INDEX('PEOPLE + BUDGETS'!$C$6:$C$105,MATCH($C145,'PEOPLE + BUDGETS'!$B$6:$B$105,0))),"")))</f>
      </c>
      <c r="E145" s="78">
        <f>IF($B145="","",IF(OR($S145="Cancelled",$S145="Returned"),"No",IFERROR(INDEX('PEOPLE + BUDGETS'!$O$6:$O$105,MATCH($C145,'PEOPLE + BUDGETS'!$B$6:$B$105,0)),"Yes")))</f>
      </c>
      <c r="F145" s="80"/>
      <c r="G145" s="79"/>
      <c r="H145" s="79"/>
      <c r="I145" s="79"/>
      <c r="J145" s="80"/>
      <c r="K145" s="79"/>
      <c r="L145" s="90"/>
      <c r="M145" s="86"/>
      <c r="N145" s="86"/>
      <c r="O145" s="86"/>
      <c r="P145" s="86"/>
      <c r="Q145" s="85">
        <f>IF($B145="","",ROUND(MAX(0,$L145*$M145-$N145)+$O145+$P145,2))</f>
      </c>
      <c r="R145" s="86"/>
      <c r="S145" s="79"/>
      <c r="T145" s="78">
        <f>IF($B145="","",IF($S145="Purchased","Yes","No"))</f>
      </c>
      <c r="U145" s="79"/>
      <c r="V145" s="79"/>
      <c r="W145" s="78">
        <f>IF($B145="","",IF($U145="","—",IF($U145="","",IFERROR(IF(INDEX('ONLINE ORDERS'!$M$6:$M$155,MATCH($U145,'ONLINE ORDERS'!$B$6:$B$155,0))="","",INDEX('ONLINE ORDERS'!$M$6:$M$155,MATCH($U145,'ONLINE ORDERS'!$B$6:$B$155,0))),""))))</f>
      </c>
      <c r="X145" s="79"/>
      <c r="Y145" s="79"/>
      <c r="Z145" s="79"/>
      <c r="AA145" s="79"/>
      <c r="AB145" s="82"/>
      <c r="AC145" s="82"/>
      <c r="AD145" s="78">
        <f>IF($F145="","",LOWER(TRIM($C145&amp;"|"&amp;TRIM($F145))))</f>
      </c>
      <c r="AE145" s="78">
        <f>IF($AD145="","",IF(COUNTIF('GIFT PLANNER'!$AD$6:$AD$205,$AD145)&gt;1,"CHECK DUPLICATE",""))</f>
      </c>
      <c r="AF145" s="80"/>
      <c r="AG145" s="78">
        <f>IF($B145="",0,IF(COUNTIF('GIFT PLANNER'!$B$6:$B$205,$B145)&gt;1,1,0))</f>
      </c>
      <c r="AH145" s="78">
        <f>IF(OR(N($Q145)&gt;0,N($R145)&gt;0),IF($G145="",1,IF(COUNTIF('MASTER BUDGET'!$D$6:$D$25,$G145)=0,1,0)),0)</f>
      </c>
      <c r="AI145" s="78">
        <f>IF($C145="",0,IF(COUNTIF('PEOPLE + BUDGETS'!$B$6:$B$105,$C145)=0,1,0))</f>
      </c>
      <c r="AJ145" s="78">
        <f>IF($U145="",0,IF(COUNTIF('ONLINE ORDERS'!$B$6:$B$155,$U145)=0,1,0))</f>
      </c>
      <c r="AK145" s="75"/>
    </row>
    <row r="146" ht="17" customHeight="1" spans="1:37" x14ac:dyDescent="0.25">
      <c r="A146" s="75"/>
      <c r="B146" s="79"/>
      <c r="C146" s="79"/>
      <c r="D146" s="78">
        <f>IF($B146="","",IF($C146="","",IFERROR(IF(INDEX('PEOPLE + BUDGETS'!$C$6:$C$105,MATCH($C146,'PEOPLE + BUDGETS'!$B$6:$B$105,0))="","",INDEX('PEOPLE + BUDGETS'!$C$6:$C$105,MATCH($C146,'PEOPLE + BUDGETS'!$B$6:$B$105,0))),"")))</f>
      </c>
      <c r="E146" s="78">
        <f>IF($B146="","",IF(OR($S146="Cancelled",$S146="Returned"),"No",IFERROR(INDEX('PEOPLE + BUDGETS'!$O$6:$O$105,MATCH($C146,'PEOPLE + BUDGETS'!$B$6:$B$105,0)),"Yes")))</f>
      </c>
      <c r="F146" s="80"/>
      <c r="G146" s="79"/>
      <c r="H146" s="79"/>
      <c r="I146" s="79"/>
      <c r="J146" s="80"/>
      <c r="K146" s="79"/>
      <c r="L146" s="90"/>
      <c r="M146" s="86"/>
      <c r="N146" s="86"/>
      <c r="O146" s="86"/>
      <c r="P146" s="86"/>
      <c r="Q146" s="85">
        <f>IF($B146="","",ROUND(MAX(0,$L146*$M146-$N146)+$O146+$P146,2))</f>
      </c>
      <c r="R146" s="86"/>
      <c r="S146" s="79"/>
      <c r="T146" s="78">
        <f>IF($B146="","",IF($S146="Purchased","Yes","No"))</f>
      </c>
      <c r="U146" s="79"/>
      <c r="V146" s="79"/>
      <c r="W146" s="78">
        <f>IF($B146="","",IF($U146="","—",IF($U146="","",IFERROR(IF(INDEX('ONLINE ORDERS'!$M$6:$M$155,MATCH($U146,'ONLINE ORDERS'!$B$6:$B$155,0))="","",INDEX('ONLINE ORDERS'!$M$6:$M$155,MATCH($U146,'ONLINE ORDERS'!$B$6:$B$155,0))),""))))</f>
      </c>
      <c r="X146" s="79"/>
      <c r="Y146" s="79"/>
      <c r="Z146" s="79"/>
      <c r="AA146" s="79"/>
      <c r="AB146" s="82"/>
      <c r="AC146" s="82"/>
      <c r="AD146" s="78">
        <f>IF($F146="","",LOWER(TRIM($C146&amp;"|"&amp;TRIM($F146))))</f>
      </c>
      <c r="AE146" s="78">
        <f>IF($AD146="","",IF(COUNTIF('GIFT PLANNER'!$AD$6:$AD$205,$AD146)&gt;1,"CHECK DUPLICATE",""))</f>
      </c>
      <c r="AF146" s="80"/>
      <c r="AG146" s="78">
        <f>IF($B146="",0,IF(COUNTIF('GIFT PLANNER'!$B$6:$B$205,$B146)&gt;1,1,0))</f>
      </c>
      <c r="AH146" s="78">
        <f>IF(OR(N($Q146)&gt;0,N($R146)&gt;0),IF($G146="",1,IF(COUNTIF('MASTER BUDGET'!$D$6:$D$25,$G146)=0,1,0)),0)</f>
      </c>
      <c r="AI146" s="78">
        <f>IF($C146="",0,IF(COUNTIF('PEOPLE + BUDGETS'!$B$6:$B$105,$C146)=0,1,0))</f>
      </c>
      <c r="AJ146" s="78">
        <f>IF($U146="",0,IF(COUNTIF('ONLINE ORDERS'!$B$6:$B$155,$U146)=0,1,0))</f>
      </c>
      <c r="AK146" s="75"/>
    </row>
    <row r="147" ht="17" customHeight="1" spans="1:37" x14ac:dyDescent="0.25">
      <c r="A147" s="75"/>
      <c r="B147" s="79"/>
      <c r="C147" s="79"/>
      <c r="D147" s="78">
        <f>IF($B147="","",IF($C147="","",IFERROR(IF(INDEX('PEOPLE + BUDGETS'!$C$6:$C$105,MATCH($C147,'PEOPLE + BUDGETS'!$B$6:$B$105,0))="","",INDEX('PEOPLE + BUDGETS'!$C$6:$C$105,MATCH($C147,'PEOPLE + BUDGETS'!$B$6:$B$105,0))),"")))</f>
      </c>
      <c r="E147" s="78">
        <f>IF($B147="","",IF(OR($S147="Cancelled",$S147="Returned"),"No",IFERROR(INDEX('PEOPLE + BUDGETS'!$O$6:$O$105,MATCH($C147,'PEOPLE + BUDGETS'!$B$6:$B$105,0)),"Yes")))</f>
      </c>
      <c r="F147" s="80"/>
      <c r="G147" s="79"/>
      <c r="H147" s="79"/>
      <c r="I147" s="79"/>
      <c r="J147" s="80"/>
      <c r="K147" s="79"/>
      <c r="L147" s="90"/>
      <c r="M147" s="86"/>
      <c r="N147" s="86"/>
      <c r="O147" s="86"/>
      <c r="P147" s="86"/>
      <c r="Q147" s="85">
        <f>IF($B147="","",ROUND(MAX(0,$L147*$M147-$N147)+$O147+$P147,2))</f>
      </c>
      <c r="R147" s="86"/>
      <c r="S147" s="79"/>
      <c r="T147" s="78">
        <f>IF($B147="","",IF($S147="Purchased","Yes","No"))</f>
      </c>
      <c r="U147" s="79"/>
      <c r="V147" s="79"/>
      <c r="W147" s="78">
        <f>IF($B147="","",IF($U147="","—",IF($U147="","",IFERROR(IF(INDEX('ONLINE ORDERS'!$M$6:$M$155,MATCH($U147,'ONLINE ORDERS'!$B$6:$B$155,0))="","",INDEX('ONLINE ORDERS'!$M$6:$M$155,MATCH($U147,'ONLINE ORDERS'!$B$6:$B$155,0))),""))))</f>
      </c>
      <c r="X147" s="79"/>
      <c r="Y147" s="79"/>
      <c r="Z147" s="79"/>
      <c r="AA147" s="79"/>
      <c r="AB147" s="82"/>
      <c r="AC147" s="82"/>
      <c r="AD147" s="78">
        <f>IF($F147="","",LOWER(TRIM($C147&amp;"|"&amp;TRIM($F147))))</f>
      </c>
      <c r="AE147" s="78">
        <f>IF($AD147="","",IF(COUNTIF('GIFT PLANNER'!$AD$6:$AD$205,$AD147)&gt;1,"CHECK DUPLICATE",""))</f>
      </c>
      <c r="AF147" s="80"/>
      <c r="AG147" s="78">
        <f>IF($B147="",0,IF(COUNTIF('GIFT PLANNER'!$B$6:$B$205,$B147)&gt;1,1,0))</f>
      </c>
      <c r="AH147" s="78">
        <f>IF(OR(N($Q147)&gt;0,N($R147)&gt;0),IF($G147="",1,IF(COUNTIF('MASTER BUDGET'!$D$6:$D$25,$G147)=0,1,0)),0)</f>
      </c>
      <c r="AI147" s="78">
        <f>IF($C147="",0,IF(COUNTIF('PEOPLE + BUDGETS'!$B$6:$B$105,$C147)=0,1,0))</f>
      </c>
      <c r="AJ147" s="78">
        <f>IF($U147="",0,IF(COUNTIF('ONLINE ORDERS'!$B$6:$B$155,$U147)=0,1,0))</f>
      </c>
      <c r="AK147" s="75"/>
    </row>
    <row r="148" ht="17" customHeight="1" spans="1:37" x14ac:dyDescent="0.25">
      <c r="A148" s="75"/>
      <c r="B148" s="79"/>
      <c r="C148" s="79"/>
      <c r="D148" s="78">
        <f>IF($B148="","",IF($C148="","",IFERROR(IF(INDEX('PEOPLE + BUDGETS'!$C$6:$C$105,MATCH($C148,'PEOPLE + BUDGETS'!$B$6:$B$105,0))="","",INDEX('PEOPLE + BUDGETS'!$C$6:$C$105,MATCH($C148,'PEOPLE + BUDGETS'!$B$6:$B$105,0))),"")))</f>
      </c>
      <c r="E148" s="78">
        <f>IF($B148="","",IF(OR($S148="Cancelled",$S148="Returned"),"No",IFERROR(INDEX('PEOPLE + BUDGETS'!$O$6:$O$105,MATCH($C148,'PEOPLE + BUDGETS'!$B$6:$B$105,0)),"Yes")))</f>
      </c>
      <c r="F148" s="80"/>
      <c r="G148" s="79"/>
      <c r="H148" s="79"/>
      <c r="I148" s="79"/>
      <c r="J148" s="80"/>
      <c r="K148" s="79"/>
      <c r="L148" s="90"/>
      <c r="M148" s="86"/>
      <c r="N148" s="86"/>
      <c r="O148" s="86"/>
      <c r="P148" s="86"/>
      <c r="Q148" s="85">
        <f>IF($B148="","",ROUND(MAX(0,$L148*$M148-$N148)+$O148+$P148,2))</f>
      </c>
      <c r="R148" s="86"/>
      <c r="S148" s="79"/>
      <c r="T148" s="78">
        <f>IF($B148="","",IF($S148="Purchased","Yes","No"))</f>
      </c>
      <c r="U148" s="79"/>
      <c r="V148" s="79"/>
      <c r="W148" s="78">
        <f>IF($B148="","",IF($U148="","—",IF($U148="","",IFERROR(IF(INDEX('ONLINE ORDERS'!$M$6:$M$155,MATCH($U148,'ONLINE ORDERS'!$B$6:$B$155,0))="","",INDEX('ONLINE ORDERS'!$M$6:$M$155,MATCH($U148,'ONLINE ORDERS'!$B$6:$B$155,0))),""))))</f>
      </c>
      <c r="X148" s="79"/>
      <c r="Y148" s="79"/>
      <c r="Z148" s="79"/>
      <c r="AA148" s="79"/>
      <c r="AB148" s="82"/>
      <c r="AC148" s="82"/>
      <c r="AD148" s="78">
        <f>IF($F148="","",LOWER(TRIM($C148&amp;"|"&amp;TRIM($F148))))</f>
      </c>
      <c r="AE148" s="78">
        <f>IF($AD148="","",IF(COUNTIF('GIFT PLANNER'!$AD$6:$AD$205,$AD148)&gt;1,"CHECK DUPLICATE",""))</f>
      </c>
      <c r="AF148" s="80"/>
      <c r="AG148" s="78">
        <f>IF($B148="",0,IF(COUNTIF('GIFT PLANNER'!$B$6:$B$205,$B148)&gt;1,1,0))</f>
      </c>
      <c r="AH148" s="78">
        <f>IF(OR(N($Q148)&gt;0,N($R148)&gt;0),IF($G148="",1,IF(COUNTIF('MASTER BUDGET'!$D$6:$D$25,$G148)=0,1,0)),0)</f>
      </c>
      <c r="AI148" s="78">
        <f>IF($C148="",0,IF(COUNTIF('PEOPLE + BUDGETS'!$B$6:$B$105,$C148)=0,1,0))</f>
      </c>
      <c r="AJ148" s="78">
        <f>IF($U148="",0,IF(COUNTIF('ONLINE ORDERS'!$B$6:$B$155,$U148)=0,1,0))</f>
      </c>
      <c r="AK148" s="75"/>
    </row>
    <row r="149" ht="17" customHeight="1" spans="1:37" x14ac:dyDescent="0.25">
      <c r="A149" s="75"/>
      <c r="B149" s="79"/>
      <c r="C149" s="79"/>
      <c r="D149" s="78">
        <f>IF($B149="","",IF($C149="","",IFERROR(IF(INDEX('PEOPLE + BUDGETS'!$C$6:$C$105,MATCH($C149,'PEOPLE + BUDGETS'!$B$6:$B$105,0))="","",INDEX('PEOPLE + BUDGETS'!$C$6:$C$105,MATCH($C149,'PEOPLE + BUDGETS'!$B$6:$B$105,0))),"")))</f>
      </c>
      <c r="E149" s="78">
        <f>IF($B149="","",IF(OR($S149="Cancelled",$S149="Returned"),"No",IFERROR(INDEX('PEOPLE + BUDGETS'!$O$6:$O$105,MATCH($C149,'PEOPLE + BUDGETS'!$B$6:$B$105,0)),"Yes")))</f>
      </c>
      <c r="F149" s="80"/>
      <c r="G149" s="79"/>
      <c r="H149" s="79"/>
      <c r="I149" s="79"/>
      <c r="J149" s="80"/>
      <c r="K149" s="79"/>
      <c r="L149" s="90"/>
      <c r="M149" s="86"/>
      <c r="N149" s="86"/>
      <c r="O149" s="86"/>
      <c r="P149" s="86"/>
      <c r="Q149" s="85">
        <f>IF($B149="","",ROUND(MAX(0,$L149*$M149-$N149)+$O149+$P149,2))</f>
      </c>
      <c r="R149" s="86"/>
      <c r="S149" s="79"/>
      <c r="T149" s="78">
        <f>IF($B149="","",IF($S149="Purchased","Yes","No"))</f>
      </c>
      <c r="U149" s="79"/>
      <c r="V149" s="79"/>
      <c r="W149" s="78">
        <f>IF($B149="","",IF($U149="","—",IF($U149="","",IFERROR(IF(INDEX('ONLINE ORDERS'!$M$6:$M$155,MATCH($U149,'ONLINE ORDERS'!$B$6:$B$155,0))="","",INDEX('ONLINE ORDERS'!$M$6:$M$155,MATCH($U149,'ONLINE ORDERS'!$B$6:$B$155,0))),""))))</f>
      </c>
      <c r="X149" s="79"/>
      <c r="Y149" s="79"/>
      <c r="Z149" s="79"/>
      <c r="AA149" s="79"/>
      <c r="AB149" s="82"/>
      <c r="AC149" s="82"/>
      <c r="AD149" s="78">
        <f>IF($F149="","",LOWER(TRIM($C149&amp;"|"&amp;TRIM($F149))))</f>
      </c>
      <c r="AE149" s="78">
        <f>IF($AD149="","",IF(COUNTIF('GIFT PLANNER'!$AD$6:$AD$205,$AD149)&gt;1,"CHECK DUPLICATE",""))</f>
      </c>
      <c r="AF149" s="80"/>
      <c r="AG149" s="78">
        <f>IF($B149="",0,IF(COUNTIF('GIFT PLANNER'!$B$6:$B$205,$B149)&gt;1,1,0))</f>
      </c>
      <c r="AH149" s="78">
        <f>IF(OR(N($Q149)&gt;0,N($R149)&gt;0),IF($G149="",1,IF(COUNTIF('MASTER BUDGET'!$D$6:$D$25,$G149)=0,1,0)),0)</f>
      </c>
      <c r="AI149" s="78">
        <f>IF($C149="",0,IF(COUNTIF('PEOPLE + BUDGETS'!$B$6:$B$105,$C149)=0,1,0))</f>
      </c>
      <c r="AJ149" s="78">
        <f>IF($U149="",0,IF(COUNTIF('ONLINE ORDERS'!$B$6:$B$155,$U149)=0,1,0))</f>
      </c>
      <c r="AK149" s="75"/>
    </row>
    <row r="150" ht="17" customHeight="1" spans="1:37" x14ac:dyDescent="0.25">
      <c r="A150" s="75"/>
      <c r="B150" s="79"/>
      <c r="C150" s="79"/>
      <c r="D150" s="78">
        <f>IF($B150="","",IF($C150="","",IFERROR(IF(INDEX('PEOPLE + BUDGETS'!$C$6:$C$105,MATCH($C150,'PEOPLE + BUDGETS'!$B$6:$B$105,0))="","",INDEX('PEOPLE + BUDGETS'!$C$6:$C$105,MATCH($C150,'PEOPLE + BUDGETS'!$B$6:$B$105,0))),"")))</f>
      </c>
      <c r="E150" s="78">
        <f>IF($B150="","",IF(OR($S150="Cancelled",$S150="Returned"),"No",IFERROR(INDEX('PEOPLE + BUDGETS'!$O$6:$O$105,MATCH($C150,'PEOPLE + BUDGETS'!$B$6:$B$105,0)),"Yes")))</f>
      </c>
      <c r="F150" s="80"/>
      <c r="G150" s="79"/>
      <c r="H150" s="79"/>
      <c r="I150" s="79"/>
      <c r="J150" s="80"/>
      <c r="K150" s="79"/>
      <c r="L150" s="90"/>
      <c r="M150" s="86"/>
      <c r="N150" s="86"/>
      <c r="O150" s="86"/>
      <c r="P150" s="86"/>
      <c r="Q150" s="85">
        <f>IF($B150="","",ROUND(MAX(0,$L150*$M150-$N150)+$O150+$P150,2))</f>
      </c>
      <c r="R150" s="86"/>
      <c r="S150" s="79"/>
      <c r="T150" s="78">
        <f>IF($B150="","",IF($S150="Purchased","Yes","No"))</f>
      </c>
      <c r="U150" s="79"/>
      <c r="V150" s="79"/>
      <c r="W150" s="78">
        <f>IF($B150="","",IF($U150="","—",IF($U150="","",IFERROR(IF(INDEX('ONLINE ORDERS'!$M$6:$M$155,MATCH($U150,'ONLINE ORDERS'!$B$6:$B$155,0))="","",INDEX('ONLINE ORDERS'!$M$6:$M$155,MATCH($U150,'ONLINE ORDERS'!$B$6:$B$155,0))),""))))</f>
      </c>
      <c r="X150" s="79"/>
      <c r="Y150" s="79"/>
      <c r="Z150" s="79"/>
      <c r="AA150" s="79"/>
      <c r="AB150" s="82"/>
      <c r="AC150" s="82"/>
      <c r="AD150" s="78">
        <f>IF($F150="","",LOWER(TRIM($C150&amp;"|"&amp;TRIM($F150))))</f>
      </c>
      <c r="AE150" s="78">
        <f>IF($AD150="","",IF(COUNTIF('GIFT PLANNER'!$AD$6:$AD$205,$AD150)&gt;1,"CHECK DUPLICATE",""))</f>
      </c>
      <c r="AF150" s="80"/>
      <c r="AG150" s="78">
        <f>IF($B150="",0,IF(COUNTIF('GIFT PLANNER'!$B$6:$B$205,$B150)&gt;1,1,0))</f>
      </c>
      <c r="AH150" s="78">
        <f>IF(OR(N($Q150)&gt;0,N($R150)&gt;0),IF($G150="",1,IF(COUNTIF('MASTER BUDGET'!$D$6:$D$25,$G150)=0,1,0)),0)</f>
      </c>
      <c r="AI150" s="78">
        <f>IF($C150="",0,IF(COUNTIF('PEOPLE + BUDGETS'!$B$6:$B$105,$C150)=0,1,0))</f>
      </c>
      <c r="AJ150" s="78">
        <f>IF($U150="",0,IF(COUNTIF('ONLINE ORDERS'!$B$6:$B$155,$U150)=0,1,0))</f>
      </c>
      <c r="AK150" s="75"/>
    </row>
    <row r="151" ht="17" customHeight="1" spans="1:37" x14ac:dyDescent="0.25">
      <c r="A151" s="75"/>
      <c r="B151" s="79"/>
      <c r="C151" s="79"/>
      <c r="D151" s="78">
        <f>IF($B151="","",IF($C151="","",IFERROR(IF(INDEX('PEOPLE + BUDGETS'!$C$6:$C$105,MATCH($C151,'PEOPLE + BUDGETS'!$B$6:$B$105,0))="","",INDEX('PEOPLE + BUDGETS'!$C$6:$C$105,MATCH($C151,'PEOPLE + BUDGETS'!$B$6:$B$105,0))),"")))</f>
      </c>
      <c r="E151" s="78">
        <f>IF($B151="","",IF(OR($S151="Cancelled",$S151="Returned"),"No",IFERROR(INDEX('PEOPLE + BUDGETS'!$O$6:$O$105,MATCH($C151,'PEOPLE + BUDGETS'!$B$6:$B$105,0)),"Yes")))</f>
      </c>
      <c r="F151" s="80"/>
      <c r="G151" s="79"/>
      <c r="H151" s="79"/>
      <c r="I151" s="79"/>
      <c r="J151" s="80"/>
      <c r="K151" s="79"/>
      <c r="L151" s="90"/>
      <c r="M151" s="86"/>
      <c r="N151" s="86"/>
      <c r="O151" s="86"/>
      <c r="P151" s="86"/>
      <c r="Q151" s="85">
        <f>IF($B151="","",ROUND(MAX(0,$L151*$M151-$N151)+$O151+$P151,2))</f>
      </c>
      <c r="R151" s="86"/>
      <c r="S151" s="79"/>
      <c r="T151" s="78">
        <f>IF($B151="","",IF($S151="Purchased","Yes","No"))</f>
      </c>
      <c r="U151" s="79"/>
      <c r="V151" s="79"/>
      <c r="W151" s="78">
        <f>IF($B151="","",IF($U151="","—",IF($U151="","",IFERROR(IF(INDEX('ONLINE ORDERS'!$M$6:$M$155,MATCH($U151,'ONLINE ORDERS'!$B$6:$B$155,0))="","",INDEX('ONLINE ORDERS'!$M$6:$M$155,MATCH($U151,'ONLINE ORDERS'!$B$6:$B$155,0))),""))))</f>
      </c>
      <c r="X151" s="79"/>
      <c r="Y151" s="79"/>
      <c r="Z151" s="79"/>
      <c r="AA151" s="79"/>
      <c r="AB151" s="82"/>
      <c r="AC151" s="82"/>
      <c r="AD151" s="78">
        <f>IF($F151="","",LOWER(TRIM($C151&amp;"|"&amp;TRIM($F151))))</f>
      </c>
      <c r="AE151" s="78">
        <f>IF($AD151="","",IF(COUNTIF('GIFT PLANNER'!$AD$6:$AD$205,$AD151)&gt;1,"CHECK DUPLICATE",""))</f>
      </c>
      <c r="AF151" s="80"/>
      <c r="AG151" s="78">
        <f>IF($B151="",0,IF(COUNTIF('GIFT PLANNER'!$B$6:$B$205,$B151)&gt;1,1,0))</f>
      </c>
      <c r="AH151" s="78">
        <f>IF(OR(N($Q151)&gt;0,N($R151)&gt;0),IF($G151="",1,IF(COUNTIF('MASTER BUDGET'!$D$6:$D$25,$G151)=0,1,0)),0)</f>
      </c>
      <c r="AI151" s="78">
        <f>IF($C151="",0,IF(COUNTIF('PEOPLE + BUDGETS'!$B$6:$B$105,$C151)=0,1,0))</f>
      </c>
      <c r="AJ151" s="78">
        <f>IF($U151="",0,IF(COUNTIF('ONLINE ORDERS'!$B$6:$B$155,$U151)=0,1,0))</f>
      </c>
      <c r="AK151" s="75"/>
    </row>
    <row r="152" ht="17" customHeight="1" spans="1:37" x14ac:dyDescent="0.25">
      <c r="A152" s="75"/>
      <c r="B152" s="79"/>
      <c r="C152" s="79"/>
      <c r="D152" s="78">
        <f>IF($B152="","",IF($C152="","",IFERROR(IF(INDEX('PEOPLE + BUDGETS'!$C$6:$C$105,MATCH($C152,'PEOPLE + BUDGETS'!$B$6:$B$105,0))="","",INDEX('PEOPLE + BUDGETS'!$C$6:$C$105,MATCH($C152,'PEOPLE + BUDGETS'!$B$6:$B$105,0))),"")))</f>
      </c>
      <c r="E152" s="78">
        <f>IF($B152="","",IF(OR($S152="Cancelled",$S152="Returned"),"No",IFERROR(INDEX('PEOPLE + BUDGETS'!$O$6:$O$105,MATCH($C152,'PEOPLE + BUDGETS'!$B$6:$B$105,0)),"Yes")))</f>
      </c>
      <c r="F152" s="80"/>
      <c r="G152" s="79"/>
      <c r="H152" s="79"/>
      <c r="I152" s="79"/>
      <c r="J152" s="80"/>
      <c r="K152" s="79"/>
      <c r="L152" s="90"/>
      <c r="M152" s="86"/>
      <c r="N152" s="86"/>
      <c r="O152" s="86"/>
      <c r="P152" s="86"/>
      <c r="Q152" s="85">
        <f>IF($B152="","",ROUND(MAX(0,$L152*$M152-$N152)+$O152+$P152,2))</f>
      </c>
      <c r="R152" s="86"/>
      <c r="S152" s="79"/>
      <c r="T152" s="78">
        <f>IF($B152="","",IF($S152="Purchased","Yes","No"))</f>
      </c>
      <c r="U152" s="79"/>
      <c r="V152" s="79"/>
      <c r="W152" s="78">
        <f>IF($B152="","",IF($U152="","—",IF($U152="","",IFERROR(IF(INDEX('ONLINE ORDERS'!$M$6:$M$155,MATCH($U152,'ONLINE ORDERS'!$B$6:$B$155,0))="","",INDEX('ONLINE ORDERS'!$M$6:$M$155,MATCH($U152,'ONLINE ORDERS'!$B$6:$B$155,0))),""))))</f>
      </c>
      <c r="X152" s="79"/>
      <c r="Y152" s="79"/>
      <c r="Z152" s="79"/>
      <c r="AA152" s="79"/>
      <c r="AB152" s="82"/>
      <c r="AC152" s="82"/>
      <c r="AD152" s="78">
        <f>IF($F152="","",LOWER(TRIM($C152&amp;"|"&amp;TRIM($F152))))</f>
      </c>
      <c r="AE152" s="78">
        <f>IF($AD152="","",IF(COUNTIF('GIFT PLANNER'!$AD$6:$AD$205,$AD152)&gt;1,"CHECK DUPLICATE",""))</f>
      </c>
      <c r="AF152" s="80"/>
      <c r="AG152" s="78">
        <f>IF($B152="",0,IF(COUNTIF('GIFT PLANNER'!$B$6:$B$205,$B152)&gt;1,1,0))</f>
      </c>
      <c r="AH152" s="78">
        <f>IF(OR(N($Q152)&gt;0,N($R152)&gt;0),IF($G152="",1,IF(COUNTIF('MASTER BUDGET'!$D$6:$D$25,$G152)=0,1,0)),0)</f>
      </c>
      <c r="AI152" s="78">
        <f>IF($C152="",0,IF(COUNTIF('PEOPLE + BUDGETS'!$B$6:$B$105,$C152)=0,1,0))</f>
      </c>
      <c r="AJ152" s="78">
        <f>IF($U152="",0,IF(COUNTIF('ONLINE ORDERS'!$B$6:$B$155,$U152)=0,1,0))</f>
      </c>
      <c r="AK152" s="75"/>
    </row>
    <row r="153" ht="17" customHeight="1" spans="1:37" x14ac:dyDescent="0.25">
      <c r="A153" s="75"/>
      <c r="B153" s="79"/>
      <c r="C153" s="79"/>
      <c r="D153" s="78">
        <f>IF($B153="","",IF($C153="","",IFERROR(IF(INDEX('PEOPLE + BUDGETS'!$C$6:$C$105,MATCH($C153,'PEOPLE + BUDGETS'!$B$6:$B$105,0))="","",INDEX('PEOPLE + BUDGETS'!$C$6:$C$105,MATCH($C153,'PEOPLE + BUDGETS'!$B$6:$B$105,0))),"")))</f>
      </c>
      <c r="E153" s="78">
        <f>IF($B153="","",IF(OR($S153="Cancelled",$S153="Returned"),"No",IFERROR(INDEX('PEOPLE + BUDGETS'!$O$6:$O$105,MATCH($C153,'PEOPLE + BUDGETS'!$B$6:$B$105,0)),"Yes")))</f>
      </c>
      <c r="F153" s="80"/>
      <c r="G153" s="79"/>
      <c r="H153" s="79"/>
      <c r="I153" s="79"/>
      <c r="J153" s="80"/>
      <c r="K153" s="79"/>
      <c r="L153" s="90"/>
      <c r="M153" s="86"/>
      <c r="N153" s="86"/>
      <c r="O153" s="86"/>
      <c r="P153" s="86"/>
      <c r="Q153" s="85">
        <f>IF($B153="","",ROUND(MAX(0,$L153*$M153-$N153)+$O153+$P153,2))</f>
      </c>
      <c r="R153" s="86"/>
      <c r="S153" s="79"/>
      <c r="T153" s="78">
        <f>IF($B153="","",IF($S153="Purchased","Yes","No"))</f>
      </c>
      <c r="U153" s="79"/>
      <c r="V153" s="79"/>
      <c r="W153" s="78">
        <f>IF($B153="","",IF($U153="","—",IF($U153="","",IFERROR(IF(INDEX('ONLINE ORDERS'!$M$6:$M$155,MATCH($U153,'ONLINE ORDERS'!$B$6:$B$155,0))="","",INDEX('ONLINE ORDERS'!$M$6:$M$155,MATCH($U153,'ONLINE ORDERS'!$B$6:$B$155,0))),""))))</f>
      </c>
      <c r="X153" s="79"/>
      <c r="Y153" s="79"/>
      <c r="Z153" s="79"/>
      <c r="AA153" s="79"/>
      <c r="AB153" s="82"/>
      <c r="AC153" s="82"/>
      <c r="AD153" s="78">
        <f>IF($F153="","",LOWER(TRIM($C153&amp;"|"&amp;TRIM($F153))))</f>
      </c>
      <c r="AE153" s="78">
        <f>IF($AD153="","",IF(COUNTIF('GIFT PLANNER'!$AD$6:$AD$205,$AD153)&gt;1,"CHECK DUPLICATE",""))</f>
      </c>
      <c r="AF153" s="80"/>
      <c r="AG153" s="78">
        <f>IF($B153="",0,IF(COUNTIF('GIFT PLANNER'!$B$6:$B$205,$B153)&gt;1,1,0))</f>
      </c>
      <c r="AH153" s="78">
        <f>IF(OR(N($Q153)&gt;0,N($R153)&gt;0),IF($G153="",1,IF(COUNTIF('MASTER BUDGET'!$D$6:$D$25,$G153)=0,1,0)),0)</f>
      </c>
      <c r="AI153" s="78">
        <f>IF($C153="",0,IF(COUNTIF('PEOPLE + BUDGETS'!$B$6:$B$105,$C153)=0,1,0))</f>
      </c>
      <c r="AJ153" s="78">
        <f>IF($U153="",0,IF(COUNTIF('ONLINE ORDERS'!$B$6:$B$155,$U153)=0,1,0))</f>
      </c>
      <c r="AK153" s="75"/>
    </row>
    <row r="154" ht="17" customHeight="1" spans="1:37" x14ac:dyDescent="0.25">
      <c r="A154" s="75"/>
      <c r="B154" s="79"/>
      <c r="C154" s="79"/>
      <c r="D154" s="78">
        <f>IF($B154="","",IF($C154="","",IFERROR(IF(INDEX('PEOPLE + BUDGETS'!$C$6:$C$105,MATCH($C154,'PEOPLE + BUDGETS'!$B$6:$B$105,0))="","",INDEX('PEOPLE + BUDGETS'!$C$6:$C$105,MATCH($C154,'PEOPLE + BUDGETS'!$B$6:$B$105,0))),"")))</f>
      </c>
      <c r="E154" s="78">
        <f>IF($B154="","",IF(OR($S154="Cancelled",$S154="Returned"),"No",IFERROR(INDEX('PEOPLE + BUDGETS'!$O$6:$O$105,MATCH($C154,'PEOPLE + BUDGETS'!$B$6:$B$105,0)),"Yes")))</f>
      </c>
      <c r="F154" s="80"/>
      <c r="G154" s="79"/>
      <c r="H154" s="79"/>
      <c r="I154" s="79"/>
      <c r="J154" s="80"/>
      <c r="K154" s="79"/>
      <c r="L154" s="90"/>
      <c r="M154" s="86"/>
      <c r="N154" s="86"/>
      <c r="O154" s="86"/>
      <c r="P154" s="86"/>
      <c r="Q154" s="85">
        <f>IF($B154="","",ROUND(MAX(0,$L154*$M154-$N154)+$O154+$P154,2))</f>
      </c>
      <c r="R154" s="86"/>
      <c r="S154" s="79"/>
      <c r="T154" s="78">
        <f>IF($B154="","",IF($S154="Purchased","Yes","No"))</f>
      </c>
      <c r="U154" s="79"/>
      <c r="V154" s="79"/>
      <c r="W154" s="78">
        <f>IF($B154="","",IF($U154="","—",IF($U154="","",IFERROR(IF(INDEX('ONLINE ORDERS'!$M$6:$M$155,MATCH($U154,'ONLINE ORDERS'!$B$6:$B$155,0))="","",INDEX('ONLINE ORDERS'!$M$6:$M$155,MATCH($U154,'ONLINE ORDERS'!$B$6:$B$155,0))),""))))</f>
      </c>
      <c r="X154" s="79"/>
      <c r="Y154" s="79"/>
      <c r="Z154" s="79"/>
      <c r="AA154" s="79"/>
      <c r="AB154" s="82"/>
      <c r="AC154" s="82"/>
      <c r="AD154" s="78">
        <f>IF($F154="","",LOWER(TRIM($C154&amp;"|"&amp;TRIM($F154))))</f>
      </c>
      <c r="AE154" s="78">
        <f>IF($AD154="","",IF(COUNTIF('GIFT PLANNER'!$AD$6:$AD$205,$AD154)&gt;1,"CHECK DUPLICATE",""))</f>
      </c>
      <c r="AF154" s="80"/>
      <c r="AG154" s="78">
        <f>IF($B154="",0,IF(COUNTIF('GIFT PLANNER'!$B$6:$B$205,$B154)&gt;1,1,0))</f>
      </c>
      <c r="AH154" s="78">
        <f>IF(OR(N($Q154)&gt;0,N($R154)&gt;0),IF($G154="",1,IF(COUNTIF('MASTER BUDGET'!$D$6:$D$25,$G154)=0,1,0)),0)</f>
      </c>
      <c r="AI154" s="78">
        <f>IF($C154="",0,IF(COUNTIF('PEOPLE + BUDGETS'!$B$6:$B$105,$C154)=0,1,0))</f>
      </c>
      <c r="AJ154" s="78">
        <f>IF($U154="",0,IF(COUNTIF('ONLINE ORDERS'!$B$6:$B$155,$U154)=0,1,0))</f>
      </c>
      <c r="AK154" s="75"/>
    </row>
    <row r="155" ht="17" customHeight="1" spans="1:37" x14ac:dyDescent="0.25">
      <c r="A155" s="75"/>
      <c r="B155" s="79"/>
      <c r="C155" s="79"/>
      <c r="D155" s="78">
        <f>IF($B155="","",IF($C155="","",IFERROR(IF(INDEX('PEOPLE + BUDGETS'!$C$6:$C$105,MATCH($C155,'PEOPLE + BUDGETS'!$B$6:$B$105,0))="","",INDEX('PEOPLE + BUDGETS'!$C$6:$C$105,MATCH($C155,'PEOPLE + BUDGETS'!$B$6:$B$105,0))),"")))</f>
      </c>
      <c r="E155" s="78">
        <f>IF($B155="","",IF(OR($S155="Cancelled",$S155="Returned"),"No",IFERROR(INDEX('PEOPLE + BUDGETS'!$O$6:$O$105,MATCH($C155,'PEOPLE + BUDGETS'!$B$6:$B$105,0)),"Yes")))</f>
      </c>
      <c r="F155" s="80"/>
      <c r="G155" s="79"/>
      <c r="H155" s="79"/>
      <c r="I155" s="79"/>
      <c r="J155" s="80"/>
      <c r="K155" s="79"/>
      <c r="L155" s="90"/>
      <c r="M155" s="86"/>
      <c r="N155" s="86"/>
      <c r="O155" s="86"/>
      <c r="P155" s="86"/>
      <c r="Q155" s="85">
        <f>IF($B155="","",ROUND(MAX(0,$L155*$M155-$N155)+$O155+$P155,2))</f>
      </c>
      <c r="R155" s="86"/>
      <c r="S155" s="79"/>
      <c r="T155" s="78">
        <f>IF($B155="","",IF($S155="Purchased","Yes","No"))</f>
      </c>
      <c r="U155" s="79"/>
      <c r="V155" s="79"/>
      <c r="W155" s="78">
        <f>IF($B155="","",IF($U155="","—",IF($U155="","",IFERROR(IF(INDEX('ONLINE ORDERS'!$M$6:$M$155,MATCH($U155,'ONLINE ORDERS'!$B$6:$B$155,0))="","",INDEX('ONLINE ORDERS'!$M$6:$M$155,MATCH($U155,'ONLINE ORDERS'!$B$6:$B$155,0))),""))))</f>
      </c>
      <c r="X155" s="79"/>
      <c r="Y155" s="79"/>
      <c r="Z155" s="79"/>
      <c r="AA155" s="79"/>
      <c r="AB155" s="82"/>
      <c r="AC155" s="82"/>
      <c r="AD155" s="78">
        <f>IF($F155="","",LOWER(TRIM($C155&amp;"|"&amp;TRIM($F155))))</f>
      </c>
      <c r="AE155" s="78">
        <f>IF($AD155="","",IF(COUNTIF('GIFT PLANNER'!$AD$6:$AD$205,$AD155)&gt;1,"CHECK DUPLICATE",""))</f>
      </c>
      <c r="AF155" s="80"/>
      <c r="AG155" s="78">
        <f>IF($B155="",0,IF(COUNTIF('GIFT PLANNER'!$B$6:$B$205,$B155)&gt;1,1,0))</f>
      </c>
      <c r="AH155" s="78">
        <f>IF(OR(N($Q155)&gt;0,N($R155)&gt;0),IF($G155="",1,IF(COUNTIF('MASTER BUDGET'!$D$6:$D$25,$G155)=0,1,0)),0)</f>
      </c>
      <c r="AI155" s="78">
        <f>IF($C155="",0,IF(COUNTIF('PEOPLE + BUDGETS'!$B$6:$B$105,$C155)=0,1,0))</f>
      </c>
      <c r="AJ155" s="78">
        <f>IF($U155="",0,IF(COUNTIF('ONLINE ORDERS'!$B$6:$B$155,$U155)=0,1,0))</f>
      </c>
      <c r="AK155" s="75"/>
    </row>
    <row r="156" ht="17" customHeight="1" spans="1:37" x14ac:dyDescent="0.25">
      <c r="A156" s="75"/>
      <c r="B156" s="79"/>
      <c r="C156" s="79"/>
      <c r="D156" s="78">
        <f>IF($B156="","",IF($C156="","",IFERROR(IF(INDEX('PEOPLE + BUDGETS'!$C$6:$C$105,MATCH($C156,'PEOPLE + BUDGETS'!$B$6:$B$105,0))="","",INDEX('PEOPLE + BUDGETS'!$C$6:$C$105,MATCH($C156,'PEOPLE + BUDGETS'!$B$6:$B$105,0))),"")))</f>
      </c>
      <c r="E156" s="78">
        <f>IF($B156="","",IF(OR($S156="Cancelled",$S156="Returned"),"No",IFERROR(INDEX('PEOPLE + BUDGETS'!$O$6:$O$105,MATCH($C156,'PEOPLE + BUDGETS'!$B$6:$B$105,0)),"Yes")))</f>
      </c>
      <c r="F156" s="80"/>
      <c r="G156" s="79"/>
      <c r="H156" s="79"/>
      <c r="I156" s="79"/>
      <c r="J156" s="80"/>
      <c r="K156" s="79"/>
      <c r="L156" s="90"/>
      <c r="M156" s="86"/>
      <c r="N156" s="86"/>
      <c r="O156" s="86"/>
      <c r="P156" s="86"/>
      <c r="Q156" s="85">
        <f>IF($B156="","",ROUND(MAX(0,$L156*$M156-$N156)+$O156+$P156,2))</f>
      </c>
      <c r="R156" s="86"/>
      <c r="S156" s="79"/>
      <c r="T156" s="78">
        <f>IF($B156="","",IF($S156="Purchased","Yes","No"))</f>
      </c>
      <c r="U156" s="79"/>
      <c r="V156" s="79"/>
      <c r="W156" s="78">
        <f>IF($B156="","",IF($U156="","—",IF($U156="","",IFERROR(IF(INDEX('ONLINE ORDERS'!$M$6:$M$155,MATCH($U156,'ONLINE ORDERS'!$B$6:$B$155,0))="","",INDEX('ONLINE ORDERS'!$M$6:$M$155,MATCH($U156,'ONLINE ORDERS'!$B$6:$B$155,0))),""))))</f>
      </c>
      <c r="X156" s="79"/>
      <c r="Y156" s="79"/>
      <c r="Z156" s="79"/>
      <c r="AA156" s="79"/>
      <c r="AB156" s="82"/>
      <c r="AC156" s="82"/>
      <c r="AD156" s="78">
        <f>IF($F156="","",LOWER(TRIM($C156&amp;"|"&amp;TRIM($F156))))</f>
      </c>
      <c r="AE156" s="78">
        <f>IF($AD156="","",IF(COUNTIF('GIFT PLANNER'!$AD$6:$AD$205,$AD156)&gt;1,"CHECK DUPLICATE",""))</f>
      </c>
      <c r="AF156" s="80"/>
      <c r="AG156" s="78">
        <f>IF($B156="",0,IF(COUNTIF('GIFT PLANNER'!$B$6:$B$205,$B156)&gt;1,1,0))</f>
      </c>
      <c r="AH156" s="78">
        <f>IF(OR(N($Q156)&gt;0,N($R156)&gt;0),IF($G156="",1,IF(COUNTIF('MASTER BUDGET'!$D$6:$D$25,$G156)=0,1,0)),0)</f>
      </c>
      <c r="AI156" s="78">
        <f>IF($C156="",0,IF(COUNTIF('PEOPLE + BUDGETS'!$B$6:$B$105,$C156)=0,1,0))</f>
      </c>
      <c r="AJ156" s="78">
        <f>IF($U156="",0,IF(COUNTIF('ONLINE ORDERS'!$B$6:$B$155,$U156)=0,1,0))</f>
      </c>
      <c r="AK156" s="75"/>
    </row>
    <row r="157" ht="17" customHeight="1" spans="1:37" x14ac:dyDescent="0.25">
      <c r="A157" s="75"/>
      <c r="B157" s="79"/>
      <c r="C157" s="79"/>
      <c r="D157" s="78">
        <f>IF($B157="","",IF($C157="","",IFERROR(IF(INDEX('PEOPLE + BUDGETS'!$C$6:$C$105,MATCH($C157,'PEOPLE + BUDGETS'!$B$6:$B$105,0))="","",INDEX('PEOPLE + BUDGETS'!$C$6:$C$105,MATCH($C157,'PEOPLE + BUDGETS'!$B$6:$B$105,0))),"")))</f>
      </c>
      <c r="E157" s="78">
        <f>IF($B157="","",IF(OR($S157="Cancelled",$S157="Returned"),"No",IFERROR(INDEX('PEOPLE + BUDGETS'!$O$6:$O$105,MATCH($C157,'PEOPLE + BUDGETS'!$B$6:$B$105,0)),"Yes")))</f>
      </c>
      <c r="F157" s="80"/>
      <c r="G157" s="79"/>
      <c r="H157" s="79"/>
      <c r="I157" s="79"/>
      <c r="J157" s="80"/>
      <c r="K157" s="79"/>
      <c r="L157" s="90"/>
      <c r="M157" s="86"/>
      <c r="N157" s="86"/>
      <c r="O157" s="86"/>
      <c r="P157" s="86"/>
      <c r="Q157" s="85">
        <f>IF($B157="","",ROUND(MAX(0,$L157*$M157-$N157)+$O157+$P157,2))</f>
      </c>
      <c r="R157" s="86"/>
      <c r="S157" s="79"/>
      <c r="T157" s="78">
        <f>IF($B157="","",IF($S157="Purchased","Yes","No"))</f>
      </c>
      <c r="U157" s="79"/>
      <c r="V157" s="79"/>
      <c r="W157" s="78">
        <f>IF($B157="","",IF($U157="","—",IF($U157="","",IFERROR(IF(INDEX('ONLINE ORDERS'!$M$6:$M$155,MATCH($U157,'ONLINE ORDERS'!$B$6:$B$155,0))="","",INDEX('ONLINE ORDERS'!$M$6:$M$155,MATCH($U157,'ONLINE ORDERS'!$B$6:$B$155,0))),""))))</f>
      </c>
      <c r="X157" s="79"/>
      <c r="Y157" s="79"/>
      <c r="Z157" s="79"/>
      <c r="AA157" s="79"/>
      <c r="AB157" s="82"/>
      <c r="AC157" s="82"/>
      <c r="AD157" s="78">
        <f>IF($F157="","",LOWER(TRIM($C157&amp;"|"&amp;TRIM($F157))))</f>
      </c>
      <c r="AE157" s="78">
        <f>IF($AD157="","",IF(COUNTIF('GIFT PLANNER'!$AD$6:$AD$205,$AD157)&gt;1,"CHECK DUPLICATE",""))</f>
      </c>
      <c r="AF157" s="80"/>
      <c r="AG157" s="78">
        <f>IF($B157="",0,IF(COUNTIF('GIFT PLANNER'!$B$6:$B$205,$B157)&gt;1,1,0))</f>
      </c>
      <c r="AH157" s="78">
        <f>IF(OR(N($Q157)&gt;0,N($R157)&gt;0),IF($G157="",1,IF(COUNTIF('MASTER BUDGET'!$D$6:$D$25,$G157)=0,1,0)),0)</f>
      </c>
      <c r="AI157" s="78">
        <f>IF($C157="",0,IF(COUNTIF('PEOPLE + BUDGETS'!$B$6:$B$105,$C157)=0,1,0))</f>
      </c>
      <c r="AJ157" s="78">
        <f>IF($U157="",0,IF(COUNTIF('ONLINE ORDERS'!$B$6:$B$155,$U157)=0,1,0))</f>
      </c>
      <c r="AK157" s="75"/>
    </row>
    <row r="158" ht="17" customHeight="1" spans="1:37" x14ac:dyDescent="0.25">
      <c r="A158" s="75"/>
      <c r="B158" s="79"/>
      <c r="C158" s="79"/>
      <c r="D158" s="78">
        <f>IF($B158="","",IF($C158="","",IFERROR(IF(INDEX('PEOPLE + BUDGETS'!$C$6:$C$105,MATCH($C158,'PEOPLE + BUDGETS'!$B$6:$B$105,0))="","",INDEX('PEOPLE + BUDGETS'!$C$6:$C$105,MATCH($C158,'PEOPLE + BUDGETS'!$B$6:$B$105,0))),"")))</f>
      </c>
      <c r="E158" s="78">
        <f>IF($B158="","",IF(OR($S158="Cancelled",$S158="Returned"),"No",IFERROR(INDEX('PEOPLE + BUDGETS'!$O$6:$O$105,MATCH($C158,'PEOPLE + BUDGETS'!$B$6:$B$105,0)),"Yes")))</f>
      </c>
      <c r="F158" s="80"/>
      <c r="G158" s="79"/>
      <c r="H158" s="79"/>
      <c r="I158" s="79"/>
      <c r="J158" s="80"/>
      <c r="K158" s="79"/>
      <c r="L158" s="90"/>
      <c r="M158" s="86"/>
      <c r="N158" s="86"/>
      <c r="O158" s="86"/>
      <c r="P158" s="86"/>
      <c r="Q158" s="85">
        <f>IF($B158="","",ROUND(MAX(0,$L158*$M158-$N158)+$O158+$P158,2))</f>
      </c>
      <c r="R158" s="86"/>
      <c r="S158" s="79"/>
      <c r="T158" s="78">
        <f>IF($B158="","",IF($S158="Purchased","Yes","No"))</f>
      </c>
      <c r="U158" s="79"/>
      <c r="V158" s="79"/>
      <c r="W158" s="78">
        <f>IF($B158="","",IF($U158="","—",IF($U158="","",IFERROR(IF(INDEX('ONLINE ORDERS'!$M$6:$M$155,MATCH($U158,'ONLINE ORDERS'!$B$6:$B$155,0))="","",INDEX('ONLINE ORDERS'!$M$6:$M$155,MATCH($U158,'ONLINE ORDERS'!$B$6:$B$155,0))),""))))</f>
      </c>
      <c r="X158" s="79"/>
      <c r="Y158" s="79"/>
      <c r="Z158" s="79"/>
      <c r="AA158" s="79"/>
      <c r="AB158" s="82"/>
      <c r="AC158" s="82"/>
      <c r="AD158" s="78">
        <f>IF($F158="","",LOWER(TRIM($C158&amp;"|"&amp;TRIM($F158))))</f>
      </c>
      <c r="AE158" s="78">
        <f>IF($AD158="","",IF(COUNTIF('GIFT PLANNER'!$AD$6:$AD$205,$AD158)&gt;1,"CHECK DUPLICATE",""))</f>
      </c>
      <c r="AF158" s="80"/>
      <c r="AG158" s="78">
        <f>IF($B158="",0,IF(COUNTIF('GIFT PLANNER'!$B$6:$B$205,$B158)&gt;1,1,0))</f>
      </c>
      <c r="AH158" s="78">
        <f>IF(OR(N($Q158)&gt;0,N($R158)&gt;0),IF($G158="",1,IF(COUNTIF('MASTER BUDGET'!$D$6:$D$25,$G158)=0,1,0)),0)</f>
      </c>
      <c r="AI158" s="78">
        <f>IF($C158="",0,IF(COUNTIF('PEOPLE + BUDGETS'!$B$6:$B$105,$C158)=0,1,0))</f>
      </c>
      <c r="AJ158" s="78">
        <f>IF($U158="",0,IF(COUNTIF('ONLINE ORDERS'!$B$6:$B$155,$U158)=0,1,0))</f>
      </c>
      <c r="AK158" s="75"/>
    </row>
    <row r="159" ht="17" customHeight="1" spans="1:37" x14ac:dyDescent="0.25">
      <c r="A159" s="75"/>
      <c r="B159" s="79"/>
      <c r="C159" s="79"/>
      <c r="D159" s="78">
        <f>IF($B159="","",IF($C159="","",IFERROR(IF(INDEX('PEOPLE + BUDGETS'!$C$6:$C$105,MATCH($C159,'PEOPLE + BUDGETS'!$B$6:$B$105,0))="","",INDEX('PEOPLE + BUDGETS'!$C$6:$C$105,MATCH($C159,'PEOPLE + BUDGETS'!$B$6:$B$105,0))),"")))</f>
      </c>
      <c r="E159" s="78">
        <f>IF($B159="","",IF(OR($S159="Cancelled",$S159="Returned"),"No",IFERROR(INDEX('PEOPLE + BUDGETS'!$O$6:$O$105,MATCH($C159,'PEOPLE + BUDGETS'!$B$6:$B$105,0)),"Yes")))</f>
      </c>
      <c r="F159" s="80"/>
      <c r="G159" s="79"/>
      <c r="H159" s="79"/>
      <c r="I159" s="79"/>
      <c r="J159" s="80"/>
      <c r="K159" s="79"/>
      <c r="L159" s="90"/>
      <c r="M159" s="86"/>
      <c r="N159" s="86"/>
      <c r="O159" s="86"/>
      <c r="P159" s="86"/>
      <c r="Q159" s="85">
        <f>IF($B159="","",ROUND(MAX(0,$L159*$M159-$N159)+$O159+$P159,2))</f>
      </c>
      <c r="R159" s="86"/>
      <c r="S159" s="79"/>
      <c r="T159" s="78">
        <f>IF($B159="","",IF($S159="Purchased","Yes","No"))</f>
      </c>
      <c r="U159" s="79"/>
      <c r="V159" s="79"/>
      <c r="W159" s="78">
        <f>IF($B159="","",IF($U159="","—",IF($U159="","",IFERROR(IF(INDEX('ONLINE ORDERS'!$M$6:$M$155,MATCH($U159,'ONLINE ORDERS'!$B$6:$B$155,0))="","",INDEX('ONLINE ORDERS'!$M$6:$M$155,MATCH($U159,'ONLINE ORDERS'!$B$6:$B$155,0))),""))))</f>
      </c>
      <c r="X159" s="79"/>
      <c r="Y159" s="79"/>
      <c r="Z159" s="79"/>
      <c r="AA159" s="79"/>
      <c r="AB159" s="82"/>
      <c r="AC159" s="82"/>
      <c r="AD159" s="78">
        <f>IF($F159="","",LOWER(TRIM($C159&amp;"|"&amp;TRIM($F159))))</f>
      </c>
      <c r="AE159" s="78">
        <f>IF($AD159="","",IF(COUNTIF('GIFT PLANNER'!$AD$6:$AD$205,$AD159)&gt;1,"CHECK DUPLICATE",""))</f>
      </c>
      <c r="AF159" s="80"/>
      <c r="AG159" s="78">
        <f>IF($B159="",0,IF(COUNTIF('GIFT PLANNER'!$B$6:$B$205,$B159)&gt;1,1,0))</f>
      </c>
      <c r="AH159" s="78">
        <f>IF(OR(N($Q159)&gt;0,N($R159)&gt;0),IF($G159="",1,IF(COUNTIF('MASTER BUDGET'!$D$6:$D$25,$G159)=0,1,0)),0)</f>
      </c>
      <c r="AI159" s="78">
        <f>IF($C159="",0,IF(COUNTIF('PEOPLE + BUDGETS'!$B$6:$B$105,$C159)=0,1,0))</f>
      </c>
      <c r="AJ159" s="78">
        <f>IF($U159="",0,IF(COUNTIF('ONLINE ORDERS'!$B$6:$B$155,$U159)=0,1,0))</f>
      </c>
      <c r="AK159" s="75"/>
    </row>
    <row r="160" ht="17" customHeight="1" spans="1:37" x14ac:dyDescent="0.25">
      <c r="A160" s="75"/>
      <c r="B160" s="79"/>
      <c r="C160" s="79"/>
      <c r="D160" s="78">
        <f>IF($B160="","",IF($C160="","",IFERROR(IF(INDEX('PEOPLE + BUDGETS'!$C$6:$C$105,MATCH($C160,'PEOPLE + BUDGETS'!$B$6:$B$105,0))="","",INDEX('PEOPLE + BUDGETS'!$C$6:$C$105,MATCH($C160,'PEOPLE + BUDGETS'!$B$6:$B$105,0))),"")))</f>
      </c>
      <c r="E160" s="78">
        <f>IF($B160="","",IF(OR($S160="Cancelled",$S160="Returned"),"No",IFERROR(INDEX('PEOPLE + BUDGETS'!$O$6:$O$105,MATCH($C160,'PEOPLE + BUDGETS'!$B$6:$B$105,0)),"Yes")))</f>
      </c>
      <c r="F160" s="80"/>
      <c r="G160" s="79"/>
      <c r="H160" s="79"/>
      <c r="I160" s="79"/>
      <c r="J160" s="80"/>
      <c r="K160" s="79"/>
      <c r="L160" s="90"/>
      <c r="M160" s="86"/>
      <c r="N160" s="86"/>
      <c r="O160" s="86"/>
      <c r="P160" s="86"/>
      <c r="Q160" s="85">
        <f>IF($B160="","",ROUND(MAX(0,$L160*$M160-$N160)+$O160+$P160,2))</f>
      </c>
      <c r="R160" s="86"/>
      <c r="S160" s="79"/>
      <c r="T160" s="78">
        <f>IF($B160="","",IF($S160="Purchased","Yes","No"))</f>
      </c>
      <c r="U160" s="79"/>
      <c r="V160" s="79"/>
      <c r="W160" s="78">
        <f>IF($B160="","",IF($U160="","—",IF($U160="","",IFERROR(IF(INDEX('ONLINE ORDERS'!$M$6:$M$155,MATCH($U160,'ONLINE ORDERS'!$B$6:$B$155,0))="","",INDEX('ONLINE ORDERS'!$M$6:$M$155,MATCH($U160,'ONLINE ORDERS'!$B$6:$B$155,0))),""))))</f>
      </c>
      <c r="X160" s="79"/>
      <c r="Y160" s="79"/>
      <c r="Z160" s="79"/>
      <c r="AA160" s="79"/>
      <c r="AB160" s="82"/>
      <c r="AC160" s="82"/>
      <c r="AD160" s="78">
        <f>IF($F160="","",LOWER(TRIM($C160&amp;"|"&amp;TRIM($F160))))</f>
      </c>
      <c r="AE160" s="78">
        <f>IF($AD160="","",IF(COUNTIF('GIFT PLANNER'!$AD$6:$AD$205,$AD160)&gt;1,"CHECK DUPLICATE",""))</f>
      </c>
      <c r="AF160" s="80"/>
      <c r="AG160" s="78">
        <f>IF($B160="",0,IF(COUNTIF('GIFT PLANNER'!$B$6:$B$205,$B160)&gt;1,1,0))</f>
      </c>
      <c r="AH160" s="78">
        <f>IF(OR(N($Q160)&gt;0,N($R160)&gt;0),IF($G160="",1,IF(COUNTIF('MASTER BUDGET'!$D$6:$D$25,$G160)=0,1,0)),0)</f>
      </c>
      <c r="AI160" s="78">
        <f>IF($C160="",0,IF(COUNTIF('PEOPLE + BUDGETS'!$B$6:$B$105,$C160)=0,1,0))</f>
      </c>
      <c r="AJ160" s="78">
        <f>IF($U160="",0,IF(COUNTIF('ONLINE ORDERS'!$B$6:$B$155,$U160)=0,1,0))</f>
      </c>
      <c r="AK160" s="75"/>
    </row>
    <row r="161" ht="17" customHeight="1" spans="1:37" x14ac:dyDescent="0.25">
      <c r="A161" s="75"/>
      <c r="B161" s="79"/>
      <c r="C161" s="79"/>
      <c r="D161" s="78">
        <f>IF($B161="","",IF($C161="","",IFERROR(IF(INDEX('PEOPLE + BUDGETS'!$C$6:$C$105,MATCH($C161,'PEOPLE + BUDGETS'!$B$6:$B$105,0))="","",INDEX('PEOPLE + BUDGETS'!$C$6:$C$105,MATCH($C161,'PEOPLE + BUDGETS'!$B$6:$B$105,0))),"")))</f>
      </c>
      <c r="E161" s="78">
        <f>IF($B161="","",IF(OR($S161="Cancelled",$S161="Returned"),"No",IFERROR(INDEX('PEOPLE + BUDGETS'!$O$6:$O$105,MATCH($C161,'PEOPLE + BUDGETS'!$B$6:$B$105,0)),"Yes")))</f>
      </c>
      <c r="F161" s="80"/>
      <c r="G161" s="79"/>
      <c r="H161" s="79"/>
      <c r="I161" s="79"/>
      <c r="J161" s="80"/>
      <c r="K161" s="79"/>
      <c r="L161" s="90"/>
      <c r="M161" s="86"/>
      <c r="N161" s="86"/>
      <c r="O161" s="86"/>
      <c r="P161" s="86"/>
      <c r="Q161" s="85">
        <f>IF($B161="","",ROUND(MAX(0,$L161*$M161-$N161)+$O161+$P161,2))</f>
      </c>
      <c r="R161" s="86"/>
      <c r="S161" s="79"/>
      <c r="T161" s="78">
        <f>IF($B161="","",IF($S161="Purchased","Yes","No"))</f>
      </c>
      <c r="U161" s="79"/>
      <c r="V161" s="79"/>
      <c r="W161" s="78">
        <f>IF($B161="","",IF($U161="","—",IF($U161="","",IFERROR(IF(INDEX('ONLINE ORDERS'!$M$6:$M$155,MATCH($U161,'ONLINE ORDERS'!$B$6:$B$155,0))="","",INDEX('ONLINE ORDERS'!$M$6:$M$155,MATCH($U161,'ONLINE ORDERS'!$B$6:$B$155,0))),""))))</f>
      </c>
      <c r="X161" s="79"/>
      <c r="Y161" s="79"/>
      <c r="Z161" s="79"/>
      <c r="AA161" s="79"/>
      <c r="AB161" s="82"/>
      <c r="AC161" s="82"/>
      <c r="AD161" s="78">
        <f>IF($F161="","",LOWER(TRIM($C161&amp;"|"&amp;TRIM($F161))))</f>
      </c>
      <c r="AE161" s="78">
        <f>IF($AD161="","",IF(COUNTIF('GIFT PLANNER'!$AD$6:$AD$205,$AD161)&gt;1,"CHECK DUPLICATE",""))</f>
      </c>
      <c r="AF161" s="80"/>
      <c r="AG161" s="78">
        <f>IF($B161="",0,IF(COUNTIF('GIFT PLANNER'!$B$6:$B$205,$B161)&gt;1,1,0))</f>
      </c>
      <c r="AH161" s="78">
        <f>IF(OR(N($Q161)&gt;0,N($R161)&gt;0),IF($G161="",1,IF(COUNTIF('MASTER BUDGET'!$D$6:$D$25,$G161)=0,1,0)),0)</f>
      </c>
      <c r="AI161" s="78">
        <f>IF($C161="",0,IF(COUNTIF('PEOPLE + BUDGETS'!$B$6:$B$105,$C161)=0,1,0))</f>
      </c>
      <c r="AJ161" s="78">
        <f>IF($U161="",0,IF(COUNTIF('ONLINE ORDERS'!$B$6:$B$155,$U161)=0,1,0))</f>
      </c>
      <c r="AK161" s="75"/>
    </row>
    <row r="162" ht="17" customHeight="1" spans="1:37" x14ac:dyDescent="0.25">
      <c r="A162" s="75"/>
      <c r="B162" s="79"/>
      <c r="C162" s="79"/>
      <c r="D162" s="78">
        <f>IF($B162="","",IF($C162="","",IFERROR(IF(INDEX('PEOPLE + BUDGETS'!$C$6:$C$105,MATCH($C162,'PEOPLE + BUDGETS'!$B$6:$B$105,0))="","",INDEX('PEOPLE + BUDGETS'!$C$6:$C$105,MATCH($C162,'PEOPLE + BUDGETS'!$B$6:$B$105,0))),"")))</f>
      </c>
      <c r="E162" s="78">
        <f>IF($B162="","",IF(OR($S162="Cancelled",$S162="Returned"),"No",IFERROR(INDEX('PEOPLE + BUDGETS'!$O$6:$O$105,MATCH($C162,'PEOPLE + BUDGETS'!$B$6:$B$105,0)),"Yes")))</f>
      </c>
      <c r="F162" s="80"/>
      <c r="G162" s="79"/>
      <c r="H162" s="79"/>
      <c r="I162" s="79"/>
      <c r="J162" s="80"/>
      <c r="K162" s="79"/>
      <c r="L162" s="90"/>
      <c r="M162" s="86"/>
      <c r="N162" s="86"/>
      <c r="O162" s="86"/>
      <c r="P162" s="86"/>
      <c r="Q162" s="85">
        <f>IF($B162="","",ROUND(MAX(0,$L162*$M162-$N162)+$O162+$P162,2))</f>
      </c>
      <c r="R162" s="86"/>
      <c r="S162" s="79"/>
      <c r="T162" s="78">
        <f>IF($B162="","",IF($S162="Purchased","Yes","No"))</f>
      </c>
      <c r="U162" s="79"/>
      <c r="V162" s="79"/>
      <c r="W162" s="78">
        <f>IF($B162="","",IF($U162="","—",IF($U162="","",IFERROR(IF(INDEX('ONLINE ORDERS'!$M$6:$M$155,MATCH($U162,'ONLINE ORDERS'!$B$6:$B$155,0))="","",INDEX('ONLINE ORDERS'!$M$6:$M$155,MATCH($U162,'ONLINE ORDERS'!$B$6:$B$155,0))),""))))</f>
      </c>
      <c r="X162" s="79"/>
      <c r="Y162" s="79"/>
      <c r="Z162" s="79"/>
      <c r="AA162" s="79"/>
      <c r="AB162" s="82"/>
      <c r="AC162" s="82"/>
      <c r="AD162" s="78">
        <f>IF($F162="","",LOWER(TRIM($C162&amp;"|"&amp;TRIM($F162))))</f>
      </c>
      <c r="AE162" s="78">
        <f>IF($AD162="","",IF(COUNTIF('GIFT PLANNER'!$AD$6:$AD$205,$AD162)&gt;1,"CHECK DUPLICATE",""))</f>
      </c>
      <c r="AF162" s="80"/>
      <c r="AG162" s="78">
        <f>IF($B162="",0,IF(COUNTIF('GIFT PLANNER'!$B$6:$B$205,$B162)&gt;1,1,0))</f>
      </c>
      <c r="AH162" s="78">
        <f>IF(OR(N($Q162)&gt;0,N($R162)&gt;0),IF($G162="",1,IF(COUNTIF('MASTER BUDGET'!$D$6:$D$25,$G162)=0,1,0)),0)</f>
      </c>
      <c r="AI162" s="78">
        <f>IF($C162="",0,IF(COUNTIF('PEOPLE + BUDGETS'!$B$6:$B$105,$C162)=0,1,0))</f>
      </c>
      <c r="AJ162" s="78">
        <f>IF($U162="",0,IF(COUNTIF('ONLINE ORDERS'!$B$6:$B$155,$U162)=0,1,0))</f>
      </c>
      <c r="AK162" s="75"/>
    </row>
    <row r="163" ht="17" customHeight="1" spans="1:37" x14ac:dyDescent="0.25">
      <c r="A163" s="75"/>
      <c r="B163" s="79"/>
      <c r="C163" s="79"/>
      <c r="D163" s="78">
        <f>IF($B163="","",IF($C163="","",IFERROR(IF(INDEX('PEOPLE + BUDGETS'!$C$6:$C$105,MATCH($C163,'PEOPLE + BUDGETS'!$B$6:$B$105,0))="","",INDEX('PEOPLE + BUDGETS'!$C$6:$C$105,MATCH($C163,'PEOPLE + BUDGETS'!$B$6:$B$105,0))),"")))</f>
      </c>
      <c r="E163" s="78">
        <f>IF($B163="","",IF(OR($S163="Cancelled",$S163="Returned"),"No",IFERROR(INDEX('PEOPLE + BUDGETS'!$O$6:$O$105,MATCH($C163,'PEOPLE + BUDGETS'!$B$6:$B$105,0)),"Yes")))</f>
      </c>
      <c r="F163" s="80"/>
      <c r="G163" s="79"/>
      <c r="H163" s="79"/>
      <c r="I163" s="79"/>
      <c r="J163" s="80"/>
      <c r="K163" s="79"/>
      <c r="L163" s="90"/>
      <c r="M163" s="86"/>
      <c r="N163" s="86"/>
      <c r="O163" s="86"/>
      <c r="P163" s="86"/>
      <c r="Q163" s="85">
        <f>IF($B163="","",ROUND(MAX(0,$L163*$M163-$N163)+$O163+$P163,2))</f>
      </c>
      <c r="R163" s="86"/>
      <c r="S163" s="79"/>
      <c r="T163" s="78">
        <f>IF($B163="","",IF($S163="Purchased","Yes","No"))</f>
      </c>
      <c r="U163" s="79"/>
      <c r="V163" s="79"/>
      <c r="W163" s="78">
        <f>IF($B163="","",IF($U163="","—",IF($U163="","",IFERROR(IF(INDEX('ONLINE ORDERS'!$M$6:$M$155,MATCH($U163,'ONLINE ORDERS'!$B$6:$B$155,0))="","",INDEX('ONLINE ORDERS'!$M$6:$M$155,MATCH($U163,'ONLINE ORDERS'!$B$6:$B$155,0))),""))))</f>
      </c>
      <c r="X163" s="79"/>
      <c r="Y163" s="79"/>
      <c r="Z163" s="79"/>
      <c r="AA163" s="79"/>
      <c r="AB163" s="82"/>
      <c r="AC163" s="82"/>
      <c r="AD163" s="78">
        <f>IF($F163="","",LOWER(TRIM($C163&amp;"|"&amp;TRIM($F163))))</f>
      </c>
      <c r="AE163" s="78">
        <f>IF($AD163="","",IF(COUNTIF('GIFT PLANNER'!$AD$6:$AD$205,$AD163)&gt;1,"CHECK DUPLICATE",""))</f>
      </c>
      <c r="AF163" s="80"/>
      <c r="AG163" s="78">
        <f>IF($B163="",0,IF(COUNTIF('GIFT PLANNER'!$B$6:$B$205,$B163)&gt;1,1,0))</f>
      </c>
      <c r="AH163" s="78">
        <f>IF(OR(N($Q163)&gt;0,N($R163)&gt;0),IF($G163="",1,IF(COUNTIF('MASTER BUDGET'!$D$6:$D$25,$G163)=0,1,0)),0)</f>
      </c>
      <c r="AI163" s="78">
        <f>IF($C163="",0,IF(COUNTIF('PEOPLE + BUDGETS'!$B$6:$B$105,$C163)=0,1,0))</f>
      </c>
      <c r="AJ163" s="78">
        <f>IF($U163="",0,IF(COUNTIF('ONLINE ORDERS'!$B$6:$B$155,$U163)=0,1,0))</f>
      </c>
      <c r="AK163" s="75"/>
    </row>
    <row r="164" ht="17" customHeight="1" spans="1:37" x14ac:dyDescent="0.25">
      <c r="A164" s="75"/>
      <c r="B164" s="79"/>
      <c r="C164" s="79"/>
      <c r="D164" s="78">
        <f>IF($B164="","",IF($C164="","",IFERROR(IF(INDEX('PEOPLE + BUDGETS'!$C$6:$C$105,MATCH($C164,'PEOPLE + BUDGETS'!$B$6:$B$105,0))="","",INDEX('PEOPLE + BUDGETS'!$C$6:$C$105,MATCH($C164,'PEOPLE + BUDGETS'!$B$6:$B$105,0))),"")))</f>
      </c>
      <c r="E164" s="78">
        <f>IF($B164="","",IF(OR($S164="Cancelled",$S164="Returned"),"No",IFERROR(INDEX('PEOPLE + BUDGETS'!$O$6:$O$105,MATCH($C164,'PEOPLE + BUDGETS'!$B$6:$B$105,0)),"Yes")))</f>
      </c>
      <c r="F164" s="80"/>
      <c r="G164" s="79"/>
      <c r="H164" s="79"/>
      <c r="I164" s="79"/>
      <c r="J164" s="80"/>
      <c r="K164" s="79"/>
      <c r="L164" s="90"/>
      <c r="M164" s="86"/>
      <c r="N164" s="86"/>
      <c r="O164" s="86"/>
      <c r="P164" s="86"/>
      <c r="Q164" s="85">
        <f>IF($B164="","",ROUND(MAX(0,$L164*$M164-$N164)+$O164+$P164,2))</f>
      </c>
      <c r="R164" s="86"/>
      <c r="S164" s="79"/>
      <c r="T164" s="78">
        <f>IF($B164="","",IF($S164="Purchased","Yes","No"))</f>
      </c>
      <c r="U164" s="79"/>
      <c r="V164" s="79"/>
      <c r="W164" s="78">
        <f>IF($B164="","",IF($U164="","—",IF($U164="","",IFERROR(IF(INDEX('ONLINE ORDERS'!$M$6:$M$155,MATCH($U164,'ONLINE ORDERS'!$B$6:$B$155,0))="","",INDEX('ONLINE ORDERS'!$M$6:$M$155,MATCH($U164,'ONLINE ORDERS'!$B$6:$B$155,0))),""))))</f>
      </c>
      <c r="X164" s="79"/>
      <c r="Y164" s="79"/>
      <c r="Z164" s="79"/>
      <c r="AA164" s="79"/>
      <c r="AB164" s="82"/>
      <c r="AC164" s="82"/>
      <c r="AD164" s="78">
        <f>IF($F164="","",LOWER(TRIM($C164&amp;"|"&amp;TRIM($F164))))</f>
      </c>
      <c r="AE164" s="78">
        <f>IF($AD164="","",IF(COUNTIF('GIFT PLANNER'!$AD$6:$AD$205,$AD164)&gt;1,"CHECK DUPLICATE",""))</f>
      </c>
      <c r="AF164" s="80"/>
      <c r="AG164" s="78">
        <f>IF($B164="",0,IF(COUNTIF('GIFT PLANNER'!$B$6:$B$205,$B164)&gt;1,1,0))</f>
      </c>
      <c r="AH164" s="78">
        <f>IF(OR(N($Q164)&gt;0,N($R164)&gt;0),IF($G164="",1,IF(COUNTIF('MASTER BUDGET'!$D$6:$D$25,$G164)=0,1,0)),0)</f>
      </c>
      <c r="AI164" s="78">
        <f>IF($C164="",0,IF(COUNTIF('PEOPLE + BUDGETS'!$B$6:$B$105,$C164)=0,1,0))</f>
      </c>
      <c r="AJ164" s="78">
        <f>IF($U164="",0,IF(COUNTIF('ONLINE ORDERS'!$B$6:$B$155,$U164)=0,1,0))</f>
      </c>
      <c r="AK164" s="75"/>
    </row>
    <row r="165" ht="17" customHeight="1" spans="1:37" x14ac:dyDescent="0.25">
      <c r="A165" s="75"/>
      <c r="B165" s="79"/>
      <c r="C165" s="79"/>
      <c r="D165" s="78">
        <f>IF($B165="","",IF($C165="","",IFERROR(IF(INDEX('PEOPLE + BUDGETS'!$C$6:$C$105,MATCH($C165,'PEOPLE + BUDGETS'!$B$6:$B$105,0))="","",INDEX('PEOPLE + BUDGETS'!$C$6:$C$105,MATCH($C165,'PEOPLE + BUDGETS'!$B$6:$B$105,0))),"")))</f>
      </c>
      <c r="E165" s="78">
        <f>IF($B165="","",IF(OR($S165="Cancelled",$S165="Returned"),"No",IFERROR(INDEX('PEOPLE + BUDGETS'!$O$6:$O$105,MATCH($C165,'PEOPLE + BUDGETS'!$B$6:$B$105,0)),"Yes")))</f>
      </c>
      <c r="F165" s="80"/>
      <c r="G165" s="79"/>
      <c r="H165" s="79"/>
      <c r="I165" s="79"/>
      <c r="J165" s="80"/>
      <c r="K165" s="79"/>
      <c r="L165" s="90"/>
      <c r="M165" s="86"/>
      <c r="N165" s="86"/>
      <c r="O165" s="86"/>
      <c r="P165" s="86"/>
      <c r="Q165" s="85">
        <f>IF($B165="","",ROUND(MAX(0,$L165*$M165-$N165)+$O165+$P165,2))</f>
      </c>
      <c r="R165" s="86"/>
      <c r="S165" s="79"/>
      <c r="T165" s="78">
        <f>IF($B165="","",IF($S165="Purchased","Yes","No"))</f>
      </c>
      <c r="U165" s="79"/>
      <c r="V165" s="79"/>
      <c r="W165" s="78">
        <f>IF($B165="","",IF($U165="","—",IF($U165="","",IFERROR(IF(INDEX('ONLINE ORDERS'!$M$6:$M$155,MATCH($U165,'ONLINE ORDERS'!$B$6:$B$155,0))="","",INDEX('ONLINE ORDERS'!$M$6:$M$155,MATCH($U165,'ONLINE ORDERS'!$B$6:$B$155,0))),""))))</f>
      </c>
      <c r="X165" s="79"/>
      <c r="Y165" s="79"/>
      <c r="Z165" s="79"/>
      <c r="AA165" s="79"/>
      <c r="AB165" s="82"/>
      <c r="AC165" s="82"/>
      <c r="AD165" s="78">
        <f>IF($F165="","",LOWER(TRIM($C165&amp;"|"&amp;TRIM($F165))))</f>
      </c>
      <c r="AE165" s="78">
        <f>IF($AD165="","",IF(COUNTIF('GIFT PLANNER'!$AD$6:$AD$205,$AD165)&gt;1,"CHECK DUPLICATE",""))</f>
      </c>
      <c r="AF165" s="80"/>
      <c r="AG165" s="78">
        <f>IF($B165="",0,IF(COUNTIF('GIFT PLANNER'!$B$6:$B$205,$B165)&gt;1,1,0))</f>
      </c>
      <c r="AH165" s="78">
        <f>IF(OR(N($Q165)&gt;0,N($R165)&gt;0),IF($G165="",1,IF(COUNTIF('MASTER BUDGET'!$D$6:$D$25,$G165)=0,1,0)),0)</f>
      </c>
      <c r="AI165" s="78">
        <f>IF($C165="",0,IF(COUNTIF('PEOPLE + BUDGETS'!$B$6:$B$105,$C165)=0,1,0))</f>
      </c>
      <c r="AJ165" s="78">
        <f>IF($U165="",0,IF(COUNTIF('ONLINE ORDERS'!$B$6:$B$155,$U165)=0,1,0))</f>
      </c>
      <c r="AK165" s="75"/>
    </row>
    <row r="166" ht="17" customHeight="1" spans="1:37" x14ac:dyDescent="0.25">
      <c r="A166" s="75"/>
      <c r="B166" s="79"/>
      <c r="C166" s="79"/>
      <c r="D166" s="78">
        <f>IF($B166="","",IF($C166="","",IFERROR(IF(INDEX('PEOPLE + BUDGETS'!$C$6:$C$105,MATCH($C166,'PEOPLE + BUDGETS'!$B$6:$B$105,0))="","",INDEX('PEOPLE + BUDGETS'!$C$6:$C$105,MATCH($C166,'PEOPLE + BUDGETS'!$B$6:$B$105,0))),"")))</f>
      </c>
      <c r="E166" s="78">
        <f>IF($B166="","",IF(OR($S166="Cancelled",$S166="Returned"),"No",IFERROR(INDEX('PEOPLE + BUDGETS'!$O$6:$O$105,MATCH($C166,'PEOPLE + BUDGETS'!$B$6:$B$105,0)),"Yes")))</f>
      </c>
      <c r="F166" s="80"/>
      <c r="G166" s="79"/>
      <c r="H166" s="79"/>
      <c r="I166" s="79"/>
      <c r="J166" s="80"/>
      <c r="K166" s="79"/>
      <c r="L166" s="90"/>
      <c r="M166" s="86"/>
      <c r="N166" s="86"/>
      <c r="O166" s="86"/>
      <c r="P166" s="86"/>
      <c r="Q166" s="85">
        <f>IF($B166="","",ROUND(MAX(0,$L166*$M166-$N166)+$O166+$P166,2))</f>
      </c>
      <c r="R166" s="86"/>
      <c r="S166" s="79"/>
      <c r="T166" s="78">
        <f>IF($B166="","",IF($S166="Purchased","Yes","No"))</f>
      </c>
      <c r="U166" s="79"/>
      <c r="V166" s="79"/>
      <c r="W166" s="78">
        <f>IF($B166="","",IF($U166="","—",IF($U166="","",IFERROR(IF(INDEX('ONLINE ORDERS'!$M$6:$M$155,MATCH($U166,'ONLINE ORDERS'!$B$6:$B$155,0))="","",INDEX('ONLINE ORDERS'!$M$6:$M$155,MATCH($U166,'ONLINE ORDERS'!$B$6:$B$155,0))),""))))</f>
      </c>
      <c r="X166" s="79"/>
      <c r="Y166" s="79"/>
      <c r="Z166" s="79"/>
      <c r="AA166" s="79"/>
      <c r="AB166" s="82"/>
      <c r="AC166" s="82"/>
      <c r="AD166" s="78">
        <f>IF($F166="","",LOWER(TRIM($C166&amp;"|"&amp;TRIM($F166))))</f>
      </c>
      <c r="AE166" s="78">
        <f>IF($AD166="","",IF(COUNTIF('GIFT PLANNER'!$AD$6:$AD$205,$AD166)&gt;1,"CHECK DUPLICATE",""))</f>
      </c>
      <c r="AF166" s="80"/>
      <c r="AG166" s="78">
        <f>IF($B166="",0,IF(COUNTIF('GIFT PLANNER'!$B$6:$B$205,$B166)&gt;1,1,0))</f>
      </c>
      <c r="AH166" s="78">
        <f>IF(OR(N($Q166)&gt;0,N($R166)&gt;0),IF($G166="",1,IF(COUNTIF('MASTER BUDGET'!$D$6:$D$25,$G166)=0,1,0)),0)</f>
      </c>
      <c r="AI166" s="78">
        <f>IF($C166="",0,IF(COUNTIF('PEOPLE + BUDGETS'!$B$6:$B$105,$C166)=0,1,0))</f>
      </c>
      <c r="AJ166" s="78">
        <f>IF($U166="",0,IF(COUNTIF('ONLINE ORDERS'!$B$6:$B$155,$U166)=0,1,0))</f>
      </c>
      <c r="AK166" s="75"/>
    </row>
    <row r="167" ht="17" customHeight="1" spans="1:37" x14ac:dyDescent="0.25">
      <c r="A167" s="75"/>
      <c r="B167" s="79"/>
      <c r="C167" s="79"/>
      <c r="D167" s="78">
        <f>IF($B167="","",IF($C167="","",IFERROR(IF(INDEX('PEOPLE + BUDGETS'!$C$6:$C$105,MATCH($C167,'PEOPLE + BUDGETS'!$B$6:$B$105,0))="","",INDEX('PEOPLE + BUDGETS'!$C$6:$C$105,MATCH($C167,'PEOPLE + BUDGETS'!$B$6:$B$105,0))),"")))</f>
      </c>
      <c r="E167" s="78">
        <f>IF($B167="","",IF(OR($S167="Cancelled",$S167="Returned"),"No",IFERROR(INDEX('PEOPLE + BUDGETS'!$O$6:$O$105,MATCH($C167,'PEOPLE + BUDGETS'!$B$6:$B$105,0)),"Yes")))</f>
      </c>
      <c r="F167" s="80"/>
      <c r="G167" s="79"/>
      <c r="H167" s="79"/>
      <c r="I167" s="79"/>
      <c r="J167" s="80"/>
      <c r="K167" s="79"/>
      <c r="L167" s="90"/>
      <c r="M167" s="86"/>
      <c r="N167" s="86"/>
      <c r="O167" s="86"/>
      <c r="P167" s="86"/>
      <c r="Q167" s="85">
        <f>IF($B167="","",ROUND(MAX(0,$L167*$M167-$N167)+$O167+$P167,2))</f>
      </c>
      <c r="R167" s="86"/>
      <c r="S167" s="79"/>
      <c r="T167" s="78">
        <f>IF($B167="","",IF($S167="Purchased","Yes","No"))</f>
      </c>
      <c r="U167" s="79"/>
      <c r="V167" s="79"/>
      <c r="W167" s="78">
        <f>IF($B167="","",IF($U167="","—",IF($U167="","",IFERROR(IF(INDEX('ONLINE ORDERS'!$M$6:$M$155,MATCH($U167,'ONLINE ORDERS'!$B$6:$B$155,0))="","",INDEX('ONLINE ORDERS'!$M$6:$M$155,MATCH($U167,'ONLINE ORDERS'!$B$6:$B$155,0))),""))))</f>
      </c>
      <c r="X167" s="79"/>
      <c r="Y167" s="79"/>
      <c r="Z167" s="79"/>
      <c r="AA167" s="79"/>
      <c r="AB167" s="82"/>
      <c r="AC167" s="82"/>
      <c r="AD167" s="78">
        <f>IF($F167="","",LOWER(TRIM($C167&amp;"|"&amp;TRIM($F167))))</f>
      </c>
      <c r="AE167" s="78">
        <f>IF($AD167="","",IF(COUNTIF('GIFT PLANNER'!$AD$6:$AD$205,$AD167)&gt;1,"CHECK DUPLICATE",""))</f>
      </c>
      <c r="AF167" s="80"/>
      <c r="AG167" s="78">
        <f>IF($B167="",0,IF(COUNTIF('GIFT PLANNER'!$B$6:$B$205,$B167)&gt;1,1,0))</f>
      </c>
      <c r="AH167" s="78">
        <f>IF(OR(N($Q167)&gt;0,N($R167)&gt;0),IF($G167="",1,IF(COUNTIF('MASTER BUDGET'!$D$6:$D$25,$G167)=0,1,0)),0)</f>
      </c>
      <c r="AI167" s="78">
        <f>IF($C167="",0,IF(COUNTIF('PEOPLE + BUDGETS'!$B$6:$B$105,$C167)=0,1,0))</f>
      </c>
      <c r="AJ167" s="78">
        <f>IF($U167="",0,IF(COUNTIF('ONLINE ORDERS'!$B$6:$B$155,$U167)=0,1,0))</f>
      </c>
      <c r="AK167" s="75"/>
    </row>
    <row r="168" ht="17" customHeight="1" spans="1:37" x14ac:dyDescent="0.25">
      <c r="A168" s="75"/>
      <c r="B168" s="79"/>
      <c r="C168" s="79"/>
      <c r="D168" s="78">
        <f>IF($B168="","",IF($C168="","",IFERROR(IF(INDEX('PEOPLE + BUDGETS'!$C$6:$C$105,MATCH($C168,'PEOPLE + BUDGETS'!$B$6:$B$105,0))="","",INDEX('PEOPLE + BUDGETS'!$C$6:$C$105,MATCH($C168,'PEOPLE + BUDGETS'!$B$6:$B$105,0))),"")))</f>
      </c>
      <c r="E168" s="78">
        <f>IF($B168="","",IF(OR($S168="Cancelled",$S168="Returned"),"No",IFERROR(INDEX('PEOPLE + BUDGETS'!$O$6:$O$105,MATCH($C168,'PEOPLE + BUDGETS'!$B$6:$B$105,0)),"Yes")))</f>
      </c>
      <c r="F168" s="80"/>
      <c r="G168" s="79"/>
      <c r="H168" s="79"/>
      <c r="I168" s="79"/>
      <c r="J168" s="80"/>
      <c r="K168" s="79"/>
      <c r="L168" s="90"/>
      <c r="M168" s="86"/>
      <c r="N168" s="86"/>
      <c r="O168" s="86"/>
      <c r="P168" s="86"/>
      <c r="Q168" s="85">
        <f>IF($B168="","",ROUND(MAX(0,$L168*$M168-$N168)+$O168+$P168,2))</f>
      </c>
      <c r="R168" s="86"/>
      <c r="S168" s="79"/>
      <c r="T168" s="78">
        <f>IF($B168="","",IF($S168="Purchased","Yes","No"))</f>
      </c>
      <c r="U168" s="79"/>
      <c r="V168" s="79"/>
      <c r="W168" s="78">
        <f>IF($B168="","",IF($U168="","—",IF($U168="","",IFERROR(IF(INDEX('ONLINE ORDERS'!$M$6:$M$155,MATCH($U168,'ONLINE ORDERS'!$B$6:$B$155,0))="","",INDEX('ONLINE ORDERS'!$M$6:$M$155,MATCH($U168,'ONLINE ORDERS'!$B$6:$B$155,0))),""))))</f>
      </c>
      <c r="X168" s="79"/>
      <c r="Y168" s="79"/>
      <c r="Z168" s="79"/>
      <c r="AA168" s="79"/>
      <c r="AB168" s="82"/>
      <c r="AC168" s="82"/>
      <c r="AD168" s="78">
        <f>IF($F168="","",LOWER(TRIM($C168&amp;"|"&amp;TRIM($F168))))</f>
      </c>
      <c r="AE168" s="78">
        <f>IF($AD168="","",IF(COUNTIF('GIFT PLANNER'!$AD$6:$AD$205,$AD168)&gt;1,"CHECK DUPLICATE",""))</f>
      </c>
      <c r="AF168" s="80"/>
      <c r="AG168" s="78">
        <f>IF($B168="",0,IF(COUNTIF('GIFT PLANNER'!$B$6:$B$205,$B168)&gt;1,1,0))</f>
      </c>
      <c r="AH168" s="78">
        <f>IF(OR(N($Q168)&gt;0,N($R168)&gt;0),IF($G168="",1,IF(COUNTIF('MASTER BUDGET'!$D$6:$D$25,$G168)=0,1,0)),0)</f>
      </c>
      <c r="AI168" s="78">
        <f>IF($C168="",0,IF(COUNTIF('PEOPLE + BUDGETS'!$B$6:$B$105,$C168)=0,1,0))</f>
      </c>
      <c r="AJ168" s="78">
        <f>IF($U168="",0,IF(COUNTIF('ONLINE ORDERS'!$B$6:$B$155,$U168)=0,1,0))</f>
      </c>
      <c r="AK168" s="75"/>
    </row>
    <row r="169" ht="17" customHeight="1" spans="1:37" x14ac:dyDescent="0.25">
      <c r="A169" s="75"/>
      <c r="B169" s="79"/>
      <c r="C169" s="79"/>
      <c r="D169" s="78">
        <f>IF($B169="","",IF($C169="","",IFERROR(IF(INDEX('PEOPLE + BUDGETS'!$C$6:$C$105,MATCH($C169,'PEOPLE + BUDGETS'!$B$6:$B$105,0))="","",INDEX('PEOPLE + BUDGETS'!$C$6:$C$105,MATCH($C169,'PEOPLE + BUDGETS'!$B$6:$B$105,0))),"")))</f>
      </c>
      <c r="E169" s="78">
        <f>IF($B169="","",IF(OR($S169="Cancelled",$S169="Returned"),"No",IFERROR(INDEX('PEOPLE + BUDGETS'!$O$6:$O$105,MATCH($C169,'PEOPLE + BUDGETS'!$B$6:$B$105,0)),"Yes")))</f>
      </c>
      <c r="F169" s="80"/>
      <c r="G169" s="79"/>
      <c r="H169" s="79"/>
      <c r="I169" s="79"/>
      <c r="J169" s="80"/>
      <c r="K169" s="79"/>
      <c r="L169" s="90"/>
      <c r="M169" s="86"/>
      <c r="N169" s="86"/>
      <c r="O169" s="86"/>
      <c r="P169" s="86"/>
      <c r="Q169" s="85">
        <f>IF($B169="","",ROUND(MAX(0,$L169*$M169-$N169)+$O169+$P169,2))</f>
      </c>
      <c r="R169" s="86"/>
      <c r="S169" s="79"/>
      <c r="T169" s="78">
        <f>IF($B169="","",IF($S169="Purchased","Yes","No"))</f>
      </c>
      <c r="U169" s="79"/>
      <c r="V169" s="79"/>
      <c r="W169" s="78">
        <f>IF($B169="","",IF($U169="","—",IF($U169="","",IFERROR(IF(INDEX('ONLINE ORDERS'!$M$6:$M$155,MATCH($U169,'ONLINE ORDERS'!$B$6:$B$155,0))="","",INDEX('ONLINE ORDERS'!$M$6:$M$155,MATCH($U169,'ONLINE ORDERS'!$B$6:$B$155,0))),""))))</f>
      </c>
      <c r="X169" s="79"/>
      <c r="Y169" s="79"/>
      <c r="Z169" s="79"/>
      <c r="AA169" s="79"/>
      <c r="AB169" s="82"/>
      <c r="AC169" s="82"/>
      <c r="AD169" s="78">
        <f>IF($F169="","",LOWER(TRIM($C169&amp;"|"&amp;TRIM($F169))))</f>
      </c>
      <c r="AE169" s="78">
        <f>IF($AD169="","",IF(COUNTIF('GIFT PLANNER'!$AD$6:$AD$205,$AD169)&gt;1,"CHECK DUPLICATE",""))</f>
      </c>
      <c r="AF169" s="80"/>
      <c r="AG169" s="78">
        <f>IF($B169="",0,IF(COUNTIF('GIFT PLANNER'!$B$6:$B$205,$B169)&gt;1,1,0))</f>
      </c>
      <c r="AH169" s="78">
        <f>IF(OR(N($Q169)&gt;0,N($R169)&gt;0),IF($G169="",1,IF(COUNTIF('MASTER BUDGET'!$D$6:$D$25,$G169)=0,1,0)),0)</f>
      </c>
      <c r="AI169" s="78">
        <f>IF($C169="",0,IF(COUNTIF('PEOPLE + BUDGETS'!$B$6:$B$105,$C169)=0,1,0))</f>
      </c>
      <c r="AJ169" s="78">
        <f>IF($U169="",0,IF(COUNTIF('ONLINE ORDERS'!$B$6:$B$155,$U169)=0,1,0))</f>
      </c>
      <c r="AK169" s="75"/>
    </row>
    <row r="170" ht="17" customHeight="1" spans="1:37" x14ac:dyDescent="0.25">
      <c r="A170" s="75"/>
      <c r="B170" s="79"/>
      <c r="C170" s="79"/>
      <c r="D170" s="78">
        <f>IF($B170="","",IF($C170="","",IFERROR(IF(INDEX('PEOPLE + BUDGETS'!$C$6:$C$105,MATCH($C170,'PEOPLE + BUDGETS'!$B$6:$B$105,0))="","",INDEX('PEOPLE + BUDGETS'!$C$6:$C$105,MATCH($C170,'PEOPLE + BUDGETS'!$B$6:$B$105,0))),"")))</f>
      </c>
      <c r="E170" s="78">
        <f>IF($B170="","",IF(OR($S170="Cancelled",$S170="Returned"),"No",IFERROR(INDEX('PEOPLE + BUDGETS'!$O$6:$O$105,MATCH($C170,'PEOPLE + BUDGETS'!$B$6:$B$105,0)),"Yes")))</f>
      </c>
      <c r="F170" s="80"/>
      <c r="G170" s="79"/>
      <c r="H170" s="79"/>
      <c r="I170" s="79"/>
      <c r="J170" s="80"/>
      <c r="K170" s="79"/>
      <c r="L170" s="90"/>
      <c r="M170" s="86"/>
      <c r="N170" s="86"/>
      <c r="O170" s="86"/>
      <c r="P170" s="86"/>
      <c r="Q170" s="85">
        <f>IF($B170="","",ROUND(MAX(0,$L170*$M170-$N170)+$O170+$P170,2))</f>
      </c>
      <c r="R170" s="86"/>
      <c r="S170" s="79"/>
      <c r="T170" s="78">
        <f>IF($B170="","",IF($S170="Purchased","Yes","No"))</f>
      </c>
      <c r="U170" s="79"/>
      <c r="V170" s="79"/>
      <c r="W170" s="78">
        <f>IF($B170="","",IF($U170="","—",IF($U170="","",IFERROR(IF(INDEX('ONLINE ORDERS'!$M$6:$M$155,MATCH($U170,'ONLINE ORDERS'!$B$6:$B$155,0))="","",INDEX('ONLINE ORDERS'!$M$6:$M$155,MATCH($U170,'ONLINE ORDERS'!$B$6:$B$155,0))),""))))</f>
      </c>
      <c r="X170" s="79"/>
      <c r="Y170" s="79"/>
      <c r="Z170" s="79"/>
      <c r="AA170" s="79"/>
      <c r="AB170" s="82"/>
      <c r="AC170" s="82"/>
      <c r="AD170" s="78">
        <f>IF($F170="","",LOWER(TRIM($C170&amp;"|"&amp;TRIM($F170))))</f>
      </c>
      <c r="AE170" s="78">
        <f>IF($AD170="","",IF(COUNTIF('GIFT PLANNER'!$AD$6:$AD$205,$AD170)&gt;1,"CHECK DUPLICATE",""))</f>
      </c>
      <c r="AF170" s="80"/>
      <c r="AG170" s="78">
        <f>IF($B170="",0,IF(COUNTIF('GIFT PLANNER'!$B$6:$B$205,$B170)&gt;1,1,0))</f>
      </c>
      <c r="AH170" s="78">
        <f>IF(OR(N($Q170)&gt;0,N($R170)&gt;0),IF($G170="",1,IF(COUNTIF('MASTER BUDGET'!$D$6:$D$25,$G170)=0,1,0)),0)</f>
      </c>
      <c r="AI170" s="78">
        <f>IF($C170="",0,IF(COUNTIF('PEOPLE + BUDGETS'!$B$6:$B$105,$C170)=0,1,0))</f>
      </c>
      <c r="AJ170" s="78">
        <f>IF($U170="",0,IF(COUNTIF('ONLINE ORDERS'!$B$6:$B$155,$U170)=0,1,0))</f>
      </c>
      <c r="AK170" s="75"/>
    </row>
    <row r="171" ht="17" customHeight="1" spans="1:37" x14ac:dyDescent="0.25">
      <c r="A171" s="75"/>
      <c r="B171" s="79"/>
      <c r="C171" s="79"/>
      <c r="D171" s="78">
        <f>IF($B171="","",IF($C171="","",IFERROR(IF(INDEX('PEOPLE + BUDGETS'!$C$6:$C$105,MATCH($C171,'PEOPLE + BUDGETS'!$B$6:$B$105,0))="","",INDEX('PEOPLE + BUDGETS'!$C$6:$C$105,MATCH($C171,'PEOPLE + BUDGETS'!$B$6:$B$105,0))),"")))</f>
      </c>
      <c r="E171" s="78">
        <f>IF($B171="","",IF(OR($S171="Cancelled",$S171="Returned"),"No",IFERROR(INDEX('PEOPLE + BUDGETS'!$O$6:$O$105,MATCH($C171,'PEOPLE + BUDGETS'!$B$6:$B$105,0)),"Yes")))</f>
      </c>
      <c r="F171" s="80"/>
      <c r="G171" s="79"/>
      <c r="H171" s="79"/>
      <c r="I171" s="79"/>
      <c r="J171" s="80"/>
      <c r="K171" s="79"/>
      <c r="L171" s="90"/>
      <c r="M171" s="86"/>
      <c r="N171" s="86"/>
      <c r="O171" s="86"/>
      <c r="P171" s="86"/>
      <c r="Q171" s="85">
        <f>IF($B171="","",ROUND(MAX(0,$L171*$M171-$N171)+$O171+$P171,2))</f>
      </c>
      <c r="R171" s="86"/>
      <c r="S171" s="79"/>
      <c r="T171" s="78">
        <f>IF($B171="","",IF($S171="Purchased","Yes","No"))</f>
      </c>
      <c r="U171" s="79"/>
      <c r="V171" s="79"/>
      <c r="W171" s="78">
        <f>IF($B171="","",IF($U171="","—",IF($U171="","",IFERROR(IF(INDEX('ONLINE ORDERS'!$M$6:$M$155,MATCH($U171,'ONLINE ORDERS'!$B$6:$B$155,0))="","",INDEX('ONLINE ORDERS'!$M$6:$M$155,MATCH($U171,'ONLINE ORDERS'!$B$6:$B$155,0))),""))))</f>
      </c>
      <c r="X171" s="79"/>
      <c r="Y171" s="79"/>
      <c r="Z171" s="79"/>
      <c r="AA171" s="79"/>
      <c r="AB171" s="82"/>
      <c r="AC171" s="82"/>
      <c r="AD171" s="78">
        <f>IF($F171="","",LOWER(TRIM($C171&amp;"|"&amp;TRIM($F171))))</f>
      </c>
      <c r="AE171" s="78">
        <f>IF($AD171="","",IF(COUNTIF('GIFT PLANNER'!$AD$6:$AD$205,$AD171)&gt;1,"CHECK DUPLICATE",""))</f>
      </c>
      <c r="AF171" s="80"/>
      <c r="AG171" s="78">
        <f>IF($B171="",0,IF(COUNTIF('GIFT PLANNER'!$B$6:$B$205,$B171)&gt;1,1,0))</f>
      </c>
      <c r="AH171" s="78">
        <f>IF(OR(N($Q171)&gt;0,N($R171)&gt;0),IF($G171="",1,IF(COUNTIF('MASTER BUDGET'!$D$6:$D$25,$G171)=0,1,0)),0)</f>
      </c>
      <c r="AI171" s="78">
        <f>IF($C171="",0,IF(COUNTIF('PEOPLE + BUDGETS'!$B$6:$B$105,$C171)=0,1,0))</f>
      </c>
      <c r="AJ171" s="78">
        <f>IF($U171="",0,IF(COUNTIF('ONLINE ORDERS'!$B$6:$B$155,$U171)=0,1,0))</f>
      </c>
      <c r="AK171" s="75"/>
    </row>
    <row r="172" ht="17" customHeight="1" spans="1:37" x14ac:dyDescent="0.25">
      <c r="A172" s="75"/>
      <c r="B172" s="79"/>
      <c r="C172" s="79"/>
      <c r="D172" s="78">
        <f>IF($B172="","",IF($C172="","",IFERROR(IF(INDEX('PEOPLE + BUDGETS'!$C$6:$C$105,MATCH($C172,'PEOPLE + BUDGETS'!$B$6:$B$105,0))="","",INDEX('PEOPLE + BUDGETS'!$C$6:$C$105,MATCH($C172,'PEOPLE + BUDGETS'!$B$6:$B$105,0))),"")))</f>
      </c>
      <c r="E172" s="78">
        <f>IF($B172="","",IF(OR($S172="Cancelled",$S172="Returned"),"No",IFERROR(INDEX('PEOPLE + BUDGETS'!$O$6:$O$105,MATCH($C172,'PEOPLE + BUDGETS'!$B$6:$B$105,0)),"Yes")))</f>
      </c>
      <c r="F172" s="80"/>
      <c r="G172" s="79"/>
      <c r="H172" s="79"/>
      <c r="I172" s="79"/>
      <c r="J172" s="80"/>
      <c r="K172" s="79"/>
      <c r="L172" s="90"/>
      <c r="M172" s="86"/>
      <c r="N172" s="86"/>
      <c r="O172" s="86"/>
      <c r="P172" s="86"/>
      <c r="Q172" s="85">
        <f>IF($B172="","",ROUND(MAX(0,$L172*$M172-$N172)+$O172+$P172,2))</f>
      </c>
      <c r="R172" s="86"/>
      <c r="S172" s="79"/>
      <c r="T172" s="78">
        <f>IF($B172="","",IF($S172="Purchased","Yes","No"))</f>
      </c>
      <c r="U172" s="79"/>
      <c r="V172" s="79"/>
      <c r="W172" s="78">
        <f>IF($B172="","",IF($U172="","—",IF($U172="","",IFERROR(IF(INDEX('ONLINE ORDERS'!$M$6:$M$155,MATCH($U172,'ONLINE ORDERS'!$B$6:$B$155,0))="","",INDEX('ONLINE ORDERS'!$M$6:$M$155,MATCH($U172,'ONLINE ORDERS'!$B$6:$B$155,0))),""))))</f>
      </c>
      <c r="X172" s="79"/>
      <c r="Y172" s="79"/>
      <c r="Z172" s="79"/>
      <c r="AA172" s="79"/>
      <c r="AB172" s="82"/>
      <c r="AC172" s="82"/>
      <c r="AD172" s="78">
        <f>IF($F172="","",LOWER(TRIM($C172&amp;"|"&amp;TRIM($F172))))</f>
      </c>
      <c r="AE172" s="78">
        <f>IF($AD172="","",IF(COUNTIF('GIFT PLANNER'!$AD$6:$AD$205,$AD172)&gt;1,"CHECK DUPLICATE",""))</f>
      </c>
      <c r="AF172" s="80"/>
      <c r="AG172" s="78">
        <f>IF($B172="",0,IF(COUNTIF('GIFT PLANNER'!$B$6:$B$205,$B172)&gt;1,1,0))</f>
      </c>
      <c r="AH172" s="78">
        <f>IF(OR(N($Q172)&gt;0,N($R172)&gt;0),IF($G172="",1,IF(COUNTIF('MASTER BUDGET'!$D$6:$D$25,$G172)=0,1,0)),0)</f>
      </c>
      <c r="AI172" s="78">
        <f>IF($C172="",0,IF(COUNTIF('PEOPLE + BUDGETS'!$B$6:$B$105,$C172)=0,1,0))</f>
      </c>
      <c r="AJ172" s="78">
        <f>IF($U172="",0,IF(COUNTIF('ONLINE ORDERS'!$B$6:$B$155,$U172)=0,1,0))</f>
      </c>
      <c r="AK172" s="75"/>
    </row>
    <row r="173" ht="17" customHeight="1" spans="1:37" x14ac:dyDescent="0.25">
      <c r="A173" s="75"/>
      <c r="B173" s="79"/>
      <c r="C173" s="79"/>
      <c r="D173" s="78">
        <f>IF($B173="","",IF($C173="","",IFERROR(IF(INDEX('PEOPLE + BUDGETS'!$C$6:$C$105,MATCH($C173,'PEOPLE + BUDGETS'!$B$6:$B$105,0))="","",INDEX('PEOPLE + BUDGETS'!$C$6:$C$105,MATCH($C173,'PEOPLE + BUDGETS'!$B$6:$B$105,0))),"")))</f>
      </c>
      <c r="E173" s="78">
        <f>IF($B173="","",IF(OR($S173="Cancelled",$S173="Returned"),"No",IFERROR(INDEX('PEOPLE + BUDGETS'!$O$6:$O$105,MATCH($C173,'PEOPLE + BUDGETS'!$B$6:$B$105,0)),"Yes")))</f>
      </c>
      <c r="F173" s="80"/>
      <c r="G173" s="79"/>
      <c r="H173" s="79"/>
      <c r="I173" s="79"/>
      <c r="J173" s="80"/>
      <c r="K173" s="79"/>
      <c r="L173" s="90"/>
      <c r="M173" s="86"/>
      <c r="N173" s="86"/>
      <c r="O173" s="86"/>
      <c r="P173" s="86"/>
      <c r="Q173" s="85">
        <f>IF($B173="","",ROUND(MAX(0,$L173*$M173-$N173)+$O173+$P173,2))</f>
      </c>
      <c r="R173" s="86"/>
      <c r="S173" s="79"/>
      <c r="T173" s="78">
        <f>IF($B173="","",IF($S173="Purchased","Yes","No"))</f>
      </c>
      <c r="U173" s="79"/>
      <c r="V173" s="79"/>
      <c r="W173" s="78">
        <f>IF($B173="","",IF($U173="","—",IF($U173="","",IFERROR(IF(INDEX('ONLINE ORDERS'!$M$6:$M$155,MATCH($U173,'ONLINE ORDERS'!$B$6:$B$155,0))="","",INDEX('ONLINE ORDERS'!$M$6:$M$155,MATCH($U173,'ONLINE ORDERS'!$B$6:$B$155,0))),""))))</f>
      </c>
      <c r="X173" s="79"/>
      <c r="Y173" s="79"/>
      <c r="Z173" s="79"/>
      <c r="AA173" s="79"/>
      <c r="AB173" s="82"/>
      <c r="AC173" s="82"/>
      <c r="AD173" s="78">
        <f>IF($F173="","",LOWER(TRIM($C173&amp;"|"&amp;TRIM($F173))))</f>
      </c>
      <c r="AE173" s="78">
        <f>IF($AD173="","",IF(COUNTIF('GIFT PLANNER'!$AD$6:$AD$205,$AD173)&gt;1,"CHECK DUPLICATE",""))</f>
      </c>
      <c r="AF173" s="80"/>
      <c r="AG173" s="78">
        <f>IF($B173="",0,IF(COUNTIF('GIFT PLANNER'!$B$6:$B$205,$B173)&gt;1,1,0))</f>
      </c>
      <c r="AH173" s="78">
        <f>IF(OR(N($Q173)&gt;0,N($R173)&gt;0),IF($G173="",1,IF(COUNTIF('MASTER BUDGET'!$D$6:$D$25,$G173)=0,1,0)),0)</f>
      </c>
      <c r="AI173" s="78">
        <f>IF($C173="",0,IF(COUNTIF('PEOPLE + BUDGETS'!$B$6:$B$105,$C173)=0,1,0))</f>
      </c>
      <c r="AJ173" s="78">
        <f>IF($U173="",0,IF(COUNTIF('ONLINE ORDERS'!$B$6:$B$155,$U173)=0,1,0))</f>
      </c>
      <c r="AK173" s="75"/>
    </row>
    <row r="174" ht="17" customHeight="1" spans="1:37" x14ac:dyDescent="0.25">
      <c r="A174" s="75"/>
      <c r="B174" s="79"/>
      <c r="C174" s="79"/>
      <c r="D174" s="78">
        <f>IF($B174="","",IF($C174="","",IFERROR(IF(INDEX('PEOPLE + BUDGETS'!$C$6:$C$105,MATCH($C174,'PEOPLE + BUDGETS'!$B$6:$B$105,0))="","",INDEX('PEOPLE + BUDGETS'!$C$6:$C$105,MATCH($C174,'PEOPLE + BUDGETS'!$B$6:$B$105,0))),"")))</f>
      </c>
      <c r="E174" s="78">
        <f>IF($B174="","",IF(OR($S174="Cancelled",$S174="Returned"),"No",IFERROR(INDEX('PEOPLE + BUDGETS'!$O$6:$O$105,MATCH($C174,'PEOPLE + BUDGETS'!$B$6:$B$105,0)),"Yes")))</f>
      </c>
      <c r="F174" s="80"/>
      <c r="G174" s="79"/>
      <c r="H174" s="79"/>
      <c r="I174" s="79"/>
      <c r="J174" s="80"/>
      <c r="K174" s="79"/>
      <c r="L174" s="90"/>
      <c r="M174" s="86"/>
      <c r="N174" s="86"/>
      <c r="O174" s="86"/>
      <c r="P174" s="86"/>
      <c r="Q174" s="85">
        <f>IF($B174="","",ROUND(MAX(0,$L174*$M174-$N174)+$O174+$P174,2))</f>
      </c>
      <c r="R174" s="86"/>
      <c r="S174" s="79"/>
      <c r="T174" s="78">
        <f>IF($B174="","",IF($S174="Purchased","Yes","No"))</f>
      </c>
      <c r="U174" s="79"/>
      <c r="V174" s="79"/>
      <c r="W174" s="78">
        <f>IF($B174="","",IF($U174="","—",IF($U174="","",IFERROR(IF(INDEX('ONLINE ORDERS'!$M$6:$M$155,MATCH($U174,'ONLINE ORDERS'!$B$6:$B$155,0))="","",INDEX('ONLINE ORDERS'!$M$6:$M$155,MATCH($U174,'ONLINE ORDERS'!$B$6:$B$155,0))),""))))</f>
      </c>
      <c r="X174" s="79"/>
      <c r="Y174" s="79"/>
      <c r="Z174" s="79"/>
      <c r="AA174" s="79"/>
      <c r="AB174" s="82"/>
      <c r="AC174" s="82"/>
      <c r="AD174" s="78">
        <f>IF($F174="","",LOWER(TRIM($C174&amp;"|"&amp;TRIM($F174))))</f>
      </c>
      <c r="AE174" s="78">
        <f>IF($AD174="","",IF(COUNTIF('GIFT PLANNER'!$AD$6:$AD$205,$AD174)&gt;1,"CHECK DUPLICATE",""))</f>
      </c>
      <c r="AF174" s="80"/>
      <c r="AG174" s="78">
        <f>IF($B174="",0,IF(COUNTIF('GIFT PLANNER'!$B$6:$B$205,$B174)&gt;1,1,0))</f>
      </c>
      <c r="AH174" s="78">
        <f>IF(OR(N($Q174)&gt;0,N($R174)&gt;0),IF($G174="",1,IF(COUNTIF('MASTER BUDGET'!$D$6:$D$25,$G174)=0,1,0)),0)</f>
      </c>
      <c r="AI174" s="78">
        <f>IF($C174="",0,IF(COUNTIF('PEOPLE + BUDGETS'!$B$6:$B$105,$C174)=0,1,0))</f>
      </c>
      <c r="AJ174" s="78">
        <f>IF($U174="",0,IF(COUNTIF('ONLINE ORDERS'!$B$6:$B$155,$U174)=0,1,0))</f>
      </c>
      <c r="AK174" s="75"/>
    </row>
    <row r="175" ht="17" customHeight="1" spans="1:37" x14ac:dyDescent="0.25">
      <c r="A175" s="75"/>
      <c r="B175" s="79"/>
      <c r="C175" s="79"/>
      <c r="D175" s="78">
        <f>IF($B175="","",IF($C175="","",IFERROR(IF(INDEX('PEOPLE + BUDGETS'!$C$6:$C$105,MATCH($C175,'PEOPLE + BUDGETS'!$B$6:$B$105,0))="","",INDEX('PEOPLE + BUDGETS'!$C$6:$C$105,MATCH($C175,'PEOPLE + BUDGETS'!$B$6:$B$105,0))),"")))</f>
      </c>
      <c r="E175" s="78">
        <f>IF($B175="","",IF(OR($S175="Cancelled",$S175="Returned"),"No",IFERROR(INDEX('PEOPLE + BUDGETS'!$O$6:$O$105,MATCH($C175,'PEOPLE + BUDGETS'!$B$6:$B$105,0)),"Yes")))</f>
      </c>
      <c r="F175" s="80"/>
      <c r="G175" s="79"/>
      <c r="H175" s="79"/>
      <c r="I175" s="79"/>
      <c r="J175" s="80"/>
      <c r="K175" s="79"/>
      <c r="L175" s="90"/>
      <c r="M175" s="86"/>
      <c r="N175" s="86"/>
      <c r="O175" s="86"/>
      <c r="P175" s="86"/>
      <c r="Q175" s="85">
        <f>IF($B175="","",ROUND(MAX(0,$L175*$M175-$N175)+$O175+$P175,2))</f>
      </c>
      <c r="R175" s="86"/>
      <c r="S175" s="79"/>
      <c r="T175" s="78">
        <f>IF($B175="","",IF($S175="Purchased","Yes","No"))</f>
      </c>
      <c r="U175" s="79"/>
      <c r="V175" s="79"/>
      <c r="W175" s="78">
        <f>IF($B175="","",IF($U175="","—",IF($U175="","",IFERROR(IF(INDEX('ONLINE ORDERS'!$M$6:$M$155,MATCH($U175,'ONLINE ORDERS'!$B$6:$B$155,0))="","",INDEX('ONLINE ORDERS'!$M$6:$M$155,MATCH($U175,'ONLINE ORDERS'!$B$6:$B$155,0))),""))))</f>
      </c>
      <c r="X175" s="79"/>
      <c r="Y175" s="79"/>
      <c r="Z175" s="79"/>
      <c r="AA175" s="79"/>
      <c r="AB175" s="82"/>
      <c r="AC175" s="82"/>
      <c r="AD175" s="78">
        <f>IF($F175="","",LOWER(TRIM($C175&amp;"|"&amp;TRIM($F175))))</f>
      </c>
      <c r="AE175" s="78">
        <f>IF($AD175="","",IF(COUNTIF('GIFT PLANNER'!$AD$6:$AD$205,$AD175)&gt;1,"CHECK DUPLICATE",""))</f>
      </c>
      <c r="AF175" s="80"/>
      <c r="AG175" s="78">
        <f>IF($B175="",0,IF(COUNTIF('GIFT PLANNER'!$B$6:$B$205,$B175)&gt;1,1,0))</f>
      </c>
      <c r="AH175" s="78">
        <f>IF(OR(N($Q175)&gt;0,N($R175)&gt;0),IF($G175="",1,IF(COUNTIF('MASTER BUDGET'!$D$6:$D$25,$G175)=0,1,0)),0)</f>
      </c>
      <c r="AI175" s="78">
        <f>IF($C175="",0,IF(COUNTIF('PEOPLE + BUDGETS'!$B$6:$B$105,$C175)=0,1,0))</f>
      </c>
      <c r="AJ175" s="78">
        <f>IF($U175="",0,IF(COUNTIF('ONLINE ORDERS'!$B$6:$B$155,$U175)=0,1,0))</f>
      </c>
      <c r="AK175" s="75"/>
    </row>
    <row r="176" ht="17" customHeight="1" spans="1:37" x14ac:dyDescent="0.25">
      <c r="A176" s="75"/>
      <c r="B176" s="79"/>
      <c r="C176" s="79"/>
      <c r="D176" s="78">
        <f>IF($B176="","",IF($C176="","",IFERROR(IF(INDEX('PEOPLE + BUDGETS'!$C$6:$C$105,MATCH($C176,'PEOPLE + BUDGETS'!$B$6:$B$105,0))="","",INDEX('PEOPLE + BUDGETS'!$C$6:$C$105,MATCH($C176,'PEOPLE + BUDGETS'!$B$6:$B$105,0))),"")))</f>
      </c>
      <c r="E176" s="78">
        <f>IF($B176="","",IF(OR($S176="Cancelled",$S176="Returned"),"No",IFERROR(INDEX('PEOPLE + BUDGETS'!$O$6:$O$105,MATCH($C176,'PEOPLE + BUDGETS'!$B$6:$B$105,0)),"Yes")))</f>
      </c>
      <c r="F176" s="80"/>
      <c r="G176" s="79"/>
      <c r="H176" s="79"/>
      <c r="I176" s="79"/>
      <c r="J176" s="80"/>
      <c r="K176" s="79"/>
      <c r="L176" s="90"/>
      <c r="M176" s="86"/>
      <c r="N176" s="86"/>
      <c r="O176" s="86"/>
      <c r="P176" s="86"/>
      <c r="Q176" s="85">
        <f>IF($B176="","",ROUND(MAX(0,$L176*$M176-$N176)+$O176+$P176,2))</f>
      </c>
      <c r="R176" s="86"/>
      <c r="S176" s="79"/>
      <c r="T176" s="78">
        <f>IF($B176="","",IF($S176="Purchased","Yes","No"))</f>
      </c>
      <c r="U176" s="79"/>
      <c r="V176" s="79"/>
      <c r="W176" s="78">
        <f>IF($B176="","",IF($U176="","—",IF($U176="","",IFERROR(IF(INDEX('ONLINE ORDERS'!$M$6:$M$155,MATCH($U176,'ONLINE ORDERS'!$B$6:$B$155,0))="","",INDEX('ONLINE ORDERS'!$M$6:$M$155,MATCH($U176,'ONLINE ORDERS'!$B$6:$B$155,0))),""))))</f>
      </c>
      <c r="X176" s="79"/>
      <c r="Y176" s="79"/>
      <c r="Z176" s="79"/>
      <c r="AA176" s="79"/>
      <c r="AB176" s="82"/>
      <c r="AC176" s="82"/>
      <c r="AD176" s="78">
        <f>IF($F176="","",LOWER(TRIM($C176&amp;"|"&amp;TRIM($F176))))</f>
      </c>
      <c r="AE176" s="78">
        <f>IF($AD176="","",IF(COUNTIF('GIFT PLANNER'!$AD$6:$AD$205,$AD176)&gt;1,"CHECK DUPLICATE",""))</f>
      </c>
      <c r="AF176" s="80"/>
      <c r="AG176" s="78">
        <f>IF($B176="",0,IF(COUNTIF('GIFT PLANNER'!$B$6:$B$205,$B176)&gt;1,1,0))</f>
      </c>
      <c r="AH176" s="78">
        <f>IF(OR(N($Q176)&gt;0,N($R176)&gt;0),IF($G176="",1,IF(COUNTIF('MASTER BUDGET'!$D$6:$D$25,$G176)=0,1,0)),0)</f>
      </c>
      <c r="AI176" s="78">
        <f>IF($C176="",0,IF(COUNTIF('PEOPLE + BUDGETS'!$B$6:$B$105,$C176)=0,1,0))</f>
      </c>
      <c r="AJ176" s="78">
        <f>IF($U176="",0,IF(COUNTIF('ONLINE ORDERS'!$B$6:$B$155,$U176)=0,1,0))</f>
      </c>
      <c r="AK176" s="75"/>
    </row>
    <row r="177" ht="17" customHeight="1" spans="1:37" x14ac:dyDescent="0.25">
      <c r="A177" s="75"/>
      <c r="B177" s="79"/>
      <c r="C177" s="79"/>
      <c r="D177" s="78">
        <f>IF($B177="","",IF($C177="","",IFERROR(IF(INDEX('PEOPLE + BUDGETS'!$C$6:$C$105,MATCH($C177,'PEOPLE + BUDGETS'!$B$6:$B$105,0))="","",INDEX('PEOPLE + BUDGETS'!$C$6:$C$105,MATCH($C177,'PEOPLE + BUDGETS'!$B$6:$B$105,0))),"")))</f>
      </c>
      <c r="E177" s="78">
        <f>IF($B177="","",IF(OR($S177="Cancelled",$S177="Returned"),"No",IFERROR(INDEX('PEOPLE + BUDGETS'!$O$6:$O$105,MATCH($C177,'PEOPLE + BUDGETS'!$B$6:$B$105,0)),"Yes")))</f>
      </c>
      <c r="F177" s="80"/>
      <c r="G177" s="79"/>
      <c r="H177" s="79"/>
      <c r="I177" s="79"/>
      <c r="J177" s="80"/>
      <c r="K177" s="79"/>
      <c r="L177" s="90"/>
      <c r="M177" s="86"/>
      <c r="N177" s="86"/>
      <c r="O177" s="86"/>
      <c r="P177" s="86"/>
      <c r="Q177" s="85">
        <f>IF($B177="","",ROUND(MAX(0,$L177*$M177-$N177)+$O177+$P177,2))</f>
      </c>
      <c r="R177" s="86"/>
      <c r="S177" s="79"/>
      <c r="T177" s="78">
        <f>IF($B177="","",IF($S177="Purchased","Yes","No"))</f>
      </c>
      <c r="U177" s="79"/>
      <c r="V177" s="79"/>
      <c r="W177" s="78">
        <f>IF($B177="","",IF($U177="","—",IF($U177="","",IFERROR(IF(INDEX('ONLINE ORDERS'!$M$6:$M$155,MATCH($U177,'ONLINE ORDERS'!$B$6:$B$155,0))="","",INDEX('ONLINE ORDERS'!$M$6:$M$155,MATCH($U177,'ONLINE ORDERS'!$B$6:$B$155,0))),""))))</f>
      </c>
      <c r="X177" s="79"/>
      <c r="Y177" s="79"/>
      <c r="Z177" s="79"/>
      <c r="AA177" s="79"/>
      <c r="AB177" s="82"/>
      <c r="AC177" s="82"/>
      <c r="AD177" s="78">
        <f>IF($F177="","",LOWER(TRIM($C177&amp;"|"&amp;TRIM($F177))))</f>
      </c>
      <c r="AE177" s="78">
        <f>IF($AD177="","",IF(COUNTIF('GIFT PLANNER'!$AD$6:$AD$205,$AD177)&gt;1,"CHECK DUPLICATE",""))</f>
      </c>
      <c r="AF177" s="80"/>
      <c r="AG177" s="78">
        <f>IF($B177="",0,IF(COUNTIF('GIFT PLANNER'!$B$6:$B$205,$B177)&gt;1,1,0))</f>
      </c>
      <c r="AH177" s="78">
        <f>IF(OR(N($Q177)&gt;0,N($R177)&gt;0),IF($G177="",1,IF(COUNTIF('MASTER BUDGET'!$D$6:$D$25,$G177)=0,1,0)),0)</f>
      </c>
      <c r="AI177" s="78">
        <f>IF($C177="",0,IF(COUNTIF('PEOPLE + BUDGETS'!$B$6:$B$105,$C177)=0,1,0))</f>
      </c>
      <c r="AJ177" s="78">
        <f>IF($U177="",0,IF(COUNTIF('ONLINE ORDERS'!$B$6:$B$155,$U177)=0,1,0))</f>
      </c>
      <c r="AK177" s="75"/>
    </row>
    <row r="178" ht="17" customHeight="1" spans="1:37" x14ac:dyDescent="0.25">
      <c r="A178" s="75"/>
      <c r="B178" s="79"/>
      <c r="C178" s="79"/>
      <c r="D178" s="78">
        <f>IF($B178="","",IF($C178="","",IFERROR(IF(INDEX('PEOPLE + BUDGETS'!$C$6:$C$105,MATCH($C178,'PEOPLE + BUDGETS'!$B$6:$B$105,0))="","",INDEX('PEOPLE + BUDGETS'!$C$6:$C$105,MATCH($C178,'PEOPLE + BUDGETS'!$B$6:$B$105,0))),"")))</f>
      </c>
      <c r="E178" s="78">
        <f>IF($B178="","",IF(OR($S178="Cancelled",$S178="Returned"),"No",IFERROR(INDEX('PEOPLE + BUDGETS'!$O$6:$O$105,MATCH($C178,'PEOPLE + BUDGETS'!$B$6:$B$105,0)),"Yes")))</f>
      </c>
      <c r="F178" s="80"/>
      <c r="G178" s="79"/>
      <c r="H178" s="79"/>
      <c r="I178" s="79"/>
      <c r="J178" s="80"/>
      <c r="K178" s="79"/>
      <c r="L178" s="90"/>
      <c r="M178" s="86"/>
      <c r="N178" s="86"/>
      <c r="O178" s="86"/>
      <c r="P178" s="86"/>
      <c r="Q178" s="85">
        <f>IF($B178="","",ROUND(MAX(0,$L178*$M178-$N178)+$O178+$P178,2))</f>
      </c>
      <c r="R178" s="86"/>
      <c r="S178" s="79"/>
      <c r="T178" s="78">
        <f>IF($B178="","",IF($S178="Purchased","Yes","No"))</f>
      </c>
      <c r="U178" s="79"/>
      <c r="V178" s="79"/>
      <c r="W178" s="78">
        <f>IF($B178="","",IF($U178="","—",IF($U178="","",IFERROR(IF(INDEX('ONLINE ORDERS'!$M$6:$M$155,MATCH($U178,'ONLINE ORDERS'!$B$6:$B$155,0))="","",INDEX('ONLINE ORDERS'!$M$6:$M$155,MATCH($U178,'ONLINE ORDERS'!$B$6:$B$155,0))),""))))</f>
      </c>
      <c r="X178" s="79"/>
      <c r="Y178" s="79"/>
      <c r="Z178" s="79"/>
      <c r="AA178" s="79"/>
      <c r="AB178" s="82"/>
      <c r="AC178" s="82"/>
      <c r="AD178" s="78">
        <f>IF($F178="","",LOWER(TRIM($C178&amp;"|"&amp;TRIM($F178))))</f>
      </c>
      <c r="AE178" s="78">
        <f>IF($AD178="","",IF(COUNTIF('GIFT PLANNER'!$AD$6:$AD$205,$AD178)&gt;1,"CHECK DUPLICATE",""))</f>
      </c>
      <c r="AF178" s="80"/>
      <c r="AG178" s="78">
        <f>IF($B178="",0,IF(COUNTIF('GIFT PLANNER'!$B$6:$B$205,$B178)&gt;1,1,0))</f>
      </c>
      <c r="AH178" s="78">
        <f>IF(OR(N($Q178)&gt;0,N($R178)&gt;0),IF($G178="",1,IF(COUNTIF('MASTER BUDGET'!$D$6:$D$25,$G178)=0,1,0)),0)</f>
      </c>
      <c r="AI178" s="78">
        <f>IF($C178="",0,IF(COUNTIF('PEOPLE + BUDGETS'!$B$6:$B$105,$C178)=0,1,0))</f>
      </c>
      <c r="AJ178" s="78">
        <f>IF($U178="",0,IF(COUNTIF('ONLINE ORDERS'!$B$6:$B$155,$U178)=0,1,0))</f>
      </c>
      <c r="AK178" s="75"/>
    </row>
    <row r="179" ht="17" customHeight="1" spans="1:37" x14ac:dyDescent="0.25">
      <c r="A179" s="75"/>
      <c r="B179" s="79"/>
      <c r="C179" s="79"/>
      <c r="D179" s="78">
        <f>IF($B179="","",IF($C179="","",IFERROR(IF(INDEX('PEOPLE + BUDGETS'!$C$6:$C$105,MATCH($C179,'PEOPLE + BUDGETS'!$B$6:$B$105,0))="","",INDEX('PEOPLE + BUDGETS'!$C$6:$C$105,MATCH($C179,'PEOPLE + BUDGETS'!$B$6:$B$105,0))),"")))</f>
      </c>
      <c r="E179" s="78">
        <f>IF($B179="","",IF(OR($S179="Cancelled",$S179="Returned"),"No",IFERROR(INDEX('PEOPLE + BUDGETS'!$O$6:$O$105,MATCH($C179,'PEOPLE + BUDGETS'!$B$6:$B$105,0)),"Yes")))</f>
      </c>
      <c r="F179" s="80"/>
      <c r="G179" s="79"/>
      <c r="H179" s="79"/>
      <c r="I179" s="79"/>
      <c r="J179" s="80"/>
      <c r="K179" s="79"/>
      <c r="L179" s="90"/>
      <c r="M179" s="86"/>
      <c r="N179" s="86"/>
      <c r="O179" s="86"/>
      <c r="P179" s="86"/>
      <c r="Q179" s="85">
        <f>IF($B179="","",ROUND(MAX(0,$L179*$M179-$N179)+$O179+$P179,2))</f>
      </c>
      <c r="R179" s="86"/>
      <c r="S179" s="79"/>
      <c r="T179" s="78">
        <f>IF($B179="","",IF($S179="Purchased","Yes","No"))</f>
      </c>
      <c r="U179" s="79"/>
      <c r="V179" s="79"/>
      <c r="W179" s="78">
        <f>IF($B179="","",IF($U179="","—",IF($U179="","",IFERROR(IF(INDEX('ONLINE ORDERS'!$M$6:$M$155,MATCH($U179,'ONLINE ORDERS'!$B$6:$B$155,0))="","",INDEX('ONLINE ORDERS'!$M$6:$M$155,MATCH($U179,'ONLINE ORDERS'!$B$6:$B$155,0))),""))))</f>
      </c>
      <c r="X179" s="79"/>
      <c r="Y179" s="79"/>
      <c r="Z179" s="79"/>
      <c r="AA179" s="79"/>
      <c r="AB179" s="82"/>
      <c r="AC179" s="82"/>
      <c r="AD179" s="78">
        <f>IF($F179="","",LOWER(TRIM($C179&amp;"|"&amp;TRIM($F179))))</f>
      </c>
      <c r="AE179" s="78">
        <f>IF($AD179="","",IF(COUNTIF('GIFT PLANNER'!$AD$6:$AD$205,$AD179)&gt;1,"CHECK DUPLICATE",""))</f>
      </c>
      <c r="AF179" s="80"/>
      <c r="AG179" s="78">
        <f>IF($B179="",0,IF(COUNTIF('GIFT PLANNER'!$B$6:$B$205,$B179)&gt;1,1,0))</f>
      </c>
      <c r="AH179" s="78">
        <f>IF(OR(N($Q179)&gt;0,N($R179)&gt;0),IF($G179="",1,IF(COUNTIF('MASTER BUDGET'!$D$6:$D$25,$G179)=0,1,0)),0)</f>
      </c>
      <c r="AI179" s="78">
        <f>IF($C179="",0,IF(COUNTIF('PEOPLE + BUDGETS'!$B$6:$B$105,$C179)=0,1,0))</f>
      </c>
      <c r="AJ179" s="78">
        <f>IF($U179="",0,IF(COUNTIF('ONLINE ORDERS'!$B$6:$B$155,$U179)=0,1,0))</f>
      </c>
      <c r="AK179" s="75"/>
    </row>
    <row r="180" ht="17" customHeight="1" spans="1:37" x14ac:dyDescent="0.25">
      <c r="A180" s="75"/>
      <c r="B180" s="79"/>
      <c r="C180" s="79"/>
      <c r="D180" s="78">
        <f>IF($B180="","",IF($C180="","",IFERROR(IF(INDEX('PEOPLE + BUDGETS'!$C$6:$C$105,MATCH($C180,'PEOPLE + BUDGETS'!$B$6:$B$105,0))="","",INDEX('PEOPLE + BUDGETS'!$C$6:$C$105,MATCH($C180,'PEOPLE + BUDGETS'!$B$6:$B$105,0))),"")))</f>
      </c>
      <c r="E180" s="78">
        <f>IF($B180="","",IF(OR($S180="Cancelled",$S180="Returned"),"No",IFERROR(INDEX('PEOPLE + BUDGETS'!$O$6:$O$105,MATCH($C180,'PEOPLE + BUDGETS'!$B$6:$B$105,0)),"Yes")))</f>
      </c>
      <c r="F180" s="80"/>
      <c r="G180" s="79"/>
      <c r="H180" s="79"/>
      <c r="I180" s="79"/>
      <c r="J180" s="80"/>
      <c r="K180" s="79"/>
      <c r="L180" s="90"/>
      <c r="M180" s="86"/>
      <c r="N180" s="86"/>
      <c r="O180" s="86"/>
      <c r="P180" s="86"/>
      <c r="Q180" s="85">
        <f>IF($B180="","",ROUND(MAX(0,$L180*$M180-$N180)+$O180+$P180,2))</f>
      </c>
      <c r="R180" s="86"/>
      <c r="S180" s="79"/>
      <c r="T180" s="78">
        <f>IF($B180="","",IF($S180="Purchased","Yes","No"))</f>
      </c>
      <c r="U180" s="79"/>
      <c r="V180" s="79"/>
      <c r="W180" s="78">
        <f>IF($B180="","",IF($U180="","—",IF($U180="","",IFERROR(IF(INDEX('ONLINE ORDERS'!$M$6:$M$155,MATCH($U180,'ONLINE ORDERS'!$B$6:$B$155,0))="","",INDEX('ONLINE ORDERS'!$M$6:$M$155,MATCH($U180,'ONLINE ORDERS'!$B$6:$B$155,0))),""))))</f>
      </c>
      <c r="X180" s="79"/>
      <c r="Y180" s="79"/>
      <c r="Z180" s="79"/>
      <c r="AA180" s="79"/>
      <c r="AB180" s="82"/>
      <c r="AC180" s="82"/>
      <c r="AD180" s="78">
        <f>IF($F180="","",LOWER(TRIM($C180&amp;"|"&amp;TRIM($F180))))</f>
      </c>
      <c r="AE180" s="78">
        <f>IF($AD180="","",IF(COUNTIF('GIFT PLANNER'!$AD$6:$AD$205,$AD180)&gt;1,"CHECK DUPLICATE",""))</f>
      </c>
      <c r="AF180" s="80"/>
      <c r="AG180" s="78">
        <f>IF($B180="",0,IF(COUNTIF('GIFT PLANNER'!$B$6:$B$205,$B180)&gt;1,1,0))</f>
      </c>
      <c r="AH180" s="78">
        <f>IF(OR(N($Q180)&gt;0,N($R180)&gt;0),IF($G180="",1,IF(COUNTIF('MASTER BUDGET'!$D$6:$D$25,$G180)=0,1,0)),0)</f>
      </c>
      <c r="AI180" s="78">
        <f>IF($C180="",0,IF(COUNTIF('PEOPLE + BUDGETS'!$B$6:$B$105,$C180)=0,1,0))</f>
      </c>
      <c r="AJ180" s="78">
        <f>IF($U180="",0,IF(COUNTIF('ONLINE ORDERS'!$B$6:$B$155,$U180)=0,1,0))</f>
      </c>
      <c r="AK180" s="75"/>
    </row>
    <row r="181" ht="17" customHeight="1" spans="1:37" x14ac:dyDescent="0.25">
      <c r="A181" s="75"/>
      <c r="B181" s="79"/>
      <c r="C181" s="79"/>
      <c r="D181" s="78">
        <f>IF($B181="","",IF($C181="","",IFERROR(IF(INDEX('PEOPLE + BUDGETS'!$C$6:$C$105,MATCH($C181,'PEOPLE + BUDGETS'!$B$6:$B$105,0))="","",INDEX('PEOPLE + BUDGETS'!$C$6:$C$105,MATCH($C181,'PEOPLE + BUDGETS'!$B$6:$B$105,0))),"")))</f>
      </c>
      <c r="E181" s="78">
        <f>IF($B181="","",IF(OR($S181="Cancelled",$S181="Returned"),"No",IFERROR(INDEX('PEOPLE + BUDGETS'!$O$6:$O$105,MATCH($C181,'PEOPLE + BUDGETS'!$B$6:$B$105,0)),"Yes")))</f>
      </c>
      <c r="F181" s="80"/>
      <c r="G181" s="79"/>
      <c r="H181" s="79"/>
      <c r="I181" s="79"/>
      <c r="J181" s="80"/>
      <c r="K181" s="79"/>
      <c r="L181" s="90"/>
      <c r="M181" s="86"/>
      <c r="N181" s="86"/>
      <c r="O181" s="86"/>
      <c r="P181" s="86"/>
      <c r="Q181" s="85">
        <f>IF($B181="","",ROUND(MAX(0,$L181*$M181-$N181)+$O181+$P181,2))</f>
      </c>
      <c r="R181" s="86"/>
      <c r="S181" s="79"/>
      <c r="T181" s="78">
        <f>IF($B181="","",IF($S181="Purchased","Yes","No"))</f>
      </c>
      <c r="U181" s="79"/>
      <c r="V181" s="79"/>
      <c r="W181" s="78">
        <f>IF($B181="","",IF($U181="","—",IF($U181="","",IFERROR(IF(INDEX('ONLINE ORDERS'!$M$6:$M$155,MATCH($U181,'ONLINE ORDERS'!$B$6:$B$155,0))="","",INDEX('ONLINE ORDERS'!$M$6:$M$155,MATCH($U181,'ONLINE ORDERS'!$B$6:$B$155,0))),""))))</f>
      </c>
      <c r="X181" s="79"/>
      <c r="Y181" s="79"/>
      <c r="Z181" s="79"/>
      <c r="AA181" s="79"/>
      <c r="AB181" s="82"/>
      <c r="AC181" s="82"/>
      <c r="AD181" s="78">
        <f>IF($F181="","",LOWER(TRIM($C181&amp;"|"&amp;TRIM($F181))))</f>
      </c>
      <c r="AE181" s="78">
        <f>IF($AD181="","",IF(COUNTIF('GIFT PLANNER'!$AD$6:$AD$205,$AD181)&gt;1,"CHECK DUPLICATE",""))</f>
      </c>
      <c r="AF181" s="80"/>
      <c r="AG181" s="78">
        <f>IF($B181="",0,IF(COUNTIF('GIFT PLANNER'!$B$6:$B$205,$B181)&gt;1,1,0))</f>
      </c>
      <c r="AH181" s="78">
        <f>IF(OR(N($Q181)&gt;0,N($R181)&gt;0),IF($G181="",1,IF(COUNTIF('MASTER BUDGET'!$D$6:$D$25,$G181)=0,1,0)),0)</f>
      </c>
      <c r="AI181" s="78">
        <f>IF($C181="",0,IF(COUNTIF('PEOPLE + BUDGETS'!$B$6:$B$105,$C181)=0,1,0))</f>
      </c>
      <c r="AJ181" s="78">
        <f>IF($U181="",0,IF(COUNTIF('ONLINE ORDERS'!$B$6:$B$155,$U181)=0,1,0))</f>
      </c>
      <c r="AK181" s="75"/>
    </row>
    <row r="182" ht="17" customHeight="1" spans="1:37" x14ac:dyDescent="0.25">
      <c r="A182" s="75"/>
      <c r="B182" s="79"/>
      <c r="C182" s="79"/>
      <c r="D182" s="78">
        <f>IF($B182="","",IF($C182="","",IFERROR(IF(INDEX('PEOPLE + BUDGETS'!$C$6:$C$105,MATCH($C182,'PEOPLE + BUDGETS'!$B$6:$B$105,0))="","",INDEX('PEOPLE + BUDGETS'!$C$6:$C$105,MATCH($C182,'PEOPLE + BUDGETS'!$B$6:$B$105,0))),"")))</f>
      </c>
      <c r="E182" s="78">
        <f>IF($B182="","",IF(OR($S182="Cancelled",$S182="Returned"),"No",IFERROR(INDEX('PEOPLE + BUDGETS'!$O$6:$O$105,MATCH($C182,'PEOPLE + BUDGETS'!$B$6:$B$105,0)),"Yes")))</f>
      </c>
      <c r="F182" s="80"/>
      <c r="G182" s="79"/>
      <c r="H182" s="79"/>
      <c r="I182" s="79"/>
      <c r="J182" s="80"/>
      <c r="K182" s="79"/>
      <c r="L182" s="90"/>
      <c r="M182" s="86"/>
      <c r="N182" s="86"/>
      <c r="O182" s="86"/>
      <c r="P182" s="86"/>
      <c r="Q182" s="85">
        <f>IF($B182="","",ROUND(MAX(0,$L182*$M182-$N182)+$O182+$P182,2))</f>
      </c>
      <c r="R182" s="86"/>
      <c r="S182" s="79"/>
      <c r="T182" s="78">
        <f>IF($B182="","",IF($S182="Purchased","Yes","No"))</f>
      </c>
      <c r="U182" s="79"/>
      <c r="V182" s="79"/>
      <c r="W182" s="78">
        <f>IF($B182="","",IF($U182="","—",IF($U182="","",IFERROR(IF(INDEX('ONLINE ORDERS'!$M$6:$M$155,MATCH($U182,'ONLINE ORDERS'!$B$6:$B$155,0))="","",INDEX('ONLINE ORDERS'!$M$6:$M$155,MATCH($U182,'ONLINE ORDERS'!$B$6:$B$155,0))),""))))</f>
      </c>
      <c r="X182" s="79"/>
      <c r="Y182" s="79"/>
      <c r="Z182" s="79"/>
      <c r="AA182" s="79"/>
      <c r="AB182" s="82"/>
      <c r="AC182" s="82"/>
      <c r="AD182" s="78">
        <f>IF($F182="","",LOWER(TRIM($C182&amp;"|"&amp;TRIM($F182))))</f>
      </c>
      <c r="AE182" s="78">
        <f>IF($AD182="","",IF(COUNTIF('GIFT PLANNER'!$AD$6:$AD$205,$AD182)&gt;1,"CHECK DUPLICATE",""))</f>
      </c>
      <c r="AF182" s="80"/>
      <c r="AG182" s="78">
        <f>IF($B182="",0,IF(COUNTIF('GIFT PLANNER'!$B$6:$B$205,$B182)&gt;1,1,0))</f>
      </c>
      <c r="AH182" s="78">
        <f>IF(OR(N($Q182)&gt;0,N($R182)&gt;0),IF($G182="",1,IF(COUNTIF('MASTER BUDGET'!$D$6:$D$25,$G182)=0,1,0)),0)</f>
      </c>
      <c r="AI182" s="78">
        <f>IF($C182="",0,IF(COUNTIF('PEOPLE + BUDGETS'!$B$6:$B$105,$C182)=0,1,0))</f>
      </c>
      <c r="AJ182" s="78">
        <f>IF($U182="",0,IF(COUNTIF('ONLINE ORDERS'!$B$6:$B$155,$U182)=0,1,0))</f>
      </c>
      <c r="AK182" s="75"/>
    </row>
    <row r="183" ht="17" customHeight="1" spans="1:37" x14ac:dyDescent="0.25">
      <c r="A183" s="75"/>
      <c r="B183" s="79"/>
      <c r="C183" s="79"/>
      <c r="D183" s="78">
        <f>IF($B183="","",IF($C183="","",IFERROR(IF(INDEX('PEOPLE + BUDGETS'!$C$6:$C$105,MATCH($C183,'PEOPLE + BUDGETS'!$B$6:$B$105,0))="","",INDEX('PEOPLE + BUDGETS'!$C$6:$C$105,MATCH($C183,'PEOPLE + BUDGETS'!$B$6:$B$105,0))),"")))</f>
      </c>
      <c r="E183" s="78">
        <f>IF($B183="","",IF(OR($S183="Cancelled",$S183="Returned"),"No",IFERROR(INDEX('PEOPLE + BUDGETS'!$O$6:$O$105,MATCH($C183,'PEOPLE + BUDGETS'!$B$6:$B$105,0)),"Yes")))</f>
      </c>
      <c r="F183" s="80"/>
      <c r="G183" s="79"/>
      <c r="H183" s="79"/>
      <c r="I183" s="79"/>
      <c r="J183" s="80"/>
      <c r="K183" s="79"/>
      <c r="L183" s="90"/>
      <c r="M183" s="86"/>
      <c r="N183" s="86"/>
      <c r="O183" s="86"/>
      <c r="P183" s="86"/>
      <c r="Q183" s="85">
        <f>IF($B183="","",ROUND(MAX(0,$L183*$M183-$N183)+$O183+$P183,2))</f>
      </c>
      <c r="R183" s="86"/>
      <c r="S183" s="79"/>
      <c r="T183" s="78">
        <f>IF($B183="","",IF($S183="Purchased","Yes","No"))</f>
      </c>
      <c r="U183" s="79"/>
      <c r="V183" s="79"/>
      <c r="W183" s="78">
        <f>IF($B183="","",IF($U183="","—",IF($U183="","",IFERROR(IF(INDEX('ONLINE ORDERS'!$M$6:$M$155,MATCH($U183,'ONLINE ORDERS'!$B$6:$B$155,0))="","",INDEX('ONLINE ORDERS'!$M$6:$M$155,MATCH($U183,'ONLINE ORDERS'!$B$6:$B$155,0))),""))))</f>
      </c>
      <c r="X183" s="79"/>
      <c r="Y183" s="79"/>
      <c r="Z183" s="79"/>
      <c r="AA183" s="79"/>
      <c r="AB183" s="82"/>
      <c r="AC183" s="82"/>
      <c r="AD183" s="78">
        <f>IF($F183="","",LOWER(TRIM($C183&amp;"|"&amp;TRIM($F183))))</f>
      </c>
      <c r="AE183" s="78">
        <f>IF($AD183="","",IF(COUNTIF('GIFT PLANNER'!$AD$6:$AD$205,$AD183)&gt;1,"CHECK DUPLICATE",""))</f>
      </c>
      <c r="AF183" s="80"/>
      <c r="AG183" s="78">
        <f>IF($B183="",0,IF(COUNTIF('GIFT PLANNER'!$B$6:$B$205,$B183)&gt;1,1,0))</f>
      </c>
      <c r="AH183" s="78">
        <f>IF(OR(N($Q183)&gt;0,N($R183)&gt;0),IF($G183="",1,IF(COUNTIF('MASTER BUDGET'!$D$6:$D$25,$G183)=0,1,0)),0)</f>
      </c>
      <c r="AI183" s="78">
        <f>IF($C183="",0,IF(COUNTIF('PEOPLE + BUDGETS'!$B$6:$B$105,$C183)=0,1,0))</f>
      </c>
      <c r="AJ183" s="78">
        <f>IF($U183="",0,IF(COUNTIF('ONLINE ORDERS'!$B$6:$B$155,$U183)=0,1,0))</f>
      </c>
      <c r="AK183" s="75"/>
    </row>
    <row r="184" ht="17" customHeight="1" spans="1:37" x14ac:dyDescent="0.25">
      <c r="A184" s="75"/>
      <c r="B184" s="79"/>
      <c r="C184" s="79"/>
      <c r="D184" s="78">
        <f>IF($B184="","",IF($C184="","",IFERROR(IF(INDEX('PEOPLE + BUDGETS'!$C$6:$C$105,MATCH($C184,'PEOPLE + BUDGETS'!$B$6:$B$105,0))="","",INDEX('PEOPLE + BUDGETS'!$C$6:$C$105,MATCH($C184,'PEOPLE + BUDGETS'!$B$6:$B$105,0))),"")))</f>
      </c>
      <c r="E184" s="78">
        <f>IF($B184="","",IF(OR($S184="Cancelled",$S184="Returned"),"No",IFERROR(INDEX('PEOPLE + BUDGETS'!$O$6:$O$105,MATCH($C184,'PEOPLE + BUDGETS'!$B$6:$B$105,0)),"Yes")))</f>
      </c>
      <c r="F184" s="80"/>
      <c r="G184" s="79"/>
      <c r="H184" s="79"/>
      <c r="I184" s="79"/>
      <c r="J184" s="80"/>
      <c r="K184" s="79"/>
      <c r="L184" s="90"/>
      <c r="M184" s="86"/>
      <c r="N184" s="86"/>
      <c r="O184" s="86"/>
      <c r="P184" s="86"/>
      <c r="Q184" s="85">
        <f>IF($B184="","",ROUND(MAX(0,$L184*$M184-$N184)+$O184+$P184,2))</f>
      </c>
      <c r="R184" s="86"/>
      <c r="S184" s="79"/>
      <c r="T184" s="78">
        <f>IF($B184="","",IF($S184="Purchased","Yes","No"))</f>
      </c>
      <c r="U184" s="79"/>
      <c r="V184" s="79"/>
      <c r="W184" s="78">
        <f>IF($B184="","",IF($U184="","—",IF($U184="","",IFERROR(IF(INDEX('ONLINE ORDERS'!$M$6:$M$155,MATCH($U184,'ONLINE ORDERS'!$B$6:$B$155,0))="","",INDEX('ONLINE ORDERS'!$M$6:$M$155,MATCH($U184,'ONLINE ORDERS'!$B$6:$B$155,0))),""))))</f>
      </c>
      <c r="X184" s="79"/>
      <c r="Y184" s="79"/>
      <c r="Z184" s="79"/>
      <c r="AA184" s="79"/>
      <c r="AB184" s="82"/>
      <c r="AC184" s="82"/>
      <c r="AD184" s="78">
        <f>IF($F184="","",LOWER(TRIM($C184&amp;"|"&amp;TRIM($F184))))</f>
      </c>
      <c r="AE184" s="78">
        <f>IF($AD184="","",IF(COUNTIF('GIFT PLANNER'!$AD$6:$AD$205,$AD184)&gt;1,"CHECK DUPLICATE",""))</f>
      </c>
      <c r="AF184" s="80"/>
      <c r="AG184" s="78">
        <f>IF($B184="",0,IF(COUNTIF('GIFT PLANNER'!$B$6:$B$205,$B184)&gt;1,1,0))</f>
      </c>
      <c r="AH184" s="78">
        <f>IF(OR(N($Q184)&gt;0,N($R184)&gt;0),IF($G184="",1,IF(COUNTIF('MASTER BUDGET'!$D$6:$D$25,$G184)=0,1,0)),0)</f>
      </c>
      <c r="AI184" s="78">
        <f>IF($C184="",0,IF(COUNTIF('PEOPLE + BUDGETS'!$B$6:$B$105,$C184)=0,1,0))</f>
      </c>
      <c r="AJ184" s="78">
        <f>IF($U184="",0,IF(COUNTIF('ONLINE ORDERS'!$B$6:$B$155,$U184)=0,1,0))</f>
      </c>
      <c r="AK184" s="75"/>
    </row>
    <row r="185" ht="17" customHeight="1" spans="1:37" x14ac:dyDescent="0.25">
      <c r="A185" s="75"/>
      <c r="B185" s="79"/>
      <c r="C185" s="79"/>
      <c r="D185" s="78">
        <f>IF($B185="","",IF($C185="","",IFERROR(IF(INDEX('PEOPLE + BUDGETS'!$C$6:$C$105,MATCH($C185,'PEOPLE + BUDGETS'!$B$6:$B$105,0))="","",INDEX('PEOPLE + BUDGETS'!$C$6:$C$105,MATCH($C185,'PEOPLE + BUDGETS'!$B$6:$B$105,0))),"")))</f>
      </c>
      <c r="E185" s="78">
        <f>IF($B185="","",IF(OR($S185="Cancelled",$S185="Returned"),"No",IFERROR(INDEX('PEOPLE + BUDGETS'!$O$6:$O$105,MATCH($C185,'PEOPLE + BUDGETS'!$B$6:$B$105,0)),"Yes")))</f>
      </c>
      <c r="F185" s="80"/>
      <c r="G185" s="79"/>
      <c r="H185" s="79"/>
      <c r="I185" s="79"/>
      <c r="J185" s="80"/>
      <c r="K185" s="79"/>
      <c r="L185" s="90"/>
      <c r="M185" s="86"/>
      <c r="N185" s="86"/>
      <c r="O185" s="86"/>
      <c r="P185" s="86"/>
      <c r="Q185" s="85">
        <f>IF($B185="","",ROUND(MAX(0,$L185*$M185-$N185)+$O185+$P185,2))</f>
      </c>
      <c r="R185" s="86"/>
      <c r="S185" s="79"/>
      <c r="T185" s="78">
        <f>IF($B185="","",IF($S185="Purchased","Yes","No"))</f>
      </c>
      <c r="U185" s="79"/>
      <c r="V185" s="79"/>
      <c r="W185" s="78">
        <f>IF($B185="","",IF($U185="","—",IF($U185="","",IFERROR(IF(INDEX('ONLINE ORDERS'!$M$6:$M$155,MATCH($U185,'ONLINE ORDERS'!$B$6:$B$155,0))="","",INDEX('ONLINE ORDERS'!$M$6:$M$155,MATCH($U185,'ONLINE ORDERS'!$B$6:$B$155,0))),""))))</f>
      </c>
      <c r="X185" s="79"/>
      <c r="Y185" s="79"/>
      <c r="Z185" s="79"/>
      <c r="AA185" s="79"/>
      <c r="AB185" s="82"/>
      <c r="AC185" s="82"/>
      <c r="AD185" s="78">
        <f>IF($F185="","",LOWER(TRIM($C185&amp;"|"&amp;TRIM($F185))))</f>
      </c>
      <c r="AE185" s="78">
        <f>IF($AD185="","",IF(COUNTIF('GIFT PLANNER'!$AD$6:$AD$205,$AD185)&gt;1,"CHECK DUPLICATE",""))</f>
      </c>
      <c r="AF185" s="80"/>
      <c r="AG185" s="78">
        <f>IF($B185="",0,IF(COUNTIF('GIFT PLANNER'!$B$6:$B$205,$B185)&gt;1,1,0))</f>
      </c>
      <c r="AH185" s="78">
        <f>IF(OR(N($Q185)&gt;0,N($R185)&gt;0),IF($G185="",1,IF(COUNTIF('MASTER BUDGET'!$D$6:$D$25,$G185)=0,1,0)),0)</f>
      </c>
      <c r="AI185" s="78">
        <f>IF($C185="",0,IF(COUNTIF('PEOPLE + BUDGETS'!$B$6:$B$105,$C185)=0,1,0))</f>
      </c>
      <c r="AJ185" s="78">
        <f>IF($U185="",0,IF(COUNTIF('ONLINE ORDERS'!$B$6:$B$155,$U185)=0,1,0))</f>
      </c>
      <c r="AK185" s="75"/>
    </row>
    <row r="186" ht="17" customHeight="1" spans="1:37" x14ac:dyDescent="0.25">
      <c r="A186" s="75"/>
      <c r="B186" s="79"/>
      <c r="C186" s="79"/>
      <c r="D186" s="78">
        <f>IF($B186="","",IF($C186="","",IFERROR(IF(INDEX('PEOPLE + BUDGETS'!$C$6:$C$105,MATCH($C186,'PEOPLE + BUDGETS'!$B$6:$B$105,0))="","",INDEX('PEOPLE + BUDGETS'!$C$6:$C$105,MATCH($C186,'PEOPLE + BUDGETS'!$B$6:$B$105,0))),"")))</f>
      </c>
      <c r="E186" s="78">
        <f>IF($B186="","",IF(OR($S186="Cancelled",$S186="Returned"),"No",IFERROR(INDEX('PEOPLE + BUDGETS'!$O$6:$O$105,MATCH($C186,'PEOPLE + BUDGETS'!$B$6:$B$105,0)),"Yes")))</f>
      </c>
      <c r="F186" s="80"/>
      <c r="G186" s="79"/>
      <c r="H186" s="79"/>
      <c r="I186" s="79"/>
      <c r="J186" s="80"/>
      <c r="K186" s="79"/>
      <c r="L186" s="90"/>
      <c r="M186" s="86"/>
      <c r="N186" s="86"/>
      <c r="O186" s="86"/>
      <c r="P186" s="86"/>
      <c r="Q186" s="85">
        <f>IF($B186="","",ROUND(MAX(0,$L186*$M186-$N186)+$O186+$P186,2))</f>
      </c>
      <c r="R186" s="86"/>
      <c r="S186" s="79"/>
      <c r="T186" s="78">
        <f>IF($B186="","",IF($S186="Purchased","Yes","No"))</f>
      </c>
      <c r="U186" s="79"/>
      <c r="V186" s="79"/>
      <c r="W186" s="78">
        <f>IF($B186="","",IF($U186="","—",IF($U186="","",IFERROR(IF(INDEX('ONLINE ORDERS'!$M$6:$M$155,MATCH($U186,'ONLINE ORDERS'!$B$6:$B$155,0))="","",INDEX('ONLINE ORDERS'!$M$6:$M$155,MATCH($U186,'ONLINE ORDERS'!$B$6:$B$155,0))),""))))</f>
      </c>
      <c r="X186" s="79"/>
      <c r="Y186" s="79"/>
      <c r="Z186" s="79"/>
      <c r="AA186" s="79"/>
      <c r="AB186" s="82"/>
      <c r="AC186" s="82"/>
      <c r="AD186" s="78">
        <f>IF($F186="","",LOWER(TRIM($C186&amp;"|"&amp;TRIM($F186))))</f>
      </c>
      <c r="AE186" s="78">
        <f>IF($AD186="","",IF(COUNTIF('GIFT PLANNER'!$AD$6:$AD$205,$AD186)&gt;1,"CHECK DUPLICATE",""))</f>
      </c>
      <c r="AF186" s="80"/>
      <c r="AG186" s="78">
        <f>IF($B186="",0,IF(COUNTIF('GIFT PLANNER'!$B$6:$B$205,$B186)&gt;1,1,0))</f>
      </c>
      <c r="AH186" s="78">
        <f>IF(OR(N($Q186)&gt;0,N($R186)&gt;0),IF($G186="",1,IF(COUNTIF('MASTER BUDGET'!$D$6:$D$25,$G186)=0,1,0)),0)</f>
      </c>
      <c r="AI186" s="78">
        <f>IF($C186="",0,IF(COUNTIF('PEOPLE + BUDGETS'!$B$6:$B$105,$C186)=0,1,0))</f>
      </c>
      <c r="AJ186" s="78">
        <f>IF($U186="",0,IF(COUNTIF('ONLINE ORDERS'!$B$6:$B$155,$U186)=0,1,0))</f>
      </c>
      <c r="AK186" s="75"/>
    </row>
    <row r="187" ht="17" customHeight="1" spans="1:37" x14ac:dyDescent="0.25">
      <c r="A187" s="75"/>
      <c r="B187" s="79"/>
      <c r="C187" s="79"/>
      <c r="D187" s="78">
        <f>IF($B187="","",IF($C187="","",IFERROR(IF(INDEX('PEOPLE + BUDGETS'!$C$6:$C$105,MATCH($C187,'PEOPLE + BUDGETS'!$B$6:$B$105,0))="","",INDEX('PEOPLE + BUDGETS'!$C$6:$C$105,MATCH($C187,'PEOPLE + BUDGETS'!$B$6:$B$105,0))),"")))</f>
      </c>
      <c r="E187" s="78">
        <f>IF($B187="","",IF(OR($S187="Cancelled",$S187="Returned"),"No",IFERROR(INDEX('PEOPLE + BUDGETS'!$O$6:$O$105,MATCH($C187,'PEOPLE + BUDGETS'!$B$6:$B$105,0)),"Yes")))</f>
      </c>
      <c r="F187" s="80"/>
      <c r="G187" s="79"/>
      <c r="H187" s="79"/>
      <c r="I187" s="79"/>
      <c r="J187" s="80"/>
      <c r="K187" s="79"/>
      <c r="L187" s="90"/>
      <c r="M187" s="86"/>
      <c r="N187" s="86"/>
      <c r="O187" s="86"/>
      <c r="P187" s="86"/>
      <c r="Q187" s="85">
        <f>IF($B187="","",ROUND(MAX(0,$L187*$M187-$N187)+$O187+$P187,2))</f>
      </c>
      <c r="R187" s="86"/>
      <c r="S187" s="79"/>
      <c r="T187" s="78">
        <f>IF($B187="","",IF($S187="Purchased","Yes","No"))</f>
      </c>
      <c r="U187" s="79"/>
      <c r="V187" s="79"/>
      <c r="W187" s="78">
        <f>IF($B187="","",IF($U187="","—",IF($U187="","",IFERROR(IF(INDEX('ONLINE ORDERS'!$M$6:$M$155,MATCH($U187,'ONLINE ORDERS'!$B$6:$B$155,0))="","",INDEX('ONLINE ORDERS'!$M$6:$M$155,MATCH($U187,'ONLINE ORDERS'!$B$6:$B$155,0))),""))))</f>
      </c>
      <c r="X187" s="79"/>
      <c r="Y187" s="79"/>
      <c r="Z187" s="79"/>
      <c r="AA187" s="79"/>
      <c r="AB187" s="82"/>
      <c r="AC187" s="82"/>
      <c r="AD187" s="78">
        <f>IF($F187="","",LOWER(TRIM($C187&amp;"|"&amp;TRIM($F187))))</f>
      </c>
      <c r="AE187" s="78">
        <f>IF($AD187="","",IF(COUNTIF('GIFT PLANNER'!$AD$6:$AD$205,$AD187)&gt;1,"CHECK DUPLICATE",""))</f>
      </c>
      <c r="AF187" s="80"/>
      <c r="AG187" s="78">
        <f>IF($B187="",0,IF(COUNTIF('GIFT PLANNER'!$B$6:$B$205,$B187)&gt;1,1,0))</f>
      </c>
      <c r="AH187" s="78">
        <f>IF(OR(N($Q187)&gt;0,N($R187)&gt;0),IF($G187="",1,IF(COUNTIF('MASTER BUDGET'!$D$6:$D$25,$G187)=0,1,0)),0)</f>
      </c>
      <c r="AI187" s="78">
        <f>IF($C187="",0,IF(COUNTIF('PEOPLE + BUDGETS'!$B$6:$B$105,$C187)=0,1,0))</f>
      </c>
      <c r="AJ187" s="78">
        <f>IF($U187="",0,IF(COUNTIF('ONLINE ORDERS'!$B$6:$B$155,$U187)=0,1,0))</f>
      </c>
      <c r="AK187" s="75"/>
    </row>
    <row r="188" ht="17" customHeight="1" spans="1:37" x14ac:dyDescent="0.25">
      <c r="A188" s="75"/>
      <c r="B188" s="79"/>
      <c r="C188" s="79"/>
      <c r="D188" s="78">
        <f>IF($B188="","",IF($C188="","",IFERROR(IF(INDEX('PEOPLE + BUDGETS'!$C$6:$C$105,MATCH($C188,'PEOPLE + BUDGETS'!$B$6:$B$105,0))="","",INDEX('PEOPLE + BUDGETS'!$C$6:$C$105,MATCH($C188,'PEOPLE + BUDGETS'!$B$6:$B$105,0))),"")))</f>
      </c>
      <c r="E188" s="78">
        <f>IF($B188="","",IF(OR($S188="Cancelled",$S188="Returned"),"No",IFERROR(INDEX('PEOPLE + BUDGETS'!$O$6:$O$105,MATCH($C188,'PEOPLE + BUDGETS'!$B$6:$B$105,0)),"Yes")))</f>
      </c>
      <c r="F188" s="80"/>
      <c r="G188" s="79"/>
      <c r="H188" s="79"/>
      <c r="I188" s="79"/>
      <c r="J188" s="80"/>
      <c r="K188" s="79"/>
      <c r="L188" s="90"/>
      <c r="M188" s="86"/>
      <c r="N188" s="86"/>
      <c r="O188" s="86"/>
      <c r="P188" s="86"/>
      <c r="Q188" s="85">
        <f>IF($B188="","",ROUND(MAX(0,$L188*$M188-$N188)+$O188+$P188,2))</f>
      </c>
      <c r="R188" s="86"/>
      <c r="S188" s="79"/>
      <c r="T188" s="78">
        <f>IF($B188="","",IF($S188="Purchased","Yes","No"))</f>
      </c>
      <c r="U188" s="79"/>
      <c r="V188" s="79"/>
      <c r="W188" s="78">
        <f>IF($B188="","",IF($U188="","—",IF($U188="","",IFERROR(IF(INDEX('ONLINE ORDERS'!$M$6:$M$155,MATCH($U188,'ONLINE ORDERS'!$B$6:$B$155,0))="","",INDEX('ONLINE ORDERS'!$M$6:$M$155,MATCH($U188,'ONLINE ORDERS'!$B$6:$B$155,0))),""))))</f>
      </c>
      <c r="X188" s="79"/>
      <c r="Y188" s="79"/>
      <c r="Z188" s="79"/>
      <c r="AA188" s="79"/>
      <c r="AB188" s="82"/>
      <c r="AC188" s="82"/>
      <c r="AD188" s="78">
        <f>IF($F188="","",LOWER(TRIM($C188&amp;"|"&amp;TRIM($F188))))</f>
      </c>
      <c r="AE188" s="78">
        <f>IF($AD188="","",IF(COUNTIF('GIFT PLANNER'!$AD$6:$AD$205,$AD188)&gt;1,"CHECK DUPLICATE",""))</f>
      </c>
      <c r="AF188" s="80"/>
      <c r="AG188" s="78">
        <f>IF($B188="",0,IF(COUNTIF('GIFT PLANNER'!$B$6:$B$205,$B188)&gt;1,1,0))</f>
      </c>
      <c r="AH188" s="78">
        <f>IF(OR(N($Q188)&gt;0,N($R188)&gt;0),IF($G188="",1,IF(COUNTIF('MASTER BUDGET'!$D$6:$D$25,$G188)=0,1,0)),0)</f>
      </c>
      <c r="AI188" s="78">
        <f>IF($C188="",0,IF(COUNTIF('PEOPLE + BUDGETS'!$B$6:$B$105,$C188)=0,1,0))</f>
      </c>
      <c r="AJ188" s="78">
        <f>IF($U188="",0,IF(COUNTIF('ONLINE ORDERS'!$B$6:$B$155,$U188)=0,1,0))</f>
      </c>
      <c r="AK188" s="75"/>
    </row>
    <row r="189" ht="17" customHeight="1" spans="1:37" x14ac:dyDescent="0.25">
      <c r="A189" s="75"/>
      <c r="B189" s="79"/>
      <c r="C189" s="79"/>
      <c r="D189" s="78">
        <f>IF($B189="","",IF($C189="","",IFERROR(IF(INDEX('PEOPLE + BUDGETS'!$C$6:$C$105,MATCH($C189,'PEOPLE + BUDGETS'!$B$6:$B$105,0))="","",INDEX('PEOPLE + BUDGETS'!$C$6:$C$105,MATCH($C189,'PEOPLE + BUDGETS'!$B$6:$B$105,0))),"")))</f>
      </c>
      <c r="E189" s="78">
        <f>IF($B189="","",IF(OR($S189="Cancelled",$S189="Returned"),"No",IFERROR(INDEX('PEOPLE + BUDGETS'!$O$6:$O$105,MATCH($C189,'PEOPLE + BUDGETS'!$B$6:$B$105,0)),"Yes")))</f>
      </c>
      <c r="F189" s="80"/>
      <c r="G189" s="79"/>
      <c r="H189" s="79"/>
      <c r="I189" s="79"/>
      <c r="J189" s="80"/>
      <c r="K189" s="79"/>
      <c r="L189" s="90"/>
      <c r="M189" s="86"/>
      <c r="N189" s="86"/>
      <c r="O189" s="86"/>
      <c r="P189" s="86"/>
      <c r="Q189" s="85">
        <f>IF($B189="","",ROUND(MAX(0,$L189*$M189-$N189)+$O189+$P189,2))</f>
      </c>
      <c r="R189" s="86"/>
      <c r="S189" s="79"/>
      <c r="T189" s="78">
        <f>IF($B189="","",IF($S189="Purchased","Yes","No"))</f>
      </c>
      <c r="U189" s="79"/>
      <c r="V189" s="79"/>
      <c r="W189" s="78">
        <f>IF($B189="","",IF($U189="","—",IF($U189="","",IFERROR(IF(INDEX('ONLINE ORDERS'!$M$6:$M$155,MATCH($U189,'ONLINE ORDERS'!$B$6:$B$155,0))="","",INDEX('ONLINE ORDERS'!$M$6:$M$155,MATCH($U189,'ONLINE ORDERS'!$B$6:$B$155,0))),""))))</f>
      </c>
      <c r="X189" s="79"/>
      <c r="Y189" s="79"/>
      <c r="Z189" s="79"/>
      <c r="AA189" s="79"/>
      <c r="AB189" s="82"/>
      <c r="AC189" s="82"/>
      <c r="AD189" s="78">
        <f>IF($F189="","",LOWER(TRIM($C189&amp;"|"&amp;TRIM($F189))))</f>
      </c>
      <c r="AE189" s="78">
        <f>IF($AD189="","",IF(COUNTIF('GIFT PLANNER'!$AD$6:$AD$205,$AD189)&gt;1,"CHECK DUPLICATE",""))</f>
      </c>
      <c r="AF189" s="80"/>
      <c r="AG189" s="78">
        <f>IF($B189="",0,IF(COUNTIF('GIFT PLANNER'!$B$6:$B$205,$B189)&gt;1,1,0))</f>
      </c>
      <c r="AH189" s="78">
        <f>IF(OR(N($Q189)&gt;0,N($R189)&gt;0),IF($G189="",1,IF(COUNTIF('MASTER BUDGET'!$D$6:$D$25,$G189)=0,1,0)),0)</f>
      </c>
      <c r="AI189" s="78">
        <f>IF($C189="",0,IF(COUNTIF('PEOPLE + BUDGETS'!$B$6:$B$105,$C189)=0,1,0))</f>
      </c>
      <c r="AJ189" s="78">
        <f>IF($U189="",0,IF(COUNTIF('ONLINE ORDERS'!$B$6:$B$155,$U189)=0,1,0))</f>
      </c>
      <c r="AK189" s="75"/>
    </row>
    <row r="190" ht="17" customHeight="1" spans="1:37" x14ac:dyDescent="0.25">
      <c r="A190" s="75"/>
      <c r="B190" s="79"/>
      <c r="C190" s="79"/>
      <c r="D190" s="78">
        <f>IF($B190="","",IF($C190="","",IFERROR(IF(INDEX('PEOPLE + BUDGETS'!$C$6:$C$105,MATCH($C190,'PEOPLE + BUDGETS'!$B$6:$B$105,0))="","",INDEX('PEOPLE + BUDGETS'!$C$6:$C$105,MATCH($C190,'PEOPLE + BUDGETS'!$B$6:$B$105,0))),"")))</f>
      </c>
      <c r="E190" s="78">
        <f>IF($B190="","",IF(OR($S190="Cancelled",$S190="Returned"),"No",IFERROR(INDEX('PEOPLE + BUDGETS'!$O$6:$O$105,MATCH($C190,'PEOPLE + BUDGETS'!$B$6:$B$105,0)),"Yes")))</f>
      </c>
      <c r="F190" s="80"/>
      <c r="G190" s="79"/>
      <c r="H190" s="79"/>
      <c r="I190" s="79"/>
      <c r="J190" s="80"/>
      <c r="K190" s="79"/>
      <c r="L190" s="90"/>
      <c r="M190" s="86"/>
      <c r="N190" s="86"/>
      <c r="O190" s="86"/>
      <c r="P190" s="86"/>
      <c r="Q190" s="85">
        <f>IF($B190="","",ROUND(MAX(0,$L190*$M190-$N190)+$O190+$P190,2))</f>
      </c>
      <c r="R190" s="86"/>
      <c r="S190" s="79"/>
      <c r="T190" s="78">
        <f>IF($B190="","",IF($S190="Purchased","Yes","No"))</f>
      </c>
      <c r="U190" s="79"/>
      <c r="V190" s="79"/>
      <c r="W190" s="78">
        <f>IF($B190="","",IF($U190="","—",IF($U190="","",IFERROR(IF(INDEX('ONLINE ORDERS'!$M$6:$M$155,MATCH($U190,'ONLINE ORDERS'!$B$6:$B$155,0))="","",INDEX('ONLINE ORDERS'!$M$6:$M$155,MATCH($U190,'ONLINE ORDERS'!$B$6:$B$155,0))),""))))</f>
      </c>
      <c r="X190" s="79"/>
      <c r="Y190" s="79"/>
      <c r="Z190" s="79"/>
      <c r="AA190" s="79"/>
      <c r="AB190" s="82"/>
      <c r="AC190" s="82"/>
      <c r="AD190" s="78">
        <f>IF($F190="","",LOWER(TRIM($C190&amp;"|"&amp;TRIM($F190))))</f>
      </c>
      <c r="AE190" s="78">
        <f>IF($AD190="","",IF(COUNTIF('GIFT PLANNER'!$AD$6:$AD$205,$AD190)&gt;1,"CHECK DUPLICATE",""))</f>
      </c>
      <c r="AF190" s="80"/>
      <c r="AG190" s="78">
        <f>IF($B190="",0,IF(COUNTIF('GIFT PLANNER'!$B$6:$B$205,$B190)&gt;1,1,0))</f>
      </c>
      <c r="AH190" s="78">
        <f>IF(OR(N($Q190)&gt;0,N($R190)&gt;0),IF($G190="",1,IF(COUNTIF('MASTER BUDGET'!$D$6:$D$25,$G190)=0,1,0)),0)</f>
      </c>
      <c r="AI190" s="78">
        <f>IF($C190="",0,IF(COUNTIF('PEOPLE + BUDGETS'!$B$6:$B$105,$C190)=0,1,0))</f>
      </c>
      <c r="AJ190" s="78">
        <f>IF($U190="",0,IF(COUNTIF('ONLINE ORDERS'!$B$6:$B$155,$U190)=0,1,0))</f>
      </c>
      <c r="AK190" s="75"/>
    </row>
    <row r="191" ht="17" customHeight="1" spans="1:37" x14ac:dyDescent="0.25">
      <c r="A191" s="75"/>
      <c r="B191" s="79"/>
      <c r="C191" s="79"/>
      <c r="D191" s="78">
        <f>IF($B191="","",IF($C191="","",IFERROR(IF(INDEX('PEOPLE + BUDGETS'!$C$6:$C$105,MATCH($C191,'PEOPLE + BUDGETS'!$B$6:$B$105,0))="","",INDEX('PEOPLE + BUDGETS'!$C$6:$C$105,MATCH($C191,'PEOPLE + BUDGETS'!$B$6:$B$105,0))),"")))</f>
      </c>
      <c r="E191" s="78">
        <f>IF($B191="","",IF(OR($S191="Cancelled",$S191="Returned"),"No",IFERROR(INDEX('PEOPLE + BUDGETS'!$O$6:$O$105,MATCH($C191,'PEOPLE + BUDGETS'!$B$6:$B$105,0)),"Yes")))</f>
      </c>
      <c r="F191" s="80"/>
      <c r="G191" s="79"/>
      <c r="H191" s="79"/>
      <c r="I191" s="79"/>
      <c r="J191" s="80"/>
      <c r="K191" s="79"/>
      <c r="L191" s="90"/>
      <c r="M191" s="86"/>
      <c r="N191" s="86"/>
      <c r="O191" s="86"/>
      <c r="P191" s="86"/>
      <c r="Q191" s="85">
        <f>IF($B191="","",ROUND(MAX(0,$L191*$M191-$N191)+$O191+$P191,2))</f>
      </c>
      <c r="R191" s="86"/>
      <c r="S191" s="79"/>
      <c r="T191" s="78">
        <f>IF($B191="","",IF($S191="Purchased","Yes","No"))</f>
      </c>
      <c r="U191" s="79"/>
      <c r="V191" s="79"/>
      <c r="W191" s="78">
        <f>IF($B191="","",IF($U191="","—",IF($U191="","",IFERROR(IF(INDEX('ONLINE ORDERS'!$M$6:$M$155,MATCH($U191,'ONLINE ORDERS'!$B$6:$B$155,0))="","",INDEX('ONLINE ORDERS'!$M$6:$M$155,MATCH($U191,'ONLINE ORDERS'!$B$6:$B$155,0))),""))))</f>
      </c>
      <c r="X191" s="79"/>
      <c r="Y191" s="79"/>
      <c r="Z191" s="79"/>
      <c r="AA191" s="79"/>
      <c r="AB191" s="82"/>
      <c r="AC191" s="82"/>
      <c r="AD191" s="78">
        <f>IF($F191="","",LOWER(TRIM($C191&amp;"|"&amp;TRIM($F191))))</f>
      </c>
      <c r="AE191" s="78">
        <f>IF($AD191="","",IF(COUNTIF('GIFT PLANNER'!$AD$6:$AD$205,$AD191)&gt;1,"CHECK DUPLICATE",""))</f>
      </c>
      <c r="AF191" s="80"/>
      <c r="AG191" s="78">
        <f>IF($B191="",0,IF(COUNTIF('GIFT PLANNER'!$B$6:$B$205,$B191)&gt;1,1,0))</f>
      </c>
      <c r="AH191" s="78">
        <f>IF(OR(N($Q191)&gt;0,N($R191)&gt;0),IF($G191="",1,IF(COUNTIF('MASTER BUDGET'!$D$6:$D$25,$G191)=0,1,0)),0)</f>
      </c>
      <c r="AI191" s="78">
        <f>IF($C191="",0,IF(COUNTIF('PEOPLE + BUDGETS'!$B$6:$B$105,$C191)=0,1,0))</f>
      </c>
      <c r="AJ191" s="78">
        <f>IF($U191="",0,IF(COUNTIF('ONLINE ORDERS'!$B$6:$B$155,$U191)=0,1,0))</f>
      </c>
      <c r="AK191" s="75"/>
    </row>
    <row r="192" ht="17" customHeight="1" spans="1:37" x14ac:dyDescent="0.25">
      <c r="A192" s="75"/>
      <c r="B192" s="79"/>
      <c r="C192" s="79"/>
      <c r="D192" s="78">
        <f>IF($B192="","",IF($C192="","",IFERROR(IF(INDEX('PEOPLE + BUDGETS'!$C$6:$C$105,MATCH($C192,'PEOPLE + BUDGETS'!$B$6:$B$105,0))="","",INDEX('PEOPLE + BUDGETS'!$C$6:$C$105,MATCH($C192,'PEOPLE + BUDGETS'!$B$6:$B$105,0))),"")))</f>
      </c>
      <c r="E192" s="78">
        <f>IF($B192="","",IF(OR($S192="Cancelled",$S192="Returned"),"No",IFERROR(INDEX('PEOPLE + BUDGETS'!$O$6:$O$105,MATCH($C192,'PEOPLE + BUDGETS'!$B$6:$B$105,0)),"Yes")))</f>
      </c>
      <c r="F192" s="80"/>
      <c r="G192" s="79"/>
      <c r="H192" s="79"/>
      <c r="I192" s="79"/>
      <c r="J192" s="80"/>
      <c r="K192" s="79"/>
      <c r="L192" s="90"/>
      <c r="M192" s="86"/>
      <c r="N192" s="86"/>
      <c r="O192" s="86"/>
      <c r="P192" s="86"/>
      <c r="Q192" s="85">
        <f>IF($B192="","",ROUND(MAX(0,$L192*$M192-$N192)+$O192+$P192,2))</f>
      </c>
      <c r="R192" s="86"/>
      <c r="S192" s="79"/>
      <c r="T192" s="78">
        <f>IF($B192="","",IF($S192="Purchased","Yes","No"))</f>
      </c>
      <c r="U192" s="79"/>
      <c r="V192" s="79"/>
      <c r="W192" s="78">
        <f>IF($B192="","",IF($U192="","—",IF($U192="","",IFERROR(IF(INDEX('ONLINE ORDERS'!$M$6:$M$155,MATCH($U192,'ONLINE ORDERS'!$B$6:$B$155,0))="","",INDEX('ONLINE ORDERS'!$M$6:$M$155,MATCH($U192,'ONLINE ORDERS'!$B$6:$B$155,0))),""))))</f>
      </c>
      <c r="X192" s="79"/>
      <c r="Y192" s="79"/>
      <c r="Z192" s="79"/>
      <c r="AA192" s="79"/>
      <c r="AB192" s="82"/>
      <c r="AC192" s="82"/>
      <c r="AD192" s="78">
        <f>IF($F192="","",LOWER(TRIM($C192&amp;"|"&amp;TRIM($F192))))</f>
      </c>
      <c r="AE192" s="78">
        <f>IF($AD192="","",IF(COUNTIF('GIFT PLANNER'!$AD$6:$AD$205,$AD192)&gt;1,"CHECK DUPLICATE",""))</f>
      </c>
      <c r="AF192" s="80"/>
      <c r="AG192" s="78">
        <f>IF($B192="",0,IF(COUNTIF('GIFT PLANNER'!$B$6:$B$205,$B192)&gt;1,1,0))</f>
      </c>
      <c r="AH192" s="78">
        <f>IF(OR(N($Q192)&gt;0,N($R192)&gt;0),IF($G192="",1,IF(COUNTIF('MASTER BUDGET'!$D$6:$D$25,$G192)=0,1,0)),0)</f>
      </c>
      <c r="AI192" s="78">
        <f>IF($C192="",0,IF(COUNTIF('PEOPLE + BUDGETS'!$B$6:$B$105,$C192)=0,1,0))</f>
      </c>
      <c r="AJ192" s="78">
        <f>IF($U192="",0,IF(COUNTIF('ONLINE ORDERS'!$B$6:$B$155,$U192)=0,1,0))</f>
      </c>
      <c r="AK192" s="75"/>
    </row>
    <row r="193" ht="17" customHeight="1" spans="1:37" x14ac:dyDescent="0.25">
      <c r="A193" s="75"/>
      <c r="B193" s="79"/>
      <c r="C193" s="79"/>
      <c r="D193" s="78">
        <f>IF($B193="","",IF($C193="","",IFERROR(IF(INDEX('PEOPLE + BUDGETS'!$C$6:$C$105,MATCH($C193,'PEOPLE + BUDGETS'!$B$6:$B$105,0))="","",INDEX('PEOPLE + BUDGETS'!$C$6:$C$105,MATCH($C193,'PEOPLE + BUDGETS'!$B$6:$B$105,0))),"")))</f>
      </c>
      <c r="E193" s="78">
        <f>IF($B193="","",IF(OR($S193="Cancelled",$S193="Returned"),"No",IFERROR(INDEX('PEOPLE + BUDGETS'!$O$6:$O$105,MATCH($C193,'PEOPLE + BUDGETS'!$B$6:$B$105,0)),"Yes")))</f>
      </c>
      <c r="F193" s="80"/>
      <c r="G193" s="79"/>
      <c r="H193" s="79"/>
      <c r="I193" s="79"/>
      <c r="J193" s="80"/>
      <c r="K193" s="79"/>
      <c r="L193" s="90"/>
      <c r="M193" s="86"/>
      <c r="N193" s="86"/>
      <c r="O193" s="86"/>
      <c r="P193" s="86"/>
      <c r="Q193" s="85">
        <f>IF($B193="","",ROUND(MAX(0,$L193*$M193-$N193)+$O193+$P193,2))</f>
      </c>
      <c r="R193" s="86"/>
      <c r="S193" s="79"/>
      <c r="T193" s="78">
        <f>IF($B193="","",IF($S193="Purchased","Yes","No"))</f>
      </c>
      <c r="U193" s="79"/>
      <c r="V193" s="79"/>
      <c r="W193" s="78">
        <f>IF($B193="","",IF($U193="","—",IF($U193="","",IFERROR(IF(INDEX('ONLINE ORDERS'!$M$6:$M$155,MATCH($U193,'ONLINE ORDERS'!$B$6:$B$155,0))="","",INDEX('ONLINE ORDERS'!$M$6:$M$155,MATCH($U193,'ONLINE ORDERS'!$B$6:$B$155,0))),""))))</f>
      </c>
      <c r="X193" s="79"/>
      <c r="Y193" s="79"/>
      <c r="Z193" s="79"/>
      <c r="AA193" s="79"/>
      <c r="AB193" s="82"/>
      <c r="AC193" s="82"/>
      <c r="AD193" s="78">
        <f>IF($F193="","",LOWER(TRIM($C193&amp;"|"&amp;TRIM($F193))))</f>
      </c>
      <c r="AE193" s="78">
        <f>IF($AD193="","",IF(COUNTIF('GIFT PLANNER'!$AD$6:$AD$205,$AD193)&gt;1,"CHECK DUPLICATE",""))</f>
      </c>
      <c r="AF193" s="80"/>
      <c r="AG193" s="78">
        <f>IF($B193="",0,IF(COUNTIF('GIFT PLANNER'!$B$6:$B$205,$B193)&gt;1,1,0))</f>
      </c>
      <c r="AH193" s="78">
        <f>IF(OR(N($Q193)&gt;0,N($R193)&gt;0),IF($G193="",1,IF(COUNTIF('MASTER BUDGET'!$D$6:$D$25,$G193)=0,1,0)),0)</f>
      </c>
      <c r="AI193" s="78">
        <f>IF($C193="",0,IF(COUNTIF('PEOPLE + BUDGETS'!$B$6:$B$105,$C193)=0,1,0))</f>
      </c>
      <c r="AJ193" s="78">
        <f>IF($U193="",0,IF(COUNTIF('ONLINE ORDERS'!$B$6:$B$155,$U193)=0,1,0))</f>
      </c>
      <c r="AK193" s="75"/>
    </row>
    <row r="194" ht="17" customHeight="1" spans="1:37" x14ac:dyDescent="0.25">
      <c r="A194" s="75"/>
      <c r="B194" s="79"/>
      <c r="C194" s="79"/>
      <c r="D194" s="78">
        <f>IF($B194="","",IF($C194="","",IFERROR(IF(INDEX('PEOPLE + BUDGETS'!$C$6:$C$105,MATCH($C194,'PEOPLE + BUDGETS'!$B$6:$B$105,0))="","",INDEX('PEOPLE + BUDGETS'!$C$6:$C$105,MATCH($C194,'PEOPLE + BUDGETS'!$B$6:$B$105,0))),"")))</f>
      </c>
      <c r="E194" s="78">
        <f>IF($B194="","",IF(OR($S194="Cancelled",$S194="Returned"),"No",IFERROR(INDEX('PEOPLE + BUDGETS'!$O$6:$O$105,MATCH($C194,'PEOPLE + BUDGETS'!$B$6:$B$105,0)),"Yes")))</f>
      </c>
      <c r="F194" s="80"/>
      <c r="G194" s="79"/>
      <c r="H194" s="79"/>
      <c r="I194" s="79"/>
      <c r="J194" s="80"/>
      <c r="K194" s="79"/>
      <c r="L194" s="90"/>
      <c r="M194" s="86"/>
      <c r="N194" s="86"/>
      <c r="O194" s="86"/>
      <c r="P194" s="86"/>
      <c r="Q194" s="85">
        <f>IF($B194="","",ROUND(MAX(0,$L194*$M194-$N194)+$O194+$P194,2))</f>
      </c>
      <c r="R194" s="86"/>
      <c r="S194" s="79"/>
      <c r="T194" s="78">
        <f>IF($B194="","",IF($S194="Purchased","Yes","No"))</f>
      </c>
      <c r="U194" s="79"/>
      <c r="V194" s="79"/>
      <c r="W194" s="78">
        <f>IF($B194="","",IF($U194="","—",IF($U194="","",IFERROR(IF(INDEX('ONLINE ORDERS'!$M$6:$M$155,MATCH($U194,'ONLINE ORDERS'!$B$6:$B$155,0))="","",INDEX('ONLINE ORDERS'!$M$6:$M$155,MATCH($U194,'ONLINE ORDERS'!$B$6:$B$155,0))),""))))</f>
      </c>
      <c r="X194" s="79"/>
      <c r="Y194" s="79"/>
      <c r="Z194" s="79"/>
      <c r="AA194" s="79"/>
      <c r="AB194" s="82"/>
      <c r="AC194" s="82"/>
      <c r="AD194" s="78">
        <f>IF($F194="","",LOWER(TRIM($C194&amp;"|"&amp;TRIM($F194))))</f>
      </c>
      <c r="AE194" s="78">
        <f>IF($AD194="","",IF(COUNTIF('GIFT PLANNER'!$AD$6:$AD$205,$AD194)&gt;1,"CHECK DUPLICATE",""))</f>
      </c>
      <c r="AF194" s="80"/>
      <c r="AG194" s="78">
        <f>IF($B194="",0,IF(COUNTIF('GIFT PLANNER'!$B$6:$B$205,$B194)&gt;1,1,0))</f>
      </c>
      <c r="AH194" s="78">
        <f>IF(OR(N($Q194)&gt;0,N($R194)&gt;0),IF($G194="",1,IF(COUNTIF('MASTER BUDGET'!$D$6:$D$25,$G194)=0,1,0)),0)</f>
      </c>
      <c r="AI194" s="78">
        <f>IF($C194="",0,IF(COUNTIF('PEOPLE + BUDGETS'!$B$6:$B$105,$C194)=0,1,0))</f>
      </c>
      <c r="AJ194" s="78">
        <f>IF($U194="",0,IF(COUNTIF('ONLINE ORDERS'!$B$6:$B$155,$U194)=0,1,0))</f>
      </c>
      <c r="AK194" s="75"/>
    </row>
    <row r="195" ht="17" customHeight="1" spans="1:37" x14ac:dyDescent="0.25">
      <c r="A195" s="75"/>
      <c r="B195" s="79"/>
      <c r="C195" s="79"/>
      <c r="D195" s="78">
        <f>IF($B195="","",IF($C195="","",IFERROR(IF(INDEX('PEOPLE + BUDGETS'!$C$6:$C$105,MATCH($C195,'PEOPLE + BUDGETS'!$B$6:$B$105,0))="","",INDEX('PEOPLE + BUDGETS'!$C$6:$C$105,MATCH($C195,'PEOPLE + BUDGETS'!$B$6:$B$105,0))),"")))</f>
      </c>
      <c r="E195" s="78">
        <f>IF($B195="","",IF(OR($S195="Cancelled",$S195="Returned"),"No",IFERROR(INDEX('PEOPLE + BUDGETS'!$O$6:$O$105,MATCH($C195,'PEOPLE + BUDGETS'!$B$6:$B$105,0)),"Yes")))</f>
      </c>
      <c r="F195" s="80"/>
      <c r="G195" s="79"/>
      <c r="H195" s="79"/>
      <c r="I195" s="79"/>
      <c r="J195" s="80"/>
      <c r="K195" s="79"/>
      <c r="L195" s="90"/>
      <c r="M195" s="86"/>
      <c r="N195" s="86"/>
      <c r="O195" s="86"/>
      <c r="P195" s="86"/>
      <c r="Q195" s="85">
        <f>IF($B195="","",ROUND(MAX(0,$L195*$M195-$N195)+$O195+$P195,2))</f>
      </c>
      <c r="R195" s="86"/>
      <c r="S195" s="79"/>
      <c r="T195" s="78">
        <f>IF($B195="","",IF($S195="Purchased","Yes","No"))</f>
      </c>
      <c r="U195" s="79"/>
      <c r="V195" s="79"/>
      <c r="W195" s="78">
        <f>IF($B195="","",IF($U195="","—",IF($U195="","",IFERROR(IF(INDEX('ONLINE ORDERS'!$M$6:$M$155,MATCH($U195,'ONLINE ORDERS'!$B$6:$B$155,0))="","",INDEX('ONLINE ORDERS'!$M$6:$M$155,MATCH($U195,'ONLINE ORDERS'!$B$6:$B$155,0))),""))))</f>
      </c>
      <c r="X195" s="79"/>
      <c r="Y195" s="79"/>
      <c r="Z195" s="79"/>
      <c r="AA195" s="79"/>
      <c r="AB195" s="82"/>
      <c r="AC195" s="82"/>
      <c r="AD195" s="78">
        <f>IF($F195="","",LOWER(TRIM($C195&amp;"|"&amp;TRIM($F195))))</f>
      </c>
      <c r="AE195" s="78">
        <f>IF($AD195="","",IF(COUNTIF('GIFT PLANNER'!$AD$6:$AD$205,$AD195)&gt;1,"CHECK DUPLICATE",""))</f>
      </c>
      <c r="AF195" s="80"/>
      <c r="AG195" s="78">
        <f>IF($B195="",0,IF(COUNTIF('GIFT PLANNER'!$B$6:$B$205,$B195)&gt;1,1,0))</f>
      </c>
      <c r="AH195" s="78">
        <f>IF(OR(N($Q195)&gt;0,N($R195)&gt;0),IF($G195="",1,IF(COUNTIF('MASTER BUDGET'!$D$6:$D$25,$G195)=0,1,0)),0)</f>
      </c>
      <c r="AI195" s="78">
        <f>IF($C195="",0,IF(COUNTIF('PEOPLE + BUDGETS'!$B$6:$B$105,$C195)=0,1,0))</f>
      </c>
      <c r="AJ195" s="78">
        <f>IF($U195="",0,IF(COUNTIF('ONLINE ORDERS'!$B$6:$B$155,$U195)=0,1,0))</f>
      </c>
      <c r="AK195" s="75"/>
    </row>
    <row r="196" ht="17" customHeight="1" spans="1:37" x14ac:dyDescent="0.25">
      <c r="A196" s="75"/>
      <c r="B196" s="79"/>
      <c r="C196" s="79"/>
      <c r="D196" s="78">
        <f>IF($B196="","",IF($C196="","",IFERROR(IF(INDEX('PEOPLE + BUDGETS'!$C$6:$C$105,MATCH($C196,'PEOPLE + BUDGETS'!$B$6:$B$105,0))="","",INDEX('PEOPLE + BUDGETS'!$C$6:$C$105,MATCH($C196,'PEOPLE + BUDGETS'!$B$6:$B$105,0))),"")))</f>
      </c>
      <c r="E196" s="78">
        <f>IF($B196="","",IF(OR($S196="Cancelled",$S196="Returned"),"No",IFERROR(INDEX('PEOPLE + BUDGETS'!$O$6:$O$105,MATCH($C196,'PEOPLE + BUDGETS'!$B$6:$B$105,0)),"Yes")))</f>
      </c>
      <c r="F196" s="80"/>
      <c r="G196" s="79"/>
      <c r="H196" s="79"/>
      <c r="I196" s="79"/>
      <c r="J196" s="80"/>
      <c r="K196" s="79"/>
      <c r="L196" s="90"/>
      <c r="M196" s="86"/>
      <c r="N196" s="86"/>
      <c r="O196" s="86"/>
      <c r="P196" s="86"/>
      <c r="Q196" s="85">
        <f>IF($B196="","",ROUND(MAX(0,$L196*$M196-$N196)+$O196+$P196,2))</f>
      </c>
      <c r="R196" s="86"/>
      <c r="S196" s="79"/>
      <c r="T196" s="78">
        <f>IF($B196="","",IF($S196="Purchased","Yes","No"))</f>
      </c>
      <c r="U196" s="79"/>
      <c r="V196" s="79"/>
      <c r="W196" s="78">
        <f>IF($B196="","",IF($U196="","—",IF($U196="","",IFERROR(IF(INDEX('ONLINE ORDERS'!$M$6:$M$155,MATCH($U196,'ONLINE ORDERS'!$B$6:$B$155,0))="","",INDEX('ONLINE ORDERS'!$M$6:$M$155,MATCH($U196,'ONLINE ORDERS'!$B$6:$B$155,0))),""))))</f>
      </c>
      <c r="X196" s="79"/>
      <c r="Y196" s="79"/>
      <c r="Z196" s="79"/>
      <c r="AA196" s="79"/>
      <c r="AB196" s="82"/>
      <c r="AC196" s="82"/>
      <c r="AD196" s="78">
        <f>IF($F196="","",LOWER(TRIM($C196&amp;"|"&amp;TRIM($F196))))</f>
      </c>
      <c r="AE196" s="78">
        <f>IF($AD196="","",IF(COUNTIF('GIFT PLANNER'!$AD$6:$AD$205,$AD196)&gt;1,"CHECK DUPLICATE",""))</f>
      </c>
      <c r="AF196" s="80"/>
      <c r="AG196" s="78">
        <f>IF($B196="",0,IF(COUNTIF('GIFT PLANNER'!$B$6:$B$205,$B196)&gt;1,1,0))</f>
      </c>
      <c r="AH196" s="78">
        <f>IF(OR(N($Q196)&gt;0,N($R196)&gt;0),IF($G196="",1,IF(COUNTIF('MASTER BUDGET'!$D$6:$D$25,$G196)=0,1,0)),0)</f>
      </c>
      <c r="AI196" s="78">
        <f>IF($C196="",0,IF(COUNTIF('PEOPLE + BUDGETS'!$B$6:$B$105,$C196)=0,1,0))</f>
      </c>
      <c r="AJ196" s="78">
        <f>IF($U196="",0,IF(COUNTIF('ONLINE ORDERS'!$B$6:$B$155,$U196)=0,1,0))</f>
      </c>
      <c r="AK196" s="75"/>
    </row>
    <row r="197" ht="17" customHeight="1" spans="1:37" x14ac:dyDescent="0.25">
      <c r="A197" s="75"/>
      <c r="B197" s="79"/>
      <c r="C197" s="79"/>
      <c r="D197" s="78">
        <f>IF($B197="","",IF($C197="","",IFERROR(IF(INDEX('PEOPLE + BUDGETS'!$C$6:$C$105,MATCH($C197,'PEOPLE + BUDGETS'!$B$6:$B$105,0))="","",INDEX('PEOPLE + BUDGETS'!$C$6:$C$105,MATCH($C197,'PEOPLE + BUDGETS'!$B$6:$B$105,0))),"")))</f>
      </c>
      <c r="E197" s="78">
        <f>IF($B197="","",IF(OR($S197="Cancelled",$S197="Returned"),"No",IFERROR(INDEX('PEOPLE + BUDGETS'!$O$6:$O$105,MATCH($C197,'PEOPLE + BUDGETS'!$B$6:$B$105,0)),"Yes")))</f>
      </c>
      <c r="F197" s="80"/>
      <c r="G197" s="79"/>
      <c r="H197" s="79"/>
      <c r="I197" s="79"/>
      <c r="J197" s="80"/>
      <c r="K197" s="79"/>
      <c r="L197" s="90"/>
      <c r="M197" s="86"/>
      <c r="N197" s="86"/>
      <c r="O197" s="86"/>
      <c r="P197" s="86"/>
      <c r="Q197" s="85">
        <f>IF($B197="","",ROUND(MAX(0,$L197*$M197-$N197)+$O197+$P197,2))</f>
      </c>
      <c r="R197" s="86"/>
      <c r="S197" s="79"/>
      <c r="T197" s="78">
        <f>IF($B197="","",IF($S197="Purchased","Yes","No"))</f>
      </c>
      <c r="U197" s="79"/>
      <c r="V197" s="79"/>
      <c r="W197" s="78">
        <f>IF($B197="","",IF($U197="","—",IF($U197="","",IFERROR(IF(INDEX('ONLINE ORDERS'!$M$6:$M$155,MATCH($U197,'ONLINE ORDERS'!$B$6:$B$155,0))="","",INDEX('ONLINE ORDERS'!$M$6:$M$155,MATCH($U197,'ONLINE ORDERS'!$B$6:$B$155,0))),""))))</f>
      </c>
      <c r="X197" s="79"/>
      <c r="Y197" s="79"/>
      <c r="Z197" s="79"/>
      <c r="AA197" s="79"/>
      <c r="AB197" s="82"/>
      <c r="AC197" s="82"/>
      <c r="AD197" s="78">
        <f>IF($F197="","",LOWER(TRIM($C197&amp;"|"&amp;TRIM($F197))))</f>
      </c>
      <c r="AE197" s="78">
        <f>IF($AD197="","",IF(COUNTIF('GIFT PLANNER'!$AD$6:$AD$205,$AD197)&gt;1,"CHECK DUPLICATE",""))</f>
      </c>
      <c r="AF197" s="80"/>
      <c r="AG197" s="78">
        <f>IF($B197="",0,IF(COUNTIF('GIFT PLANNER'!$B$6:$B$205,$B197)&gt;1,1,0))</f>
      </c>
      <c r="AH197" s="78">
        <f>IF(OR(N($Q197)&gt;0,N($R197)&gt;0),IF($G197="",1,IF(COUNTIF('MASTER BUDGET'!$D$6:$D$25,$G197)=0,1,0)),0)</f>
      </c>
      <c r="AI197" s="78">
        <f>IF($C197="",0,IF(COUNTIF('PEOPLE + BUDGETS'!$B$6:$B$105,$C197)=0,1,0))</f>
      </c>
      <c r="AJ197" s="78">
        <f>IF($U197="",0,IF(COUNTIF('ONLINE ORDERS'!$B$6:$B$155,$U197)=0,1,0))</f>
      </c>
      <c r="AK197" s="75"/>
    </row>
    <row r="198" ht="17" customHeight="1" spans="1:37" x14ac:dyDescent="0.25">
      <c r="A198" s="75"/>
      <c r="B198" s="79"/>
      <c r="C198" s="79"/>
      <c r="D198" s="78">
        <f>IF($B198="","",IF($C198="","",IFERROR(IF(INDEX('PEOPLE + BUDGETS'!$C$6:$C$105,MATCH($C198,'PEOPLE + BUDGETS'!$B$6:$B$105,0))="","",INDEX('PEOPLE + BUDGETS'!$C$6:$C$105,MATCH($C198,'PEOPLE + BUDGETS'!$B$6:$B$105,0))),"")))</f>
      </c>
      <c r="E198" s="78">
        <f>IF($B198="","",IF(OR($S198="Cancelled",$S198="Returned"),"No",IFERROR(INDEX('PEOPLE + BUDGETS'!$O$6:$O$105,MATCH($C198,'PEOPLE + BUDGETS'!$B$6:$B$105,0)),"Yes")))</f>
      </c>
      <c r="F198" s="80"/>
      <c r="G198" s="79"/>
      <c r="H198" s="79"/>
      <c r="I198" s="79"/>
      <c r="J198" s="80"/>
      <c r="K198" s="79"/>
      <c r="L198" s="90"/>
      <c r="M198" s="86"/>
      <c r="N198" s="86"/>
      <c r="O198" s="86"/>
      <c r="P198" s="86"/>
      <c r="Q198" s="85">
        <f>IF($B198="","",ROUND(MAX(0,$L198*$M198-$N198)+$O198+$P198,2))</f>
      </c>
      <c r="R198" s="86"/>
      <c r="S198" s="79"/>
      <c r="T198" s="78">
        <f>IF($B198="","",IF($S198="Purchased","Yes","No"))</f>
      </c>
      <c r="U198" s="79"/>
      <c r="V198" s="79"/>
      <c r="W198" s="78">
        <f>IF($B198="","",IF($U198="","—",IF($U198="","",IFERROR(IF(INDEX('ONLINE ORDERS'!$M$6:$M$155,MATCH($U198,'ONLINE ORDERS'!$B$6:$B$155,0))="","",INDEX('ONLINE ORDERS'!$M$6:$M$155,MATCH($U198,'ONLINE ORDERS'!$B$6:$B$155,0))),""))))</f>
      </c>
      <c r="X198" s="79"/>
      <c r="Y198" s="79"/>
      <c r="Z198" s="79"/>
      <c r="AA198" s="79"/>
      <c r="AB198" s="82"/>
      <c r="AC198" s="82"/>
      <c r="AD198" s="78">
        <f>IF($F198="","",LOWER(TRIM($C198&amp;"|"&amp;TRIM($F198))))</f>
      </c>
      <c r="AE198" s="78">
        <f>IF($AD198="","",IF(COUNTIF('GIFT PLANNER'!$AD$6:$AD$205,$AD198)&gt;1,"CHECK DUPLICATE",""))</f>
      </c>
      <c r="AF198" s="80"/>
      <c r="AG198" s="78">
        <f>IF($B198="",0,IF(COUNTIF('GIFT PLANNER'!$B$6:$B$205,$B198)&gt;1,1,0))</f>
      </c>
      <c r="AH198" s="78">
        <f>IF(OR(N($Q198)&gt;0,N($R198)&gt;0),IF($G198="",1,IF(COUNTIF('MASTER BUDGET'!$D$6:$D$25,$G198)=0,1,0)),0)</f>
      </c>
      <c r="AI198" s="78">
        <f>IF($C198="",0,IF(COUNTIF('PEOPLE + BUDGETS'!$B$6:$B$105,$C198)=0,1,0))</f>
      </c>
      <c r="AJ198" s="78">
        <f>IF($U198="",0,IF(COUNTIF('ONLINE ORDERS'!$B$6:$B$155,$U198)=0,1,0))</f>
      </c>
      <c r="AK198" s="75"/>
    </row>
    <row r="199" ht="17" customHeight="1" spans="1:37" x14ac:dyDescent="0.25">
      <c r="A199" s="75"/>
      <c r="B199" s="79"/>
      <c r="C199" s="79"/>
      <c r="D199" s="78">
        <f>IF($B199="","",IF($C199="","",IFERROR(IF(INDEX('PEOPLE + BUDGETS'!$C$6:$C$105,MATCH($C199,'PEOPLE + BUDGETS'!$B$6:$B$105,0))="","",INDEX('PEOPLE + BUDGETS'!$C$6:$C$105,MATCH($C199,'PEOPLE + BUDGETS'!$B$6:$B$105,0))),"")))</f>
      </c>
      <c r="E199" s="78">
        <f>IF($B199="","",IF(OR($S199="Cancelled",$S199="Returned"),"No",IFERROR(INDEX('PEOPLE + BUDGETS'!$O$6:$O$105,MATCH($C199,'PEOPLE + BUDGETS'!$B$6:$B$105,0)),"Yes")))</f>
      </c>
      <c r="F199" s="80"/>
      <c r="G199" s="79"/>
      <c r="H199" s="79"/>
      <c r="I199" s="79"/>
      <c r="J199" s="80"/>
      <c r="K199" s="79"/>
      <c r="L199" s="90"/>
      <c r="M199" s="86"/>
      <c r="N199" s="86"/>
      <c r="O199" s="86"/>
      <c r="P199" s="86"/>
      <c r="Q199" s="85">
        <f>IF($B199="","",ROUND(MAX(0,$L199*$M199-$N199)+$O199+$P199,2))</f>
      </c>
      <c r="R199" s="86"/>
      <c r="S199" s="79"/>
      <c r="T199" s="78">
        <f>IF($B199="","",IF($S199="Purchased","Yes","No"))</f>
      </c>
      <c r="U199" s="79"/>
      <c r="V199" s="79"/>
      <c r="W199" s="78">
        <f>IF($B199="","",IF($U199="","—",IF($U199="","",IFERROR(IF(INDEX('ONLINE ORDERS'!$M$6:$M$155,MATCH($U199,'ONLINE ORDERS'!$B$6:$B$155,0))="","",INDEX('ONLINE ORDERS'!$M$6:$M$155,MATCH($U199,'ONLINE ORDERS'!$B$6:$B$155,0))),""))))</f>
      </c>
      <c r="X199" s="79"/>
      <c r="Y199" s="79"/>
      <c r="Z199" s="79"/>
      <c r="AA199" s="79"/>
      <c r="AB199" s="82"/>
      <c r="AC199" s="82"/>
      <c r="AD199" s="78">
        <f>IF($F199="","",LOWER(TRIM($C199&amp;"|"&amp;TRIM($F199))))</f>
      </c>
      <c r="AE199" s="78">
        <f>IF($AD199="","",IF(COUNTIF('GIFT PLANNER'!$AD$6:$AD$205,$AD199)&gt;1,"CHECK DUPLICATE",""))</f>
      </c>
      <c r="AF199" s="80"/>
      <c r="AG199" s="78">
        <f>IF($B199="",0,IF(COUNTIF('GIFT PLANNER'!$B$6:$B$205,$B199)&gt;1,1,0))</f>
      </c>
      <c r="AH199" s="78">
        <f>IF(OR(N($Q199)&gt;0,N($R199)&gt;0),IF($G199="",1,IF(COUNTIF('MASTER BUDGET'!$D$6:$D$25,$G199)=0,1,0)),0)</f>
      </c>
      <c r="AI199" s="78">
        <f>IF($C199="",0,IF(COUNTIF('PEOPLE + BUDGETS'!$B$6:$B$105,$C199)=0,1,0))</f>
      </c>
      <c r="AJ199" s="78">
        <f>IF($U199="",0,IF(COUNTIF('ONLINE ORDERS'!$B$6:$B$155,$U199)=0,1,0))</f>
      </c>
      <c r="AK199" s="75"/>
    </row>
    <row r="200" ht="17" customHeight="1" spans="1:37" x14ac:dyDescent="0.25">
      <c r="A200" s="75"/>
      <c r="B200" s="79"/>
      <c r="C200" s="79"/>
      <c r="D200" s="78">
        <f>IF($B200="","",IF($C200="","",IFERROR(IF(INDEX('PEOPLE + BUDGETS'!$C$6:$C$105,MATCH($C200,'PEOPLE + BUDGETS'!$B$6:$B$105,0))="","",INDEX('PEOPLE + BUDGETS'!$C$6:$C$105,MATCH($C200,'PEOPLE + BUDGETS'!$B$6:$B$105,0))),"")))</f>
      </c>
      <c r="E200" s="78">
        <f>IF($B200="","",IF(OR($S200="Cancelled",$S200="Returned"),"No",IFERROR(INDEX('PEOPLE + BUDGETS'!$O$6:$O$105,MATCH($C200,'PEOPLE + BUDGETS'!$B$6:$B$105,0)),"Yes")))</f>
      </c>
      <c r="F200" s="80"/>
      <c r="G200" s="79"/>
      <c r="H200" s="79"/>
      <c r="I200" s="79"/>
      <c r="J200" s="80"/>
      <c r="K200" s="79"/>
      <c r="L200" s="90"/>
      <c r="M200" s="86"/>
      <c r="N200" s="86"/>
      <c r="O200" s="86"/>
      <c r="P200" s="86"/>
      <c r="Q200" s="85">
        <f>IF($B200="","",ROUND(MAX(0,$L200*$M200-$N200)+$O200+$P200,2))</f>
      </c>
      <c r="R200" s="86"/>
      <c r="S200" s="79"/>
      <c r="T200" s="78">
        <f>IF($B200="","",IF($S200="Purchased","Yes","No"))</f>
      </c>
      <c r="U200" s="79"/>
      <c r="V200" s="79"/>
      <c r="W200" s="78">
        <f>IF($B200="","",IF($U200="","—",IF($U200="","",IFERROR(IF(INDEX('ONLINE ORDERS'!$M$6:$M$155,MATCH($U200,'ONLINE ORDERS'!$B$6:$B$155,0))="","",INDEX('ONLINE ORDERS'!$M$6:$M$155,MATCH($U200,'ONLINE ORDERS'!$B$6:$B$155,0))),""))))</f>
      </c>
      <c r="X200" s="79"/>
      <c r="Y200" s="79"/>
      <c r="Z200" s="79"/>
      <c r="AA200" s="79"/>
      <c r="AB200" s="82"/>
      <c r="AC200" s="82"/>
      <c r="AD200" s="78">
        <f>IF($F200="","",LOWER(TRIM($C200&amp;"|"&amp;TRIM($F200))))</f>
      </c>
      <c r="AE200" s="78">
        <f>IF($AD200="","",IF(COUNTIF('GIFT PLANNER'!$AD$6:$AD$205,$AD200)&gt;1,"CHECK DUPLICATE",""))</f>
      </c>
      <c r="AF200" s="80"/>
      <c r="AG200" s="78">
        <f>IF($B200="",0,IF(COUNTIF('GIFT PLANNER'!$B$6:$B$205,$B200)&gt;1,1,0))</f>
      </c>
      <c r="AH200" s="78">
        <f>IF(OR(N($Q200)&gt;0,N($R200)&gt;0),IF($G200="",1,IF(COUNTIF('MASTER BUDGET'!$D$6:$D$25,$G200)=0,1,0)),0)</f>
      </c>
      <c r="AI200" s="78">
        <f>IF($C200="",0,IF(COUNTIF('PEOPLE + BUDGETS'!$B$6:$B$105,$C200)=0,1,0))</f>
      </c>
      <c r="AJ200" s="78">
        <f>IF($U200="",0,IF(COUNTIF('ONLINE ORDERS'!$B$6:$B$155,$U200)=0,1,0))</f>
      </c>
      <c r="AK200" s="75"/>
    </row>
    <row r="201" ht="17" customHeight="1" spans="1:37" x14ac:dyDescent="0.25">
      <c r="A201" s="75"/>
      <c r="B201" s="79"/>
      <c r="C201" s="79"/>
      <c r="D201" s="78">
        <f>IF($B201="","",IF($C201="","",IFERROR(IF(INDEX('PEOPLE + BUDGETS'!$C$6:$C$105,MATCH($C201,'PEOPLE + BUDGETS'!$B$6:$B$105,0))="","",INDEX('PEOPLE + BUDGETS'!$C$6:$C$105,MATCH($C201,'PEOPLE + BUDGETS'!$B$6:$B$105,0))),"")))</f>
      </c>
      <c r="E201" s="78">
        <f>IF($B201="","",IF(OR($S201="Cancelled",$S201="Returned"),"No",IFERROR(INDEX('PEOPLE + BUDGETS'!$O$6:$O$105,MATCH($C201,'PEOPLE + BUDGETS'!$B$6:$B$105,0)),"Yes")))</f>
      </c>
      <c r="F201" s="80"/>
      <c r="G201" s="79"/>
      <c r="H201" s="79"/>
      <c r="I201" s="79"/>
      <c r="J201" s="80"/>
      <c r="K201" s="79"/>
      <c r="L201" s="90"/>
      <c r="M201" s="86"/>
      <c r="N201" s="86"/>
      <c r="O201" s="86"/>
      <c r="P201" s="86"/>
      <c r="Q201" s="85">
        <f>IF($B201="","",ROUND(MAX(0,$L201*$M201-$N201)+$O201+$P201,2))</f>
      </c>
      <c r="R201" s="86"/>
      <c r="S201" s="79"/>
      <c r="T201" s="78">
        <f>IF($B201="","",IF($S201="Purchased","Yes","No"))</f>
      </c>
      <c r="U201" s="79"/>
      <c r="V201" s="79"/>
      <c r="W201" s="78">
        <f>IF($B201="","",IF($U201="","—",IF($U201="","",IFERROR(IF(INDEX('ONLINE ORDERS'!$M$6:$M$155,MATCH($U201,'ONLINE ORDERS'!$B$6:$B$155,0))="","",INDEX('ONLINE ORDERS'!$M$6:$M$155,MATCH($U201,'ONLINE ORDERS'!$B$6:$B$155,0))),""))))</f>
      </c>
      <c r="X201" s="79"/>
      <c r="Y201" s="79"/>
      <c r="Z201" s="79"/>
      <c r="AA201" s="79"/>
      <c r="AB201" s="82"/>
      <c r="AC201" s="82"/>
      <c r="AD201" s="78">
        <f>IF($F201="","",LOWER(TRIM($C201&amp;"|"&amp;TRIM($F201))))</f>
      </c>
      <c r="AE201" s="78">
        <f>IF($AD201="","",IF(COUNTIF('GIFT PLANNER'!$AD$6:$AD$205,$AD201)&gt;1,"CHECK DUPLICATE",""))</f>
      </c>
      <c r="AF201" s="80"/>
      <c r="AG201" s="78">
        <f>IF($B201="",0,IF(COUNTIF('GIFT PLANNER'!$B$6:$B$205,$B201)&gt;1,1,0))</f>
      </c>
      <c r="AH201" s="78">
        <f>IF(OR(N($Q201)&gt;0,N($R201)&gt;0),IF($G201="",1,IF(COUNTIF('MASTER BUDGET'!$D$6:$D$25,$G201)=0,1,0)),0)</f>
      </c>
      <c r="AI201" s="78">
        <f>IF($C201="",0,IF(COUNTIF('PEOPLE + BUDGETS'!$B$6:$B$105,$C201)=0,1,0))</f>
      </c>
      <c r="AJ201" s="78">
        <f>IF($U201="",0,IF(COUNTIF('ONLINE ORDERS'!$B$6:$B$155,$U201)=0,1,0))</f>
      </c>
      <c r="AK201" s="75"/>
    </row>
    <row r="202" ht="17" customHeight="1" spans="1:37" x14ac:dyDescent="0.25">
      <c r="A202" s="75"/>
      <c r="B202" s="79"/>
      <c r="C202" s="79"/>
      <c r="D202" s="78">
        <f>IF($B202="","",IF($C202="","",IFERROR(IF(INDEX('PEOPLE + BUDGETS'!$C$6:$C$105,MATCH($C202,'PEOPLE + BUDGETS'!$B$6:$B$105,0))="","",INDEX('PEOPLE + BUDGETS'!$C$6:$C$105,MATCH($C202,'PEOPLE + BUDGETS'!$B$6:$B$105,0))),"")))</f>
      </c>
      <c r="E202" s="78">
        <f>IF($B202="","",IF(OR($S202="Cancelled",$S202="Returned"),"No",IFERROR(INDEX('PEOPLE + BUDGETS'!$O$6:$O$105,MATCH($C202,'PEOPLE + BUDGETS'!$B$6:$B$105,0)),"Yes")))</f>
      </c>
      <c r="F202" s="80"/>
      <c r="G202" s="79"/>
      <c r="H202" s="79"/>
      <c r="I202" s="79"/>
      <c r="J202" s="80"/>
      <c r="K202" s="79"/>
      <c r="L202" s="90"/>
      <c r="M202" s="86"/>
      <c r="N202" s="86"/>
      <c r="O202" s="86"/>
      <c r="P202" s="86"/>
      <c r="Q202" s="85">
        <f>IF($B202="","",ROUND(MAX(0,$L202*$M202-$N202)+$O202+$P202,2))</f>
      </c>
      <c r="R202" s="86"/>
      <c r="S202" s="79"/>
      <c r="T202" s="78">
        <f>IF($B202="","",IF($S202="Purchased","Yes","No"))</f>
      </c>
      <c r="U202" s="79"/>
      <c r="V202" s="79"/>
      <c r="W202" s="78">
        <f>IF($B202="","",IF($U202="","—",IF($U202="","",IFERROR(IF(INDEX('ONLINE ORDERS'!$M$6:$M$155,MATCH($U202,'ONLINE ORDERS'!$B$6:$B$155,0))="","",INDEX('ONLINE ORDERS'!$M$6:$M$155,MATCH($U202,'ONLINE ORDERS'!$B$6:$B$155,0))),""))))</f>
      </c>
      <c r="X202" s="79"/>
      <c r="Y202" s="79"/>
      <c r="Z202" s="79"/>
      <c r="AA202" s="79"/>
      <c r="AB202" s="82"/>
      <c r="AC202" s="82"/>
      <c r="AD202" s="78">
        <f>IF($F202="","",LOWER(TRIM($C202&amp;"|"&amp;TRIM($F202))))</f>
      </c>
      <c r="AE202" s="78">
        <f>IF($AD202="","",IF(COUNTIF('GIFT PLANNER'!$AD$6:$AD$205,$AD202)&gt;1,"CHECK DUPLICATE",""))</f>
      </c>
      <c r="AF202" s="80"/>
      <c r="AG202" s="78">
        <f>IF($B202="",0,IF(COUNTIF('GIFT PLANNER'!$B$6:$B$205,$B202)&gt;1,1,0))</f>
      </c>
      <c r="AH202" s="78">
        <f>IF(OR(N($Q202)&gt;0,N($R202)&gt;0),IF($G202="",1,IF(COUNTIF('MASTER BUDGET'!$D$6:$D$25,$G202)=0,1,0)),0)</f>
      </c>
      <c r="AI202" s="78">
        <f>IF($C202="",0,IF(COUNTIF('PEOPLE + BUDGETS'!$B$6:$B$105,$C202)=0,1,0))</f>
      </c>
      <c r="AJ202" s="78">
        <f>IF($U202="",0,IF(COUNTIF('ONLINE ORDERS'!$B$6:$B$155,$U202)=0,1,0))</f>
      </c>
      <c r="AK202" s="75"/>
    </row>
    <row r="203" ht="17" customHeight="1" spans="1:37" x14ac:dyDescent="0.25">
      <c r="A203" s="75"/>
      <c r="B203" s="79"/>
      <c r="C203" s="79"/>
      <c r="D203" s="78">
        <f>IF($B203="","",IF($C203="","",IFERROR(IF(INDEX('PEOPLE + BUDGETS'!$C$6:$C$105,MATCH($C203,'PEOPLE + BUDGETS'!$B$6:$B$105,0))="","",INDEX('PEOPLE + BUDGETS'!$C$6:$C$105,MATCH($C203,'PEOPLE + BUDGETS'!$B$6:$B$105,0))),"")))</f>
      </c>
      <c r="E203" s="78">
        <f>IF($B203="","",IF(OR($S203="Cancelled",$S203="Returned"),"No",IFERROR(INDEX('PEOPLE + BUDGETS'!$O$6:$O$105,MATCH($C203,'PEOPLE + BUDGETS'!$B$6:$B$105,0)),"Yes")))</f>
      </c>
      <c r="F203" s="80"/>
      <c r="G203" s="79"/>
      <c r="H203" s="79"/>
      <c r="I203" s="79"/>
      <c r="J203" s="80"/>
      <c r="K203" s="79"/>
      <c r="L203" s="90"/>
      <c r="M203" s="86"/>
      <c r="N203" s="86"/>
      <c r="O203" s="86"/>
      <c r="P203" s="86"/>
      <c r="Q203" s="85">
        <f>IF($B203="","",ROUND(MAX(0,$L203*$M203-$N203)+$O203+$P203,2))</f>
      </c>
      <c r="R203" s="86"/>
      <c r="S203" s="79"/>
      <c r="T203" s="78">
        <f>IF($B203="","",IF($S203="Purchased","Yes","No"))</f>
      </c>
      <c r="U203" s="79"/>
      <c r="V203" s="79"/>
      <c r="W203" s="78">
        <f>IF($B203="","",IF($U203="","—",IF($U203="","",IFERROR(IF(INDEX('ONLINE ORDERS'!$M$6:$M$155,MATCH($U203,'ONLINE ORDERS'!$B$6:$B$155,0))="","",INDEX('ONLINE ORDERS'!$M$6:$M$155,MATCH($U203,'ONLINE ORDERS'!$B$6:$B$155,0))),""))))</f>
      </c>
      <c r="X203" s="79"/>
      <c r="Y203" s="79"/>
      <c r="Z203" s="79"/>
      <c r="AA203" s="79"/>
      <c r="AB203" s="82"/>
      <c r="AC203" s="82"/>
      <c r="AD203" s="78">
        <f>IF($F203="","",LOWER(TRIM($C203&amp;"|"&amp;TRIM($F203))))</f>
      </c>
      <c r="AE203" s="78">
        <f>IF($AD203="","",IF(COUNTIF('GIFT PLANNER'!$AD$6:$AD$205,$AD203)&gt;1,"CHECK DUPLICATE",""))</f>
      </c>
      <c r="AF203" s="80"/>
      <c r="AG203" s="78">
        <f>IF($B203="",0,IF(COUNTIF('GIFT PLANNER'!$B$6:$B$205,$B203)&gt;1,1,0))</f>
      </c>
      <c r="AH203" s="78">
        <f>IF(OR(N($Q203)&gt;0,N($R203)&gt;0),IF($G203="",1,IF(COUNTIF('MASTER BUDGET'!$D$6:$D$25,$G203)=0,1,0)),0)</f>
      </c>
      <c r="AI203" s="78">
        <f>IF($C203="",0,IF(COUNTIF('PEOPLE + BUDGETS'!$B$6:$B$105,$C203)=0,1,0))</f>
      </c>
      <c r="AJ203" s="78">
        <f>IF($U203="",0,IF(COUNTIF('ONLINE ORDERS'!$B$6:$B$155,$U203)=0,1,0))</f>
      </c>
      <c r="AK203" s="75"/>
    </row>
    <row r="204" ht="17" customHeight="1" spans="1:37" x14ac:dyDescent="0.25">
      <c r="A204" s="75"/>
      <c r="B204" s="79"/>
      <c r="C204" s="79"/>
      <c r="D204" s="78">
        <f>IF($B204="","",IF($C204="","",IFERROR(IF(INDEX('PEOPLE + BUDGETS'!$C$6:$C$105,MATCH($C204,'PEOPLE + BUDGETS'!$B$6:$B$105,0))="","",INDEX('PEOPLE + BUDGETS'!$C$6:$C$105,MATCH($C204,'PEOPLE + BUDGETS'!$B$6:$B$105,0))),"")))</f>
      </c>
      <c r="E204" s="78">
        <f>IF($B204="","",IF(OR($S204="Cancelled",$S204="Returned"),"No",IFERROR(INDEX('PEOPLE + BUDGETS'!$O$6:$O$105,MATCH($C204,'PEOPLE + BUDGETS'!$B$6:$B$105,0)),"Yes")))</f>
      </c>
      <c r="F204" s="80"/>
      <c r="G204" s="79"/>
      <c r="H204" s="79"/>
      <c r="I204" s="79"/>
      <c r="J204" s="80"/>
      <c r="K204" s="79"/>
      <c r="L204" s="90"/>
      <c r="M204" s="86"/>
      <c r="N204" s="86"/>
      <c r="O204" s="86"/>
      <c r="P204" s="86"/>
      <c r="Q204" s="85">
        <f>IF($B204="","",ROUND(MAX(0,$L204*$M204-$N204)+$O204+$P204,2))</f>
      </c>
      <c r="R204" s="86"/>
      <c r="S204" s="79"/>
      <c r="T204" s="78">
        <f>IF($B204="","",IF($S204="Purchased","Yes","No"))</f>
      </c>
      <c r="U204" s="79"/>
      <c r="V204" s="79"/>
      <c r="W204" s="78">
        <f>IF($B204="","",IF($U204="","—",IF($U204="","",IFERROR(IF(INDEX('ONLINE ORDERS'!$M$6:$M$155,MATCH($U204,'ONLINE ORDERS'!$B$6:$B$155,0))="","",INDEX('ONLINE ORDERS'!$M$6:$M$155,MATCH($U204,'ONLINE ORDERS'!$B$6:$B$155,0))),""))))</f>
      </c>
      <c r="X204" s="79"/>
      <c r="Y204" s="79"/>
      <c r="Z204" s="79"/>
      <c r="AA204" s="79"/>
      <c r="AB204" s="82"/>
      <c r="AC204" s="82"/>
      <c r="AD204" s="78">
        <f>IF($F204="","",LOWER(TRIM($C204&amp;"|"&amp;TRIM($F204))))</f>
      </c>
      <c r="AE204" s="78">
        <f>IF($AD204="","",IF(COUNTIF('GIFT PLANNER'!$AD$6:$AD$205,$AD204)&gt;1,"CHECK DUPLICATE",""))</f>
      </c>
      <c r="AF204" s="80"/>
      <c r="AG204" s="78">
        <f>IF($B204="",0,IF(COUNTIF('GIFT PLANNER'!$B$6:$B$205,$B204)&gt;1,1,0))</f>
      </c>
      <c r="AH204" s="78">
        <f>IF(OR(N($Q204)&gt;0,N($R204)&gt;0),IF($G204="",1,IF(COUNTIF('MASTER BUDGET'!$D$6:$D$25,$G204)=0,1,0)),0)</f>
      </c>
      <c r="AI204" s="78">
        <f>IF($C204="",0,IF(COUNTIF('PEOPLE + BUDGETS'!$B$6:$B$105,$C204)=0,1,0))</f>
      </c>
      <c r="AJ204" s="78">
        <f>IF($U204="",0,IF(COUNTIF('ONLINE ORDERS'!$B$6:$B$155,$U204)=0,1,0))</f>
      </c>
      <c r="AK204" s="75"/>
    </row>
    <row r="205" ht="17" customHeight="1" spans="1:37" x14ac:dyDescent="0.25">
      <c r="A205" s="75"/>
      <c r="B205" s="79"/>
      <c r="C205" s="79"/>
      <c r="D205" s="78">
        <f>IF($B205="","",IF($C205="","",IFERROR(IF(INDEX('PEOPLE + BUDGETS'!$C$6:$C$105,MATCH($C205,'PEOPLE + BUDGETS'!$B$6:$B$105,0))="","",INDEX('PEOPLE + BUDGETS'!$C$6:$C$105,MATCH($C205,'PEOPLE + BUDGETS'!$B$6:$B$105,0))),"")))</f>
      </c>
      <c r="E205" s="78">
        <f>IF($B205="","",IF(OR($S205="Cancelled",$S205="Returned"),"No",IFERROR(INDEX('PEOPLE + BUDGETS'!$O$6:$O$105,MATCH($C205,'PEOPLE + BUDGETS'!$B$6:$B$105,0)),"Yes")))</f>
      </c>
      <c r="F205" s="80"/>
      <c r="G205" s="79"/>
      <c r="H205" s="79"/>
      <c r="I205" s="79"/>
      <c r="J205" s="80"/>
      <c r="K205" s="79"/>
      <c r="L205" s="90"/>
      <c r="M205" s="86"/>
      <c r="N205" s="86"/>
      <c r="O205" s="86"/>
      <c r="P205" s="86"/>
      <c r="Q205" s="85">
        <f>IF($B205="","",ROUND(MAX(0,$L205*$M205-$N205)+$O205+$P205,2))</f>
      </c>
      <c r="R205" s="86"/>
      <c r="S205" s="79"/>
      <c r="T205" s="78">
        <f>IF($B205="","",IF($S205="Purchased","Yes","No"))</f>
      </c>
      <c r="U205" s="79"/>
      <c r="V205" s="79"/>
      <c r="W205" s="78">
        <f>IF($B205="","",IF($U205="","—",IF($U205="","",IFERROR(IF(INDEX('ONLINE ORDERS'!$M$6:$M$155,MATCH($U205,'ONLINE ORDERS'!$B$6:$B$155,0))="","",INDEX('ONLINE ORDERS'!$M$6:$M$155,MATCH($U205,'ONLINE ORDERS'!$B$6:$B$155,0))),""))))</f>
      </c>
      <c r="X205" s="79"/>
      <c r="Y205" s="79"/>
      <c r="Z205" s="79"/>
      <c r="AA205" s="79"/>
      <c r="AB205" s="82"/>
      <c r="AC205" s="82"/>
      <c r="AD205" s="78">
        <f>IF($F205="","",LOWER(TRIM($C205&amp;"|"&amp;TRIM($F205))))</f>
      </c>
      <c r="AE205" s="78">
        <f>IF($AD205="","",IF(COUNTIF('GIFT PLANNER'!$AD$6:$AD$205,$AD205)&gt;1,"CHECK DUPLICATE",""))</f>
      </c>
      <c r="AF205" s="80"/>
      <c r="AG205" s="78">
        <f>IF($B205="",0,IF(COUNTIF('GIFT PLANNER'!$B$6:$B$205,$B205)&gt;1,1,0))</f>
      </c>
      <c r="AH205" s="78">
        <f>IF(OR(N($Q205)&gt;0,N($R205)&gt;0),IF($G205="",1,IF(COUNTIF('MASTER BUDGET'!$D$6:$D$25,$G205)=0,1,0)),0)</f>
      </c>
      <c r="AI205" s="78">
        <f>IF($C205="",0,IF(COUNTIF('PEOPLE + BUDGETS'!$B$6:$B$105,$C205)=0,1,0))</f>
      </c>
      <c r="AJ205" s="78">
        <f>IF($U205="",0,IF(COUNTIF('ONLINE ORDERS'!$B$6:$B$155,$U205)=0,1,0))</f>
      </c>
      <c r="AK205" s="75"/>
    </row>
  </sheetData>
  <autoFilter ref="B5:AJ205"/>
  <mergeCells count="3">
    <mergeCell ref="B1:C1"/>
    <mergeCell ref="E1:F1"/>
    <mergeCell ref="H1:I1"/>
  </mergeCells>
  <conditionalFormatting sqref="AE6:AE205">
    <cfRule type="containsText" dxfId="69" priority="1">
      <formula>NOT(ISERROR(SEARCH("OVER BUDGET",AE6)))</formula>
    </cfRule>
  </conditionalFormatting>
  <conditionalFormatting sqref="AE6:AE205">
    <cfRule type="containsText" dxfId="70" priority="2">
      <formula>NOT(ISERROR(SEARCH("OVERDUE",AE6)))</formula>
    </cfRule>
  </conditionalFormatting>
  <conditionalFormatting sqref="AE6:AE205">
    <cfRule type="containsText" dxfId="71" priority="3">
      <formula>NOT(ISERROR(SEARCH("LATE",AE6)))</formula>
    </cfRule>
  </conditionalFormatting>
  <conditionalFormatting sqref="AE6:AE205">
    <cfRule type="containsText" dxfId="72" priority="4">
      <formula>NOT(ISERROR(SEARCH("WINDOW CLOSED",AE6)))</formula>
    </cfRule>
  </conditionalFormatting>
  <conditionalFormatting sqref="AE6:AE205">
    <cfRule type="containsText" dxfId="73" priority="5">
      <formula>NOT(ISERROR(SEARCH("BALANCE OVERDUE",AE6)))</formula>
    </cfRule>
  </conditionalFormatting>
  <conditionalFormatting sqref="AE6:AE205">
    <cfRule type="containsText" dxfId="74" priority="6">
      <formula>NOT(ISERROR(SEARCH("PREP OVERDUE",AE6)))</formula>
    </cfRule>
  </conditionalFormatting>
  <conditionalFormatting sqref="AE6:AE205">
    <cfRule type="containsText" dxfId="75" priority="7">
      <formula>NOT(ISERROR(SEARCH("CHECK DUPLICATE",AE6)))</formula>
    </cfRule>
  </conditionalFormatting>
  <conditionalFormatting sqref="AE6:AE205">
    <cfRule type="containsText" dxfId="76" priority="8">
      <formula>NOT(ISERROR(SEARCH("MISSING DATE",AE6)))</formula>
    </cfRule>
  </conditionalFormatting>
  <conditionalFormatting sqref="AE6:AE205">
    <cfRule type="containsText" dxfId="77" priority="9">
      <formula>NOT(ISERROR(SEARCH("NOT FOUND",AE6)))</formula>
    </cfRule>
  </conditionalFormatting>
  <conditionalFormatting sqref="AE6:AE205">
    <cfRule type="containsText" dxfId="78" priority="10">
      <formula>NOT(ISERROR(SEARCH("NEAR LIMIT",AE6)))</formula>
    </cfRule>
  </conditionalFormatting>
  <conditionalFormatting sqref="AE6:AE205">
    <cfRule type="containsText" dxfId="79" priority="11">
      <formula>NOT(ISERROR(SEARCH("THIS WEEK",AE6)))</formula>
    </cfRule>
  </conditionalFormatting>
  <conditionalFormatting sqref="AE6:AE205">
    <cfRule type="containsText" dxfId="80" priority="12">
      <formula>NOT(ISERROR(SEARCH("CLOSING SOON",AE6)))</formula>
    </cfRule>
  </conditionalFormatting>
  <conditionalFormatting sqref="AE6:AE205">
    <cfRule type="containsText" dxfId="81" priority="13">
      <formula>NOT(ISERROR(SEARCH("NO TRACKING",AE6)))</formula>
    </cfRule>
  </conditionalFormatting>
  <conditionalFormatting sqref="AE6:AE205">
    <cfRule type="containsText" dxfId="82" priority="14">
      <formula>NOT(ISERROR(SEARCH("LOW",AE6)))</formula>
    </cfRule>
  </conditionalFormatting>
  <conditionalFormatting sqref="AE6:AE205">
    <cfRule type="containsText" dxfId="83" priority="15">
      <formula>NOT(ISERROR(SEARCH("AWAITING REFUND",AE6)))</formula>
    </cfRule>
  </conditionalFormatting>
  <conditionalFormatting sqref="AE6:AE205">
    <cfRule type="containsText" dxfId="84" priority="16">
      <formula>NOT(ISERROR(SEARCH("BALANCE DUE SOON",AE6)))</formula>
    </cfRule>
  </conditionalFormatting>
  <conditionalFormatting sqref="AE6:AE205">
    <cfRule type="containsText" dxfId="85" priority="17">
      <formula>NOT(ISERROR(SEARCH("TO BUY",AE6)))</formula>
    </cfRule>
  </conditionalFormatting>
  <conditionalFormatting sqref="AE6:AE205">
    <cfRule type="containsText" dxfId="86" priority="18">
      <formula>NOT(ISERROR(SEARCH("NO DATE",AE6)))</formula>
    </cfRule>
  </conditionalFormatting>
  <conditionalFormatting sqref="AE6:AE205">
    <cfRule type="containsText" dxfId="87" priority="19">
      <formula>NOT(ISERROR(SEARCH("NO COUNT",AE6)))</formula>
    </cfRule>
  </conditionalFormatting>
  <conditionalFormatting sqref="AE6:AE205">
    <cfRule type="containsText" dxfId="88" priority="20">
      <formula>NOT(ISERROR(SEARCH("ON TRACK",AE6)))</formula>
    </cfRule>
  </conditionalFormatting>
  <conditionalFormatting sqref="AE6:AE205">
    <cfRule type="containsText" dxfId="89" priority="21">
      <formula>NOT(ISERROR(SEARCH("COMPLETE",AE6)))</formula>
    </cfRule>
  </conditionalFormatting>
  <conditionalFormatting sqref="AE6:AE205">
    <cfRule type="containsText" dxfId="90" priority="22">
      <formula>NOT(ISERROR(SEARCH("DONE",AE6)))</formula>
    </cfRule>
  </conditionalFormatting>
  <conditionalFormatting sqref="AE6:AE205">
    <cfRule type="containsText" dxfId="91" priority="23">
      <formula>NOT(ISERROR(SEARCH("ARRIVED",AE6)))</formula>
    </cfRule>
  </conditionalFormatting>
  <conditionalFormatting sqref="AE6:AE205">
    <cfRule type="containsText" dxfId="92" priority="24">
      <formula>NOT(ISERROR(SEARCH("SETTLED",AE6)))</formula>
    </cfRule>
  </conditionalFormatting>
  <conditionalFormatting sqref="AE6:AE205">
    <cfRule type="containsText" dxfId="93" priority="25">
      <formula>NOT(ISERROR(SEARCH("AT BUDGET",AE6)))</formula>
    </cfRule>
  </conditionalFormatting>
  <conditionalFormatting sqref="AE6:AE205">
    <cfRule type="containsText" dxfId="94" priority="26">
      <formula>NOT(ISERROR(SEARCH("IN STOCK",AE6)))</formula>
    </cfRule>
  </conditionalFormatting>
  <conditionalFormatting sqref="AE6:AE205">
    <cfRule type="containsText" dxfId="95" priority="27">
      <formula>NOT(ISERROR(SEARCH("BOUGHT",AE6)))</formula>
    </cfRule>
  </conditionalFormatting>
  <conditionalFormatting sqref="AE6:AE205">
    <cfRule type="containsText" dxfId="96" priority="28">
      <formula>NOT(ISERROR(SEARCH("READY",AE6)))</formula>
    </cfRule>
  </conditionalFormatting>
  <conditionalFormatting sqref="AE6:AE205">
    <cfRule type="containsText" dxfId="97" priority="29">
      <formula>NOT(ISERROR(SEARCH("NOT SET",AE6)))</formula>
    </cfRule>
  </conditionalFormatting>
  <conditionalFormatting sqref="AE6:AE205">
    <cfRule type="containsText" dxfId="98" priority="30">
      <formula>NOT(ISERROR(SEARCH("NOT STARTED",AE6)))</formula>
    </cfRule>
  </conditionalFormatting>
  <conditionalFormatting sqref="AE6:AE205">
    <cfRule type="containsText" dxfId="99" priority="31">
      <formula>NOT(ISERROR(SEARCH("SCHEDULED",AE6)))</formula>
    </cfRule>
  </conditionalFormatting>
  <conditionalFormatting sqref="AE6:AE205">
    <cfRule type="containsText" dxfId="100" priority="32">
      <formula>NOT(ISERROR(SEARCH("CLOSED",AE6)))</formula>
    </cfRule>
  </conditionalFormatting>
  <conditionalFormatting sqref="AE6:AE205">
    <cfRule type="containsText" dxfId="101" priority="33">
      <formula>NOT(ISERROR(SEARCH("IN THE PANTRY",AE6)))</formula>
    </cfRule>
  </conditionalFormatting>
  <conditionalFormatting sqref="AE6:AE205">
    <cfRule type="containsText" dxfId="102" priority="34">
      <formula>NOT(ISERROR(SEARCH("BALANCE OPEN",AE6)))</formula>
    </cfRule>
  </conditionalFormatting>
  <dataValidations count="15">
    <dataValidation type="list" allowBlank="1" showErrorMessage="1" errorStyle="warning" errorTitle="Not one of the usual values" error="This column normally uses a value from the YesNo list on LISTS. You can keep what you typed, or add it to the list so it appears in the dropdown." sqref="AA6:AA205">
      <formula1>=List_YesNo</formula1>
    </dataValidation>
    <dataValidation type="custom" allowBlank="1" showErrorMessage="1" errorStyle="warning" errorTitle="That is not a date yet" error="Type a real date, so the workbook can count days with it. &quot;Before Christmas&quot; cannot be sorted." sqref="AB6:AB205">
      <formula1>=OR(AB6="",ISNUMBER(AB6))</formula1>
    </dataValidation>
    <dataValidation type="custom" allowBlank="1" showErrorMessage="1" errorStyle="warning" errorTitle="That is not a date yet" error="Type a real date, so the workbook can count days with it. &quot;Before Christmas&quot; cannot be sorted." sqref="AC6:AC205">
      <formula1>=OR(AC6="",ISNUMBER(AC6))</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G6:G205">
      <formula1>=List_BudgetCategory</formula1>
    </dataValidation>
    <dataValidation type="list" allowBlank="1" showErrorMessage="1" errorStyle="warning" errorTitle="Not one of the usual values" error="This column normally uses a value from the Priority list on LISTS. You can keep what you typed, or add it to the list so it appears in the dropdown." sqref="H6:H205">
      <formula1>=List_Priority</formula1>
    </dataValidation>
    <dataValidation type="custom" allowBlank="1" showErrorMessage="1" errorStyle="warning" errorTitle="That looks like text" error="Type the number on its own — no currency symbol and no words. The column adds the symbol for you." sqref="L6:L205">
      <formula1>=OR(L6="",ISNUMBER(L6))</formula1>
    </dataValidation>
    <dataValidation type="custom" allowBlank="1" showErrorMessage="1" errorStyle="warning" errorTitle="That looks like text" error="Type the number on its own — no currency symbol and no words. The column adds the symbol for you." sqref="M6:M205">
      <formula1>=OR(M6="",ISNUMBER(M6))</formula1>
    </dataValidation>
    <dataValidation type="custom" allowBlank="1" showErrorMessage="1" errorStyle="warning" errorTitle="That looks like text" error="Type the number on its own — no currency symbol and no words. The column adds the symbol for you." sqref="N6:N205">
      <formula1>=OR(N6="",ISNUMBER(N6))</formula1>
    </dataValidation>
    <dataValidation type="custom" allowBlank="1" showErrorMessage="1" errorStyle="warning" errorTitle="That looks like text" error="Type the number on its own — no currency symbol and no words. The column adds the symbol for you." sqref="O6:O205">
      <formula1>=OR(O6="",ISNUMBER(O6))</formula1>
    </dataValidation>
    <dataValidation type="custom" allowBlank="1" showErrorMessage="1" errorStyle="warning" errorTitle="That looks like text" error="Type the number on its own — no currency symbol and no words. The column adds the symbol for you." sqref="P6:P205">
      <formula1>=OR(P6="",ISNUMBER(P6))</formula1>
    </dataValidation>
    <dataValidation type="custom" allowBlank="1" showErrorMessage="1" errorStyle="warning" errorTitle="That looks like text" error="Type the number on its own — no currency symbol and no words. The column adds the symbol for you." sqref="R6:R205">
      <formula1>=OR(R6="",ISNUMBER(R6))</formula1>
    </dataValidation>
    <dataValidation type="list" allowBlank="1" showErrorMessage="1" errorStyle="warning" errorTitle="Not one of the usual values" error="This column normally uses a value from the GiftStatus list on LISTS. You can keep what you typed, or add it to the list so it appears in the dropdown." sqref="S6:S205">
      <formula1>=List_GiftStatus</formula1>
    </dataValidation>
    <dataValidation type="list" allowBlank="1" showErrorMessage="1" errorStyle="warning" errorTitle="Not one of the usual values" error="This column normally uses a value from the DeliveryType list on LISTS. You can keep what you typed, or add it to the list so it appears in the dropdown." sqref="V6:V205">
      <formula1>=List_DeliveryType</formula1>
    </dataValidation>
    <dataValidation type="list" allowBlank="1" showErrorMessage="1" errorStyle="warning" errorTitle="Not one of the usual values" error="This column normally uses a value from the GiftType list on LISTS. You can keep what you typed, or add it to the list so it appears in the dropdown." sqref="Y6:Y205">
      <formula1>=List_GiftType</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Z6:Z205">
      <formula1>=List_YesNo</formula1>
    </dataValidation>
  </dataValidations>
  <hyperlinks>
    <hyperlink ref="B1" r:id="rId1" location="#'DASHBOARD'!A1"/>
    <hyperlink ref="D1" r:id="rId2" location="#'START HERE'!A1"/>
    <hyperlink ref="E1" r:id="rId3" location="#'CHRISTMAS CALENDAR'!A1"/>
    <hyperlink ref="G1" r:id="rId4" location="#'MASTER BUDGET'!A1"/>
    <hyperlink ref="H1" r:id="rId5" location="#'SHEET INDEX'!A1"/>
  </hyperlinks>
  <pageMargins left="0.4" right="0.4" top="0.6" bottom="0.6" header="0.3" footer="0.3"/>
  <pageSetup orientation="landscape" fitToWidth="1" fitToHeight="0"/>
  <headerFooter>
    <oddFooter>&amp;LGIFT PLANNER&amp;C&amp;P of &amp;N&amp;RThe Christmas Season Master Command Center™</oddFooter>
  </headerFooter>
  <legacyDrawing r:id="rId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R15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3" width="11" customWidth="1"/>
    <col min="4" max="4" width="20" customWidth="1"/>
    <col min="5" max="5" width="30" customWidth="1"/>
    <col min="6" max="6" width="17" customWidth="1"/>
    <col min="7" max="7" width="18" customWidth="1"/>
    <col min="8" max="8" width="10" customWidth="1"/>
    <col min="9" max="11" width="13" customWidth="1"/>
    <col min="12" max="12" width="14" customWidth="1"/>
    <col min="13" max="13" width="11" customWidth="1"/>
    <col min="14" max="14" width="34" customWidth="1"/>
    <col min="15" max="17" width="18" hidden="1" customWidth="1"/>
    <col min="18" max="18" width="2" customWidth="1"/>
  </cols>
  <sheetData>
    <row r="1" ht="21" customHeight="1" spans="1:18" x14ac:dyDescent="0.25">
      <c r="A1" s="62"/>
      <c r="B1" s="63" t="s">
        <v>8</v>
      </c>
      <c r="C1" s="63"/>
      <c r="D1" s="63" t="s">
        <v>9</v>
      </c>
      <c r="E1" s="63" t="s">
        <v>10</v>
      </c>
      <c r="F1" s="63" t="s">
        <v>11</v>
      </c>
      <c r="G1" s="63" t="s">
        <v>12</v>
      </c>
      <c r="H1" s="62"/>
      <c r="I1" s="62"/>
      <c r="J1" s="62"/>
      <c r="K1" s="62"/>
      <c r="L1" s="62"/>
      <c r="M1" s="62"/>
      <c r="N1" s="62"/>
      <c r="O1" s="62"/>
      <c r="P1" s="62"/>
      <c r="Q1" s="62"/>
      <c r="R1" s="62"/>
    </row>
    <row r="2" ht="34" customHeight="1" spans="1:18" x14ac:dyDescent="0.25">
      <c r="A2" s="64"/>
      <c r="B2" s="65" t="s">
        <v>349</v>
      </c>
      <c r="C2" s="64"/>
      <c r="D2" s="64"/>
      <c r="E2" s="64"/>
      <c r="F2" s="64"/>
      <c r="G2" s="64"/>
      <c r="H2" s="64"/>
      <c r="I2" s="64"/>
      <c r="J2" s="64"/>
      <c r="K2" s="64"/>
      <c r="L2" s="64"/>
      <c r="M2" s="64"/>
      <c r="N2" s="64"/>
      <c r="O2" s="64"/>
      <c r="P2" s="64"/>
      <c r="Q2" s="64"/>
      <c r="R2" s="64"/>
    </row>
    <row r="3" ht="18" customHeight="1" spans="1:18" x14ac:dyDescent="0.25">
      <c r="A3" s="64"/>
      <c r="B3" s="66" t="s">
        <v>350</v>
      </c>
      <c r="C3" s="64"/>
      <c r="D3" s="64"/>
      <c r="E3" s="64"/>
      <c r="F3" s="64"/>
      <c r="G3" s="64"/>
      <c r="H3" s="64"/>
      <c r="I3" s="64"/>
      <c r="J3" s="64"/>
      <c r="K3" s="64"/>
      <c r="L3" s="64"/>
      <c r="M3" s="64"/>
      <c r="N3" s="64"/>
      <c r="O3" s="64"/>
      <c r="P3" s="64"/>
      <c r="Q3" s="64"/>
      <c r="R3" s="64"/>
    </row>
    <row r="4" ht="17" customHeight="1" spans="1:18" x14ac:dyDescent="0.25">
      <c r="A4" s="64"/>
      <c r="B4" s="67" t="s">
        <v>160</v>
      </c>
      <c r="C4" s="64"/>
      <c r="D4" s="64"/>
      <c r="E4" s="64"/>
      <c r="F4" s="64"/>
      <c r="G4" s="64"/>
      <c r="H4" s="64"/>
      <c r="I4" s="64"/>
      <c r="J4" s="64"/>
      <c r="K4" s="64"/>
      <c r="L4" s="64"/>
      <c r="M4" s="64"/>
      <c r="N4" s="64"/>
      <c r="O4" s="64"/>
      <c r="P4" s="64"/>
      <c r="Q4" s="64"/>
      <c r="R4" s="64"/>
    </row>
    <row r="5" ht="32" customHeight="1" spans="1:18" x14ac:dyDescent="0.25">
      <c r="A5" s="73"/>
      <c r="B5" s="74" t="s">
        <v>351</v>
      </c>
      <c r="C5" s="74" t="s">
        <v>197</v>
      </c>
      <c r="D5" s="74" t="s">
        <v>298</v>
      </c>
      <c r="E5" s="74" t="s">
        <v>352</v>
      </c>
      <c r="F5" s="74" t="s">
        <v>300</v>
      </c>
      <c r="G5" s="74" t="s">
        <v>303</v>
      </c>
      <c r="H5" s="74" t="s">
        <v>304</v>
      </c>
      <c r="I5" s="74" t="s">
        <v>305</v>
      </c>
      <c r="J5" s="74" t="s">
        <v>309</v>
      </c>
      <c r="K5" s="74" t="s">
        <v>310</v>
      </c>
      <c r="L5" s="74" t="s">
        <v>260</v>
      </c>
      <c r="M5" s="74" t="s">
        <v>353</v>
      </c>
      <c r="N5" s="74" t="s">
        <v>179</v>
      </c>
      <c r="O5" s="74" t="s">
        <v>180</v>
      </c>
      <c r="P5" s="74" t="s">
        <v>323</v>
      </c>
      <c r="Q5" s="74" t="s">
        <v>324</v>
      </c>
      <c r="R5" s="73"/>
    </row>
    <row r="6" ht="17" customHeight="1" spans="1:18" x14ac:dyDescent="0.25">
      <c r="A6" s="75"/>
      <c r="B6" s="76" t="s">
        <v>354</v>
      </c>
      <c r="C6" s="76" t="s">
        <v>213</v>
      </c>
      <c r="D6" s="78">
        <f>IF($B6="","",IF($C6="","",IFERROR(IF(INDEX('PEOPLE + BUDGETS'!$C$6:$C$105,MATCH($C6,'PEOPLE + BUDGETS'!$B$6:$B$105,0))="","",INDEX('PEOPLE + BUDGETS'!$C$6:$C$105,MATCH($C6,'PEOPLE + BUDGETS'!$B$6:$B$105,0))),"")))</f>
      </c>
      <c r="E6" s="77" t="s">
        <v>355</v>
      </c>
      <c r="F6" s="76" t="s">
        <v>275</v>
      </c>
      <c r="G6" s="76" t="s">
        <v>356</v>
      </c>
      <c r="H6" s="89">
        <v>1</v>
      </c>
      <c r="I6" s="84">
        <v>9.5</v>
      </c>
      <c r="J6" s="85">
        <f>IF($B6="","",ROUND($H6*$I6,2))</f>
      </c>
      <c r="K6" s="84">
        <v>9.5</v>
      </c>
      <c r="L6" s="76" t="s">
        <v>331</v>
      </c>
      <c r="M6" s="76" t="s">
        <v>185</v>
      </c>
      <c r="N6" s="77" t="s">
        <v>186</v>
      </c>
      <c r="O6" s="78">
        <f>IF($B6="",0,IF(COUNTIF('STOCKING STUFFERS'!$B$6:$B$155,$B6)&gt;1,1,0))</f>
      </c>
      <c r="P6" s="78">
        <f>IF(OR(N($J6)&gt;0,N($K6)&gt;0),IF($F6="",1,IF(COUNTIF('MASTER BUDGET'!$D$6:$D$25,$F6)=0,1,0)),0)</f>
      </c>
      <c r="Q6" s="78">
        <f>IF($C6="",0,IF(COUNTIF('PEOPLE + BUDGETS'!$B$6:$B$105,$C6)=0,1,0))</f>
      </c>
      <c r="R6" s="75"/>
    </row>
    <row r="7" ht="17" customHeight="1" spans="1:18" x14ac:dyDescent="0.25">
      <c r="A7" s="75"/>
      <c r="B7" s="76" t="s">
        <v>357</v>
      </c>
      <c r="C7" s="76" t="s">
        <v>227</v>
      </c>
      <c r="D7" s="78">
        <f>IF($B7="","",IF($C7="","",IFERROR(IF(INDEX('PEOPLE + BUDGETS'!$C$6:$C$105,MATCH($C7,'PEOPLE + BUDGETS'!$B$6:$B$105,0))="","",INDEX('PEOPLE + BUDGETS'!$C$6:$C$105,MATCH($C7,'PEOPLE + BUDGETS'!$B$6:$B$105,0))),"")))</f>
      </c>
      <c r="E7" s="77" t="s">
        <v>358</v>
      </c>
      <c r="F7" s="76" t="s">
        <v>275</v>
      </c>
      <c r="G7" s="76" t="s">
        <v>359</v>
      </c>
      <c r="H7" s="89">
        <v>2</v>
      </c>
      <c r="I7" s="84">
        <v>14</v>
      </c>
      <c r="J7" s="85">
        <f>IF($B7="","",ROUND($H7*$I7,2))</f>
      </c>
      <c r="K7" s="84"/>
      <c r="L7" s="76" t="s">
        <v>360</v>
      </c>
      <c r="M7" s="76" t="s">
        <v>194</v>
      </c>
      <c r="N7" s="77" t="s">
        <v>186</v>
      </c>
      <c r="O7" s="78">
        <f>IF($B7="",0,IF(COUNTIF('STOCKING STUFFERS'!$B$6:$B$155,$B7)&gt;1,1,0))</f>
      </c>
      <c r="P7" s="78">
        <f>IF(OR(N($J7)&gt;0,N($K7)&gt;0),IF($F7="",1,IF(COUNTIF('MASTER BUDGET'!$D$6:$D$25,$F7)=0,1,0)),0)</f>
      </c>
      <c r="Q7" s="78">
        <f>IF($C7="",0,IF(COUNTIF('PEOPLE + BUDGETS'!$B$6:$B$105,$C7)=0,1,0))</f>
      </c>
      <c r="R7" s="75"/>
    </row>
    <row r="8" ht="17" customHeight="1" spans="1:18" x14ac:dyDescent="0.25">
      <c r="A8" s="75"/>
      <c r="B8" s="76" t="s">
        <v>361</v>
      </c>
      <c r="C8" s="76" t="s">
        <v>239</v>
      </c>
      <c r="D8" s="78">
        <f>IF($B8="","",IF($C8="","",IFERROR(IF(INDEX('PEOPLE + BUDGETS'!$C$6:$C$105,MATCH($C8,'PEOPLE + BUDGETS'!$B$6:$B$105,0))="","",INDEX('PEOPLE + BUDGETS'!$C$6:$C$105,MATCH($C8,'PEOPLE + BUDGETS'!$B$6:$B$105,0))),"")))</f>
      </c>
      <c r="E8" s="77" t="s">
        <v>362</v>
      </c>
      <c r="F8" s="76" t="s">
        <v>275</v>
      </c>
      <c r="G8" s="76" t="s">
        <v>363</v>
      </c>
      <c r="H8" s="89">
        <v>1</v>
      </c>
      <c r="I8" s="84">
        <v>18</v>
      </c>
      <c r="J8" s="85">
        <f>IF($B8="","",ROUND($H8*$I8,2))</f>
      </c>
      <c r="K8" s="84"/>
      <c r="L8" s="76" t="s">
        <v>340</v>
      </c>
      <c r="M8" s="76" t="s">
        <v>194</v>
      </c>
      <c r="N8" s="77" t="s">
        <v>186</v>
      </c>
      <c r="O8" s="78">
        <f>IF($B8="",0,IF(COUNTIF('STOCKING STUFFERS'!$B$6:$B$155,$B8)&gt;1,1,0))</f>
      </c>
      <c r="P8" s="78">
        <f>IF(OR(N($J8)&gt;0,N($K8)&gt;0),IF($F8="",1,IF(COUNTIF('MASTER BUDGET'!$D$6:$D$25,$F8)=0,1,0)),0)</f>
      </c>
      <c r="Q8" s="78">
        <f>IF($C8="",0,IF(COUNTIF('PEOPLE + BUDGETS'!$B$6:$B$105,$C8)=0,1,0))</f>
      </c>
      <c r="R8" s="75"/>
    </row>
    <row r="9" ht="17" customHeight="1" spans="1:18" x14ac:dyDescent="0.25">
      <c r="A9" s="75"/>
      <c r="B9" s="79"/>
      <c r="C9" s="79"/>
      <c r="D9" s="78">
        <f>IF($B9="","",IF($C9="","",IFERROR(IF(INDEX('PEOPLE + BUDGETS'!$C$6:$C$105,MATCH($C9,'PEOPLE + BUDGETS'!$B$6:$B$105,0))="","",INDEX('PEOPLE + BUDGETS'!$C$6:$C$105,MATCH($C9,'PEOPLE + BUDGETS'!$B$6:$B$105,0))),"")))</f>
      </c>
      <c r="E9" s="80"/>
      <c r="F9" s="79"/>
      <c r="G9" s="79"/>
      <c r="H9" s="90"/>
      <c r="I9" s="86"/>
      <c r="J9" s="85">
        <f>IF($B9="","",ROUND($H9*$I9,2))</f>
      </c>
      <c r="K9" s="86"/>
      <c r="L9" s="79"/>
      <c r="M9" s="79"/>
      <c r="N9" s="80"/>
      <c r="O9" s="78">
        <f>IF($B9="",0,IF(COUNTIF('STOCKING STUFFERS'!$B$6:$B$155,$B9)&gt;1,1,0))</f>
      </c>
      <c r="P9" s="78">
        <f>IF(OR(N($J9)&gt;0,N($K9)&gt;0),IF($F9="",1,IF(COUNTIF('MASTER BUDGET'!$D$6:$D$25,$F9)=0,1,0)),0)</f>
      </c>
      <c r="Q9" s="78">
        <f>IF($C9="",0,IF(COUNTIF('PEOPLE + BUDGETS'!$B$6:$B$105,$C9)=0,1,0))</f>
      </c>
      <c r="R9" s="75"/>
    </row>
    <row r="10" ht="17" customHeight="1" spans="1:18" x14ac:dyDescent="0.25">
      <c r="A10" s="75"/>
      <c r="B10" s="79"/>
      <c r="C10" s="79"/>
      <c r="D10" s="78">
        <f>IF($B10="","",IF($C10="","",IFERROR(IF(INDEX('PEOPLE + BUDGETS'!$C$6:$C$105,MATCH($C10,'PEOPLE + BUDGETS'!$B$6:$B$105,0))="","",INDEX('PEOPLE + BUDGETS'!$C$6:$C$105,MATCH($C10,'PEOPLE + BUDGETS'!$B$6:$B$105,0))),"")))</f>
      </c>
      <c r="E10" s="80"/>
      <c r="F10" s="79"/>
      <c r="G10" s="79"/>
      <c r="H10" s="90"/>
      <c r="I10" s="86"/>
      <c r="J10" s="85">
        <f>IF($B10="","",ROUND($H10*$I10,2))</f>
      </c>
      <c r="K10" s="86"/>
      <c r="L10" s="79"/>
      <c r="M10" s="79"/>
      <c r="N10" s="80"/>
      <c r="O10" s="78">
        <f>IF($B10="",0,IF(COUNTIF('STOCKING STUFFERS'!$B$6:$B$155,$B10)&gt;1,1,0))</f>
      </c>
      <c r="P10" s="78">
        <f>IF(OR(N($J10)&gt;0,N($K10)&gt;0),IF($F10="",1,IF(COUNTIF('MASTER BUDGET'!$D$6:$D$25,$F10)=0,1,0)),0)</f>
      </c>
      <c r="Q10" s="78">
        <f>IF($C10="",0,IF(COUNTIF('PEOPLE + BUDGETS'!$B$6:$B$105,$C10)=0,1,0))</f>
      </c>
      <c r="R10" s="75"/>
    </row>
    <row r="11" ht="17" customHeight="1" spans="1:18" x14ac:dyDescent="0.25">
      <c r="A11" s="75"/>
      <c r="B11" s="79"/>
      <c r="C11" s="79"/>
      <c r="D11" s="78">
        <f>IF($B11="","",IF($C11="","",IFERROR(IF(INDEX('PEOPLE + BUDGETS'!$C$6:$C$105,MATCH($C11,'PEOPLE + BUDGETS'!$B$6:$B$105,0))="","",INDEX('PEOPLE + BUDGETS'!$C$6:$C$105,MATCH($C11,'PEOPLE + BUDGETS'!$B$6:$B$105,0))),"")))</f>
      </c>
      <c r="E11" s="80"/>
      <c r="F11" s="79"/>
      <c r="G11" s="79"/>
      <c r="H11" s="90"/>
      <c r="I11" s="86"/>
      <c r="J11" s="85">
        <f>IF($B11="","",ROUND($H11*$I11,2))</f>
      </c>
      <c r="K11" s="86"/>
      <c r="L11" s="79"/>
      <c r="M11" s="79"/>
      <c r="N11" s="80"/>
      <c r="O11" s="78">
        <f>IF($B11="",0,IF(COUNTIF('STOCKING STUFFERS'!$B$6:$B$155,$B11)&gt;1,1,0))</f>
      </c>
      <c r="P11" s="78">
        <f>IF(OR(N($J11)&gt;0,N($K11)&gt;0),IF($F11="",1,IF(COUNTIF('MASTER BUDGET'!$D$6:$D$25,$F11)=0,1,0)),0)</f>
      </c>
      <c r="Q11" s="78">
        <f>IF($C11="",0,IF(COUNTIF('PEOPLE + BUDGETS'!$B$6:$B$105,$C11)=0,1,0))</f>
      </c>
      <c r="R11" s="75"/>
    </row>
    <row r="12" ht="17" customHeight="1" spans="1:18" x14ac:dyDescent="0.25">
      <c r="A12" s="75"/>
      <c r="B12" s="79"/>
      <c r="C12" s="79"/>
      <c r="D12" s="78">
        <f>IF($B12="","",IF($C12="","",IFERROR(IF(INDEX('PEOPLE + BUDGETS'!$C$6:$C$105,MATCH($C12,'PEOPLE + BUDGETS'!$B$6:$B$105,0))="","",INDEX('PEOPLE + BUDGETS'!$C$6:$C$105,MATCH($C12,'PEOPLE + BUDGETS'!$B$6:$B$105,0))),"")))</f>
      </c>
      <c r="E12" s="80"/>
      <c r="F12" s="79"/>
      <c r="G12" s="79"/>
      <c r="H12" s="90"/>
      <c r="I12" s="86"/>
      <c r="J12" s="85">
        <f>IF($B12="","",ROUND($H12*$I12,2))</f>
      </c>
      <c r="K12" s="86"/>
      <c r="L12" s="79"/>
      <c r="M12" s="79"/>
      <c r="N12" s="80"/>
      <c r="O12" s="78">
        <f>IF($B12="",0,IF(COUNTIF('STOCKING STUFFERS'!$B$6:$B$155,$B12)&gt;1,1,0))</f>
      </c>
      <c r="P12" s="78">
        <f>IF(OR(N($J12)&gt;0,N($K12)&gt;0),IF($F12="",1,IF(COUNTIF('MASTER BUDGET'!$D$6:$D$25,$F12)=0,1,0)),0)</f>
      </c>
      <c r="Q12" s="78">
        <f>IF($C12="",0,IF(COUNTIF('PEOPLE + BUDGETS'!$B$6:$B$105,$C12)=0,1,0))</f>
      </c>
      <c r="R12" s="75"/>
    </row>
    <row r="13" ht="17" customHeight="1" spans="1:18" x14ac:dyDescent="0.25">
      <c r="A13" s="75"/>
      <c r="B13" s="79"/>
      <c r="C13" s="79"/>
      <c r="D13" s="78">
        <f>IF($B13="","",IF($C13="","",IFERROR(IF(INDEX('PEOPLE + BUDGETS'!$C$6:$C$105,MATCH($C13,'PEOPLE + BUDGETS'!$B$6:$B$105,0))="","",INDEX('PEOPLE + BUDGETS'!$C$6:$C$105,MATCH($C13,'PEOPLE + BUDGETS'!$B$6:$B$105,0))),"")))</f>
      </c>
      <c r="E13" s="80"/>
      <c r="F13" s="79"/>
      <c r="G13" s="79"/>
      <c r="H13" s="90"/>
      <c r="I13" s="86"/>
      <c r="J13" s="85">
        <f>IF($B13="","",ROUND($H13*$I13,2))</f>
      </c>
      <c r="K13" s="86"/>
      <c r="L13" s="79"/>
      <c r="M13" s="79"/>
      <c r="N13" s="80"/>
      <c r="O13" s="78">
        <f>IF($B13="",0,IF(COUNTIF('STOCKING STUFFERS'!$B$6:$B$155,$B13)&gt;1,1,0))</f>
      </c>
      <c r="P13" s="78">
        <f>IF(OR(N($J13)&gt;0,N($K13)&gt;0),IF($F13="",1,IF(COUNTIF('MASTER BUDGET'!$D$6:$D$25,$F13)=0,1,0)),0)</f>
      </c>
      <c r="Q13" s="78">
        <f>IF($C13="",0,IF(COUNTIF('PEOPLE + BUDGETS'!$B$6:$B$105,$C13)=0,1,0))</f>
      </c>
      <c r="R13" s="75"/>
    </row>
    <row r="14" ht="17" customHeight="1" spans="1:18" x14ac:dyDescent="0.25">
      <c r="A14" s="75"/>
      <c r="B14" s="79"/>
      <c r="C14" s="79"/>
      <c r="D14" s="78">
        <f>IF($B14="","",IF($C14="","",IFERROR(IF(INDEX('PEOPLE + BUDGETS'!$C$6:$C$105,MATCH($C14,'PEOPLE + BUDGETS'!$B$6:$B$105,0))="","",INDEX('PEOPLE + BUDGETS'!$C$6:$C$105,MATCH($C14,'PEOPLE + BUDGETS'!$B$6:$B$105,0))),"")))</f>
      </c>
      <c r="E14" s="80"/>
      <c r="F14" s="79"/>
      <c r="G14" s="79"/>
      <c r="H14" s="90"/>
      <c r="I14" s="86"/>
      <c r="J14" s="85">
        <f>IF($B14="","",ROUND($H14*$I14,2))</f>
      </c>
      <c r="K14" s="86"/>
      <c r="L14" s="79"/>
      <c r="M14" s="79"/>
      <c r="N14" s="80"/>
      <c r="O14" s="78">
        <f>IF($B14="",0,IF(COUNTIF('STOCKING STUFFERS'!$B$6:$B$155,$B14)&gt;1,1,0))</f>
      </c>
      <c r="P14" s="78">
        <f>IF(OR(N($J14)&gt;0,N($K14)&gt;0),IF($F14="",1,IF(COUNTIF('MASTER BUDGET'!$D$6:$D$25,$F14)=0,1,0)),0)</f>
      </c>
      <c r="Q14" s="78">
        <f>IF($C14="",0,IF(COUNTIF('PEOPLE + BUDGETS'!$B$6:$B$105,$C14)=0,1,0))</f>
      </c>
      <c r="R14" s="75"/>
    </row>
    <row r="15" ht="17" customHeight="1" spans="1:18" x14ac:dyDescent="0.25">
      <c r="A15" s="75"/>
      <c r="B15" s="79"/>
      <c r="C15" s="79"/>
      <c r="D15" s="78">
        <f>IF($B15="","",IF($C15="","",IFERROR(IF(INDEX('PEOPLE + BUDGETS'!$C$6:$C$105,MATCH($C15,'PEOPLE + BUDGETS'!$B$6:$B$105,0))="","",INDEX('PEOPLE + BUDGETS'!$C$6:$C$105,MATCH($C15,'PEOPLE + BUDGETS'!$B$6:$B$105,0))),"")))</f>
      </c>
      <c r="E15" s="80"/>
      <c r="F15" s="79"/>
      <c r="G15" s="79"/>
      <c r="H15" s="90"/>
      <c r="I15" s="86"/>
      <c r="J15" s="85">
        <f>IF($B15="","",ROUND($H15*$I15,2))</f>
      </c>
      <c r="K15" s="86"/>
      <c r="L15" s="79"/>
      <c r="M15" s="79"/>
      <c r="N15" s="80"/>
      <c r="O15" s="78">
        <f>IF($B15="",0,IF(COUNTIF('STOCKING STUFFERS'!$B$6:$B$155,$B15)&gt;1,1,0))</f>
      </c>
      <c r="P15" s="78">
        <f>IF(OR(N($J15)&gt;0,N($K15)&gt;0),IF($F15="",1,IF(COUNTIF('MASTER BUDGET'!$D$6:$D$25,$F15)=0,1,0)),0)</f>
      </c>
      <c r="Q15" s="78">
        <f>IF($C15="",0,IF(COUNTIF('PEOPLE + BUDGETS'!$B$6:$B$105,$C15)=0,1,0))</f>
      </c>
      <c r="R15" s="75"/>
    </row>
    <row r="16" ht="17" customHeight="1" spans="1:18" x14ac:dyDescent="0.25">
      <c r="A16" s="75"/>
      <c r="B16" s="79"/>
      <c r="C16" s="79"/>
      <c r="D16" s="78">
        <f>IF($B16="","",IF($C16="","",IFERROR(IF(INDEX('PEOPLE + BUDGETS'!$C$6:$C$105,MATCH($C16,'PEOPLE + BUDGETS'!$B$6:$B$105,0))="","",INDEX('PEOPLE + BUDGETS'!$C$6:$C$105,MATCH($C16,'PEOPLE + BUDGETS'!$B$6:$B$105,0))),"")))</f>
      </c>
      <c r="E16" s="80"/>
      <c r="F16" s="79"/>
      <c r="G16" s="79"/>
      <c r="H16" s="90"/>
      <c r="I16" s="86"/>
      <c r="J16" s="85">
        <f>IF($B16="","",ROUND($H16*$I16,2))</f>
      </c>
      <c r="K16" s="86"/>
      <c r="L16" s="79"/>
      <c r="M16" s="79"/>
      <c r="N16" s="80"/>
      <c r="O16" s="78">
        <f>IF($B16="",0,IF(COUNTIF('STOCKING STUFFERS'!$B$6:$B$155,$B16)&gt;1,1,0))</f>
      </c>
      <c r="P16" s="78">
        <f>IF(OR(N($J16)&gt;0,N($K16)&gt;0),IF($F16="",1,IF(COUNTIF('MASTER BUDGET'!$D$6:$D$25,$F16)=0,1,0)),0)</f>
      </c>
      <c r="Q16" s="78">
        <f>IF($C16="",0,IF(COUNTIF('PEOPLE + BUDGETS'!$B$6:$B$105,$C16)=0,1,0))</f>
      </c>
      <c r="R16" s="75"/>
    </row>
    <row r="17" ht="17" customHeight="1" spans="1:18" x14ac:dyDescent="0.25">
      <c r="A17" s="75"/>
      <c r="B17" s="79"/>
      <c r="C17" s="79"/>
      <c r="D17" s="78">
        <f>IF($B17="","",IF($C17="","",IFERROR(IF(INDEX('PEOPLE + BUDGETS'!$C$6:$C$105,MATCH($C17,'PEOPLE + BUDGETS'!$B$6:$B$105,0))="","",INDEX('PEOPLE + BUDGETS'!$C$6:$C$105,MATCH($C17,'PEOPLE + BUDGETS'!$B$6:$B$105,0))),"")))</f>
      </c>
      <c r="E17" s="80"/>
      <c r="F17" s="79"/>
      <c r="G17" s="79"/>
      <c r="H17" s="90"/>
      <c r="I17" s="86"/>
      <c r="J17" s="85">
        <f>IF($B17="","",ROUND($H17*$I17,2))</f>
      </c>
      <c r="K17" s="86"/>
      <c r="L17" s="79"/>
      <c r="M17" s="79"/>
      <c r="N17" s="80"/>
      <c r="O17" s="78">
        <f>IF($B17="",0,IF(COUNTIF('STOCKING STUFFERS'!$B$6:$B$155,$B17)&gt;1,1,0))</f>
      </c>
      <c r="P17" s="78">
        <f>IF(OR(N($J17)&gt;0,N($K17)&gt;0),IF($F17="",1,IF(COUNTIF('MASTER BUDGET'!$D$6:$D$25,$F17)=0,1,0)),0)</f>
      </c>
      <c r="Q17" s="78">
        <f>IF($C17="",0,IF(COUNTIF('PEOPLE + BUDGETS'!$B$6:$B$105,$C17)=0,1,0))</f>
      </c>
      <c r="R17" s="75"/>
    </row>
    <row r="18" ht="17" customHeight="1" spans="1:18" x14ac:dyDescent="0.25">
      <c r="A18" s="75"/>
      <c r="B18" s="79"/>
      <c r="C18" s="79"/>
      <c r="D18" s="78">
        <f>IF($B18="","",IF($C18="","",IFERROR(IF(INDEX('PEOPLE + BUDGETS'!$C$6:$C$105,MATCH($C18,'PEOPLE + BUDGETS'!$B$6:$B$105,0))="","",INDEX('PEOPLE + BUDGETS'!$C$6:$C$105,MATCH($C18,'PEOPLE + BUDGETS'!$B$6:$B$105,0))),"")))</f>
      </c>
      <c r="E18" s="80"/>
      <c r="F18" s="79"/>
      <c r="G18" s="79"/>
      <c r="H18" s="90"/>
      <c r="I18" s="86"/>
      <c r="J18" s="85">
        <f>IF($B18="","",ROUND($H18*$I18,2))</f>
      </c>
      <c r="K18" s="86"/>
      <c r="L18" s="79"/>
      <c r="M18" s="79"/>
      <c r="N18" s="80"/>
      <c r="O18" s="78">
        <f>IF($B18="",0,IF(COUNTIF('STOCKING STUFFERS'!$B$6:$B$155,$B18)&gt;1,1,0))</f>
      </c>
      <c r="P18" s="78">
        <f>IF(OR(N($J18)&gt;0,N($K18)&gt;0),IF($F18="",1,IF(COUNTIF('MASTER BUDGET'!$D$6:$D$25,$F18)=0,1,0)),0)</f>
      </c>
      <c r="Q18" s="78">
        <f>IF($C18="",0,IF(COUNTIF('PEOPLE + BUDGETS'!$B$6:$B$105,$C18)=0,1,0))</f>
      </c>
      <c r="R18" s="75"/>
    </row>
    <row r="19" ht="17" customHeight="1" spans="1:18" x14ac:dyDescent="0.25">
      <c r="A19" s="75"/>
      <c r="B19" s="79"/>
      <c r="C19" s="79"/>
      <c r="D19" s="78">
        <f>IF($B19="","",IF($C19="","",IFERROR(IF(INDEX('PEOPLE + BUDGETS'!$C$6:$C$105,MATCH($C19,'PEOPLE + BUDGETS'!$B$6:$B$105,0))="","",INDEX('PEOPLE + BUDGETS'!$C$6:$C$105,MATCH($C19,'PEOPLE + BUDGETS'!$B$6:$B$105,0))),"")))</f>
      </c>
      <c r="E19" s="80"/>
      <c r="F19" s="79"/>
      <c r="G19" s="79"/>
      <c r="H19" s="90"/>
      <c r="I19" s="86"/>
      <c r="J19" s="85">
        <f>IF($B19="","",ROUND($H19*$I19,2))</f>
      </c>
      <c r="K19" s="86"/>
      <c r="L19" s="79"/>
      <c r="M19" s="79"/>
      <c r="N19" s="80"/>
      <c r="O19" s="78">
        <f>IF($B19="",0,IF(COUNTIF('STOCKING STUFFERS'!$B$6:$B$155,$B19)&gt;1,1,0))</f>
      </c>
      <c r="P19" s="78">
        <f>IF(OR(N($J19)&gt;0,N($K19)&gt;0),IF($F19="",1,IF(COUNTIF('MASTER BUDGET'!$D$6:$D$25,$F19)=0,1,0)),0)</f>
      </c>
      <c r="Q19" s="78">
        <f>IF($C19="",0,IF(COUNTIF('PEOPLE + BUDGETS'!$B$6:$B$105,$C19)=0,1,0))</f>
      </c>
      <c r="R19" s="75"/>
    </row>
    <row r="20" ht="17" customHeight="1" spans="1:18" x14ac:dyDescent="0.25">
      <c r="A20" s="75"/>
      <c r="B20" s="79"/>
      <c r="C20" s="79"/>
      <c r="D20" s="78">
        <f>IF($B20="","",IF($C20="","",IFERROR(IF(INDEX('PEOPLE + BUDGETS'!$C$6:$C$105,MATCH($C20,'PEOPLE + BUDGETS'!$B$6:$B$105,0))="","",INDEX('PEOPLE + BUDGETS'!$C$6:$C$105,MATCH($C20,'PEOPLE + BUDGETS'!$B$6:$B$105,0))),"")))</f>
      </c>
      <c r="E20" s="80"/>
      <c r="F20" s="79"/>
      <c r="G20" s="79"/>
      <c r="H20" s="90"/>
      <c r="I20" s="86"/>
      <c r="J20" s="85">
        <f>IF($B20="","",ROUND($H20*$I20,2))</f>
      </c>
      <c r="K20" s="86"/>
      <c r="L20" s="79"/>
      <c r="M20" s="79"/>
      <c r="N20" s="80"/>
      <c r="O20" s="78">
        <f>IF($B20="",0,IF(COUNTIF('STOCKING STUFFERS'!$B$6:$B$155,$B20)&gt;1,1,0))</f>
      </c>
      <c r="P20" s="78">
        <f>IF(OR(N($J20)&gt;0,N($K20)&gt;0),IF($F20="",1,IF(COUNTIF('MASTER BUDGET'!$D$6:$D$25,$F20)=0,1,0)),0)</f>
      </c>
      <c r="Q20" s="78">
        <f>IF($C20="",0,IF(COUNTIF('PEOPLE + BUDGETS'!$B$6:$B$105,$C20)=0,1,0))</f>
      </c>
      <c r="R20" s="75"/>
    </row>
    <row r="21" ht="17" customHeight="1" spans="1:18" x14ac:dyDescent="0.25">
      <c r="A21" s="75"/>
      <c r="B21" s="79"/>
      <c r="C21" s="79"/>
      <c r="D21" s="78">
        <f>IF($B21="","",IF($C21="","",IFERROR(IF(INDEX('PEOPLE + BUDGETS'!$C$6:$C$105,MATCH($C21,'PEOPLE + BUDGETS'!$B$6:$B$105,0))="","",INDEX('PEOPLE + BUDGETS'!$C$6:$C$105,MATCH($C21,'PEOPLE + BUDGETS'!$B$6:$B$105,0))),"")))</f>
      </c>
      <c r="E21" s="80"/>
      <c r="F21" s="79"/>
      <c r="G21" s="79"/>
      <c r="H21" s="90"/>
      <c r="I21" s="86"/>
      <c r="J21" s="85">
        <f>IF($B21="","",ROUND($H21*$I21,2))</f>
      </c>
      <c r="K21" s="86"/>
      <c r="L21" s="79"/>
      <c r="M21" s="79"/>
      <c r="N21" s="80"/>
      <c r="O21" s="78">
        <f>IF($B21="",0,IF(COUNTIF('STOCKING STUFFERS'!$B$6:$B$155,$B21)&gt;1,1,0))</f>
      </c>
      <c r="P21" s="78">
        <f>IF(OR(N($J21)&gt;0,N($K21)&gt;0),IF($F21="",1,IF(COUNTIF('MASTER BUDGET'!$D$6:$D$25,$F21)=0,1,0)),0)</f>
      </c>
      <c r="Q21" s="78">
        <f>IF($C21="",0,IF(COUNTIF('PEOPLE + BUDGETS'!$B$6:$B$105,$C21)=0,1,0))</f>
      </c>
      <c r="R21" s="75"/>
    </row>
    <row r="22" ht="17" customHeight="1" spans="1:18" x14ac:dyDescent="0.25">
      <c r="A22" s="75"/>
      <c r="B22" s="79"/>
      <c r="C22" s="79"/>
      <c r="D22" s="78">
        <f>IF($B22="","",IF($C22="","",IFERROR(IF(INDEX('PEOPLE + BUDGETS'!$C$6:$C$105,MATCH($C22,'PEOPLE + BUDGETS'!$B$6:$B$105,0))="","",INDEX('PEOPLE + BUDGETS'!$C$6:$C$105,MATCH($C22,'PEOPLE + BUDGETS'!$B$6:$B$105,0))),"")))</f>
      </c>
      <c r="E22" s="80"/>
      <c r="F22" s="79"/>
      <c r="G22" s="79"/>
      <c r="H22" s="90"/>
      <c r="I22" s="86"/>
      <c r="J22" s="85">
        <f>IF($B22="","",ROUND($H22*$I22,2))</f>
      </c>
      <c r="K22" s="86"/>
      <c r="L22" s="79"/>
      <c r="M22" s="79"/>
      <c r="N22" s="80"/>
      <c r="O22" s="78">
        <f>IF($B22="",0,IF(COUNTIF('STOCKING STUFFERS'!$B$6:$B$155,$B22)&gt;1,1,0))</f>
      </c>
      <c r="P22" s="78">
        <f>IF(OR(N($J22)&gt;0,N($K22)&gt;0),IF($F22="",1,IF(COUNTIF('MASTER BUDGET'!$D$6:$D$25,$F22)=0,1,0)),0)</f>
      </c>
      <c r="Q22" s="78">
        <f>IF($C22="",0,IF(COUNTIF('PEOPLE + BUDGETS'!$B$6:$B$105,$C22)=0,1,0))</f>
      </c>
      <c r="R22" s="75"/>
    </row>
    <row r="23" ht="17" customHeight="1" spans="1:18" x14ac:dyDescent="0.25">
      <c r="A23" s="75"/>
      <c r="B23" s="79"/>
      <c r="C23" s="79"/>
      <c r="D23" s="78">
        <f>IF($B23="","",IF($C23="","",IFERROR(IF(INDEX('PEOPLE + BUDGETS'!$C$6:$C$105,MATCH($C23,'PEOPLE + BUDGETS'!$B$6:$B$105,0))="","",INDEX('PEOPLE + BUDGETS'!$C$6:$C$105,MATCH($C23,'PEOPLE + BUDGETS'!$B$6:$B$105,0))),"")))</f>
      </c>
      <c r="E23" s="80"/>
      <c r="F23" s="79"/>
      <c r="G23" s="79"/>
      <c r="H23" s="90"/>
      <c r="I23" s="86"/>
      <c r="J23" s="85">
        <f>IF($B23="","",ROUND($H23*$I23,2))</f>
      </c>
      <c r="K23" s="86"/>
      <c r="L23" s="79"/>
      <c r="M23" s="79"/>
      <c r="N23" s="80"/>
      <c r="O23" s="78">
        <f>IF($B23="",0,IF(COUNTIF('STOCKING STUFFERS'!$B$6:$B$155,$B23)&gt;1,1,0))</f>
      </c>
      <c r="P23" s="78">
        <f>IF(OR(N($J23)&gt;0,N($K23)&gt;0),IF($F23="",1,IF(COUNTIF('MASTER BUDGET'!$D$6:$D$25,$F23)=0,1,0)),0)</f>
      </c>
      <c r="Q23" s="78">
        <f>IF($C23="",0,IF(COUNTIF('PEOPLE + BUDGETS'!$B$6:$B$105,$C23)=0,1,0))</f>
      </c>
      <c r="R23" s="75"/>
    </row>
    <row r="24" ht="17" customHeight="1" spans="1:18" x14ac:dyDescent="0.25">
      <c r="A24" s="75"/>
      <c r="B24" s="79"/>
      <c r="C24" s="79"/>
      <c r="D24" s="78">
        <f>IF($B24="","",IF($C24="","",IFERROR(IF(INDEX('PEOPLE + BUDGETS'!$C$6:$C$105,MATCH($C24,'PEOPLE + BUDGETS'!$B$6:$B$105,0))="","",INDEX('PEOPLE + BUDGETS'!$C$6:$C$105,MATCH($C24,'PEOPLE + BUDGETS'!$B$6:$B$105,0))),"")))</f>
      </c>
      <c r="E24" s="80"/>
      <c r="F24" s="79"/>
      <c r="G24" s="79"/>
      <c r="H24" s="90"/>
      <c r="I24" s="86"/>
      <c r="J24" s="85">
        <f>IF($B24="","",ROUND($H24*$I24,2))</f>
      </c>
      <c r="K24" s="86"/>
      <c r="L24" s="79"/>
      <c r="M24" s="79"/>
      <c r="N24" s="80"/>
      <c r="O24" s="78">
        <f>IF($B24="",0,IF(COUNTIF('STOCKING STUFFERS'!$B$6:$B$155,$B24)&gt;1,1,0))</f>
      </c>
      <c r="P24" s="78">
        <f>IF(OR(N($J24)&gt;0,N($K24)&gt;0),IF($F24="",1,IF(COUNTIF('MASTER BUDGET'!$D$6:$D$25,$F24)=0,1,0)),0)</f>
      </c>
      <c r="Q24" s="78">
        <f>IF($C24="",0,IF(COUNTIF('PEOPLE + BUDGETS'!$B$6:$B$105,$C24)=0,1,0))</f>
      </c>
      <c r="R24" s="75"/>
    </row>
    <row r="25" ht="17" customHeight="1" spans="1:18" x14ac:dyDescent="0.25">
      <c r="A25" s="75"/>
      <c r="B25" s="79"/>
      <c r="C25" s="79"/>
      <c r="D25" s="78">
        <f>IF($B25="","",IF($C25="","",IFERROR(IF(INDEX('PEOPLE + BUDGETS'!$C$6:$C$105,MATCH($C25,'PEOPLE + BUDGETS'!$B$6:$B$105,0))="","",INDEX('PEOPLE + BUDGETS'!$C$6:$C$105,MATCH($C25,'PEOPLE + BUDGETS'!$B$6:$B$105,0))),"")))</f>
      </c>
      <c r="E25" s="80"/>
      <c r="F25" s="79"/>
      <c r="G25" s="79"/>
      <c r="H25" s="90"/>
      <c r="I25" s="86"/>
      <c r="J25" s="85">
        <f>IF($B25="","",ROUND($H25*$I25,2))</f>
      </c>
      <c r="K25" s="86"/>
      <c r="L25" s="79"/>
      <c r="M25" s="79"/>
      <c r="N25" s="80"/>
      <c r="O25" s="78">
        <f>IF($B25="",0,IF(COUNTIF('STOCKING STUFFERS'!$B$6:$B$155,$B25)&gt;1,1,0))</f>
      </c>
      <c r="P25" s="78">
        <f>IF(OR(N($J25)&gt;0,N($K25)&gt;0),IF($F25="",1,IF(COUNTIF('MASTER BUDGET'!$D$6:$D$25,$F25)=0,1,0)),0)</f>
      </c>
      <c r="Q25" s="78">
        <f>IF($C25="",0,IF(COUNTIF('PEOPLE + BUDGETS'!$B$6:$B$105,$C25)=0,1,0))</f>
      </c>
      <c r="R25" s="75"/>
    </row>
    <row r="26" ht="17" customHeight="1" spans="1:18" x14ac:dyDescent="0.25">
      <c r="A26" s="75"/>
      <c r="B26" s="79"/>
      <c r="C26" s="79"/>
      <c r="D26" s="78">
        <f>IF($B26="","",IF($C26="","",IFERROR(IF(INDEX('PEOPLE + BUDGETS'!$C$6:$C$105,MATCH($C26,'PEOPLE + BUDGETS'!$B$6:$B$105,0))="","",INDEX('PEOPLE + BUDGETS'!$C$6:$C$105,MATCH($C26,'PEOPLE + BUDGETS'!$B$6:$B$105,0))),"")))</f>
      </c>
      <c r="E26" s="80"/>
      <c r="F26" s="79"/>
      <c r="G26" s="79"/>
      <c r="H26" s="90"/>
      <c r="I26" s="86"/>
      <c r="J26" s="85">
        <f>IF($B26="","",ROUND($H26*$I26,2))</f>
      </c>
      <c r="K26" s="86"/>
      <c r="L26" s="79"/>
      <c r="M26" s="79"/>
      <c r="N26" s="80"/>
      <c r="O26" s="78">
        <f>IF($B26="",0,IF(COUNTIF('STOCKING STUFFERS'!$B$6:$B$155,$B26)&gt;1,1,0))</f>
      </c>
      <c r="P26" s="78">
        <f>IF(OR(N($J26)&gt;0,N($K26)&gt;0),IF($F26="",1,IF(COUNTIF('MASTER BUDGET'!$D$6:$D$25,$F26)=0,1,0)),0)</f>
      </c>
      <c r="Q26" s="78">
        <f>IF($C26="",0,IF(COUNTIF('PEOPLE + BUDGETS'!$B$6:$B$105,$C26)=0,1,0))</f>
      </c>
      <c r="R26" s="75"/>
    </row>
    <row r="27" ht="17" customHeight="1" spans="1:18" x14ac:dyDescent="0.25">
      <c r="A27" s="75"/>
      <c r="B27" s="79"/>
      <c r="C27" s="79"/>
      <c r="D27" s="78">
        <f>IF($B27="","",IF($C27="","",IFERROR(IF(INDEX('PEOPLE + BUDGETS'!$C$6:$C$105,MATCH($C27,'PEOPLE + BUDGETS'!$B$6:$B$105,0))="","",INDEX('PEOPLE + BUDGETS'!$C$6:$C$105,MATCH($C27,'PEOPLE + BUDGETS'!$B$6:$B$105,0))),"")))</f>
      </c>
      <c r="E27" s="80"/>
      <c r="F27" s="79"/>
      <c r="G27" s="79"/>
      <c r="H27" s="90"/>
      <c r="I27" s="86"/>
      <c r="J27" s="85">
        <f>IF($B27="","",ROUND($H27*$I27,2))</f>
      </c>
      <c r="K27" s="86"/>
      <c r="L27" s="79"/>
      <c r="M27" s="79"/>
      <c r="N27" s="80"/>
      <c r="O27" s="78">
        <f>IF($B27="",0,IF(COUNTIF('STOCKING STUFFERS'!$B$6:$B$155,$B27)&gt;1,1,0))</f>
      </c>
      <c r="P27" s="78">
        <f>IF(OR(N($J27)&gt;0,N($K27)&gt;0),IF($F27="",1,IF(COUNTIF('MASTER BUDGET'!$D$6:$D$25,$F27)=0,1,0)),0)</f>
      </c>
      <c r="Q27" s="78">
        <f>IF($C27="",0,IF(COUNTIF('PEOPLE + BUDGETS'!$B$6:$B$105,$C27)=0,1,0))</f>
      </c>
      <c r="R27" s="75"/>
    </row>
    <row r="28" ht="17" customHeight="1" spans="1:18" x14ac:dyDescent="0.25">
      <c r="A28" s="75"/>
      <c r="B28" s="79"/>
      <c r="C28" s="79"/>
      <c r="D28" s="78">
        <f>IF($B28="","",IF($C28="","",IFERROR(IF(INDEX('PEOPLE + BUDGETS'!$C$6:$C$105,MATCH($C28,'PEOPLE + BUDGETS'!$B$6:$B$105,0))="","",INDEX('PEOPLE + BUDGETS'!$C$6:$C$105,MATCH($C28,'PEOPLE + BUDGETS'!$B$6:$B$105,0))),"")))</f>
      </c>
      <c r="E28" s="80"/>
      <c r="F28" s="79"/>
      <c r="G28" s="79"/>
      <c r="H28" s="90"/>
      <c r="I28" s="86"/>
      <c r="J28" s="85">
        <f>IF($B28="","",ROUND($H28*$I28,2))</f>
      </c>
      <c r="K28" s="86"/>
      <c r="L28" s="79"/>
      <c r="M28" s="79"/>
      <c r="N28" s="80"/>
      <c r="O28" s="78">
        <f>IF($B28="",0,IF(COUNTIF('STOCKING STUFFERS'!$B$6:$B$155,$B28)&gt;1,1,0))</f>
      </c>
      <c r="P28" s="78">
        <f>IF(OR(N($J28)&gt;0,N($K28)&gt;0),IF($F28="",1,IF(COUNTIF('MASTER BUDGET'!$D$6:$D$25,$F28)=0,1,0)),0)</f>
      </c>
      <c r="Q28" s="78">
        <f>IF($C28="",0,IF(COUNTIF('PEOPLE + BUDGETS'!$B$6:$B$105,$C28)=0,1,0))</f>
      </c>
      <c r="R28" s="75"/>
    </row>
    <row r="29" ht="17" customHeight="1" spans="1:18" x14ac:dyDescent="0.25">
      <c r="A29" s="75"/>
      <c r="B29" s="79"/>
      <c r="C29" s="79"/>
      <c r="D29" s="78">
        <f>IF($B29="","",IF($C29="","",IFERROR(IF(INDEX('PEOPLE + BUDGETS'!$C$6:$C$105,MATCH($C29,'PEOPLE + BUDGETS'!$B$6:$B$105,0))="","",INDEX('PEOPLE + BUDGETS'!$C$6:$C$105,MATCH($C29,'PEOPLE + BUDGETS'!$B$6:$B$105,0))),"")))</f>
      </c>
      <c r="E29" s="80"/>
      <c r="F29" s="79"/>
      <c r="G29" s="79"/>
      <c r="H29" s="90"/>
      <c r="I29" s="86"/>
      <c r="J29" s="85">
        <f>IF($B29="","",ROUND($H29*$I29,2))</f>
      </c>
      <c r="K29" s="86"/>
      <c r="L29" s="79"/>
      <c r="M29" s="79"/>
      <c r="N29" s="80"/>
      <c r="O29" s="78">
        <f>IF($B29="",0,IF(COUNTIF('STOCKING STUFFERS'!$B$6:$B$155,$B29)&gt;1,1,0))</f>
      </c>
      <c r="P29" s="78">
        <f>IF(OR(N($J29)&gt;0,N($K29)&gt;0),IF($F29="",1,IF(COUNTIF('MASTER BUDGET'!$D$6:$D$25,$F29)=0,1,0)),0)</f>
      </c>
      <c r="Q29" s="78">
        <f>IF($C29="",0,IF(COUNTIF('PEOPLE + BUDGETS'!$B$6:$B$105,$C29)=0,1,0))</f>
      </c>
      <c r="R29" s="75"/>
    </row>
    <row r="30" ht="17" customHeight="1" spans="1:18" x14ac:dyDescent="0.25">
      <c r="A30" s="75"/>
      <c r="B30" s="79"/>
      <c r="C30" s="79"/>
      <c r="D30" s="78">
        <f>IF($B30="","",IF($C30="","",IFERROR(IF(INDEX('PEOPLE + BUDGETS'!$C$6:$C$105,MATCH($C30,'PEOPLE + BUDGETS'!$B$6:$B$105,0))="","",INDEX('PEOPLE + BUDGETS'!$C$6:$C$105,MATCH($C30,'PEOPLE + BUDGETS'!$B$6:$B$105,0))),"")))</f>
      </c>
      <c r="E30" s="80"/>
      <c r="F30" s="79"/>
      <c r="G30" s="79"/>
      <c r="H30" s="90"/>
      <c r="I30" s="86"/>
      <c r="J30" s="85">
        <f>IF($B30="","",ROUND($H30*$I30,2))</f>
      </c>
      <c r="K30" s="86"/>
      <c r="L30" s="79"/>
      <c r="M30" s="79"/>
      <c r="N30" s="80"/>
      <c r="O30" s="78">
        <f>IF($B30="",0,IF(COUNTIF('STOCKING STUFFERS'!$B$6:$B$155,$B30)&gt;1,1,0))</f>
      </c>
      <c r="P30" s="78">
        <f>IF(OR(N($J30)&gt;0,N($K30)&gt;0),IF($F30="",1,IF(COUNTIF('MASTER BUDGET'!$D$6:$D$25,$F30)=0,1,0)),0)</f>
      </c>
      <c r="Q30" s="78">
        <f>IF($C30="",0,IF(COUNTIF('PEOPLE + BUDGETS'!$B$6:$B$105,$C30)=0,1,0))</f>
      </c>
      <c r="R30" s="75"/>
    </row>
    <row r="31" ht="17" customHeight="1" spans="1:18" x14ac:dyDescent="0.25">
      <c r="A31" s="75"/>
      <c r="B31" s="79"/>
      <c r="C31" s="79"/>
      <c r="D31" s="78">
        <f>IF($B31="","",IF($C31="","",IFERROR(IF(INDEX('PEOPLE + BUDGETS'!$C$6:$C$105,MATCH($C31,'PEOPLE + BUDGETS'!$B$6:$B$105,0))="","",INDEX('PEOPLE + BUDGETS'!$C$6:$C$105,MATCH($C31,'PEOPLE + BUDGETS'!$B$6:$B$105,0))),"")))</f>
      </c>
      <c r="E31" s="80"/>
      <c r="F31" s="79"/>
      <c r="G31" s="79"/>
      <c r="H31" s="90"/>
      <c r="I31" s="86"/>
      <c r="J31" s="85">
        <f>IF($B31="","",ROUND($H31*$I31,2))</f>
      </c>
      <c r="K31" s="86"/>
      <c r="L31" s="79"/>
      <c r="M31" s="79"/>
      <c r="N31" s="80"/>
      <c r="O31" s="78">
        <f>IF($B31="",0,IF(COUNTIF('STOCKING STUFFERS'!$B$6:$B$155,$B31)&gt;1,1,0))</f>
      </c>
      <c r="P31" s="78">
        <f>IF(OR(N($J31)&gt;0,N($K31)&gt;0),IF($F31="",1,IF(COUNTIF('MASTER BUDGET'!$D$6:$D$25,$F31)=0,1,0)),0)</f>
      </c>
      <c r="Q31" s="78">
        <f>IF($C31="",0,IF(COUNTIF('PEOPLE + BUDGETS'!$B$6:$B$105,$C31)=0,1,0))</f>
      </c>
      <c r="R31" s="75"/>
    </row>
    <row r="32" ht="17" customHeight="1" spans="1:18" x14ac:dyDescent="0.25">
      <c r="A32" s="75"/>
      <c r="B32" s="79"/>
      <c r="C32" s="79"/>
      <c r="D32" s="78">
        <f>IF($B32="","",IF($C32="","",IFERROR(IF(INDEX('PEOPLE + BUDGETS'!$C$6:$C$105,MATCH($C32,'PEOPLE + BUDGETS'!$B$6:$B$105,0))="","",INDEX('PEOPLE + BUDGETS'!$C$6:$C$105,MATCH($C32,'PEOPLE + BUDGETS'!$B$6:$B$105,0))),"")))</f>
      </c>
      <c r="E32" s="80"/>
      <c r="F32" s="79"/>
      <c r="G32" s="79"/>
      <c r="H32" s="90"/>
      <c r="I32" s="86"/>
      <c r="J32" s="85">
        <f>IF($B32="","",ROUND($H32*$I32,2))</f>
      </c>
      <c r="K32" s="86"/>
      <c r="L32" s="79"/>
      <c r="M32" s="79"/>
      <c r="N32" s="80"/>
      <c r="O32" s="78">
        <f>IF($B32="",0,IF(COUNTIF('STOCKING STUFFERS'!$B$6:$B$155,$B32)&gt;1,1,0))</f>
      </c>
      <c r="P32" s="78">
        <f>IF(OR(N($J32)&gt;0,N($K32)&gt;0),IF($F32="",1,IF(COUNTIF('MASTER BUDGET'!$D$6:$D$25,$F32)=0,1,0)),0)</f>
      </c>
      <c r="Q32" s="78">
        <f>IF($C32="",0,IF(COUNTIF('PEOPLE + BUDGETS'!$B$6:$B$105,$C32)=0,1,0))</f>
      </c>
      <c r="R32" s="75"/>
    </row>
    <row r="33" ht="17" customHeight="1" spans="1:18" x14ac:dyDescent="0.25">
      <c r="A33" s="75"/>
      <c r="B33" s="79"/>
      <c r="C33" s="79"/>
      <c r="D33" s="78">
        <f>IF($B33="","",IF($C33="","",IFERROR(IF(INDEX('PEOPLE + BUDGETS'!$C$6:$C$105,MATCH($C33,'PEOPLE + BUDGETS'!$B$6:$B$105,0))="","",INDEX('PEOPLE + BUDGETS'!$C$6:$C$105,MATCH($C33,'PEOPLE + BUDGETS'!$B$6:$B$105,0))),"")))</f>
      </c>
      <c r="E33" s="80"/>
      <c r="F33" s="79"/>
      <c r="G33" s="79"/>
      <c r="H33" s="90"/>
      <c r="I33" s="86"/>
      <c r="J33" s="85">
        <f>IF($B33="","",ROUND($H33*$I33,2))</f>
      </c>
      <c r="K33" s="86"/>
      <c r="L33" s="79"/>
      <c r="M33" s="79"/>
      <c r="N33" s="80"/>
      <c r="O33" s="78">
        <f>IF($B33="",0,IF(COUNTIF('STOCKING STUFFERS'!$B$6:$B$155,$B33)&gt;1,1,0))</f>
      </c>
      <c r="P33" s="78">
        <f>IF(OR(N($J33)&gt;0,N($K33)&gt;0),IF($F33="",1,IF(COUNTIF('MASTER BUDGET'!$D$6:$D$25,$F33)=0,1,0)),0)</f>
      </c>
      <c r="Q33" s="78">
        <f>IF($C33="",0,IF(COUNTIF('PEOPLE + BUDGETS'!$B$6:$B$105,$C33)=0,1,0))</f>
      </c>
      <c r="R33" s="75"/>
    </row>
    <row r="34" ht="17" customHeight="1" spans="1:18" x14ac:dyDescent="0.25">
      <c r="A34" s="75"/>
      <c r="B34" s="79"/>
      <c r="C34" s="79"/>
      <c r="D34" s="78">
        <f>IF($B34="","",IF($C34="","",IFERROR(IF(INDEX('PEOPLE + BUDGETS'!$C$6:$C$105,MATCH($C34,'PEOPLE + BUDGETS'!$B$6:$B$105,0))="","",INDEX('PEOPLE + BUDGETS'!$C$6:$C$105,MATCH($C34,'PEOPLE + BUDGETS'!$B$6:$B$105,0))),"")))</f>
      </c>
      <c r="E34" s="80"/>
      <c r="F34" s="79"/>
      <c r="G34" s="79"/>
      <c r="H34" s="90"/>
      <c r="I34" s="86"/>
      <c r="J34" s="85">
        <f>IF($B34="","",ROUND($H34*$I34,2))</f>
      </c>
      <c r="K34" s="86"/>
      <c r="L34" s="79"/>
      <c r="M34" s="79"/>
      <c r="N34" s="80"/>
      <c r="O34" s="78">
        <f>IF($B34="",0,IF(COUNTIF('STOCKING STUFFERS'!$B$6:$B$155,$B34)&gt;1,1,0))</f>
      </c>
      <c r="P34" s="78">
        <f>IF(OR(N($J34)&gt;0,N($K34)&gt;0),IF($F34="",1,IF(COUNTIF('MASTER BUDGET'!$D$6:$D$25,$F34)=0,1,0)),0)</f>
      </c>
      <c r="Q34" s="78">
        <f>IF($C34="",0,IF(COUNTIF('PEOPLE + BUDGETS'!$B$6:$B$105,$C34)=0,1,0))</f>
      </c>
      <c r="R34" s="75"/>
    </row>
    <row r="35" ht="17" customHeight="1" spans="1:18" x14ac:dyDescent="0.25">
      <c r="A35" s="75"/>
      <c r="B35" s="79"/>
      <c r="C35" s="79"/>
      <c r="D35" s="78">
        <f>IF($B35="","",IF($C35="","",IFERROR(IF(INDEX('PEOPLE + BUDGETS'!$C$6:$C$105,MATCH($C35,'PEOPLE + BUDGETS'!$B$6:$B$105,0))="","",INDEX('PEOPLE + BUDGETS'!$C$6:$C$105,MATCH($C35,'PEOPLE + BUDGETS'!$B$6:$B$105,0))),"")))</f>
      </c>
      <c r="E35" s="80"/>
      <c r="F35" s="79"/>
      <c r="G35" s="79"/>
      <c r="H35" s="90"/>
      <c r="I35" s="86"/>
      <c r="J35" s="85">
        <f>IF($B35="","",ROUND($H35*$I35,2))</f>
      </c>
      <c r="K35" s="86"/>
      <c r="L35" s="79"/>
      <c r="M35" s="79"/>
      <c r="N35" s="80"/>
      <c r="O35" s="78">
        <f>IF($B35="",0,IF(COUNTIF('STOCKING STUFFERS'!$B$6:$B$155,$B35)&gt;1,1,0))</f>
      </c>
      <c r="P35" s="78">
        <f>IF(OR(N($J35)&gt;0,N($K35)&gt;0),IF($F35="",1,IF(COUNTIF('MASTER BUDGET'!$D$6:$D$25,$F35)=0,1,0)),0)</f>
      </c>
      <c r="Q35" s="78">
        <f>IF($C35="",0,IF(COUNTIF('PEOPLE + BUDGETS'!$B$6:$B$105,$C35)=0,1,0))</f>
      </c>
      <c r="R35" s="75"/>
    </row>
    <row r="36" ht="17" customHeight="1" spans="1:18" x14ac:dyDescent="0.25">
      <c r="A36" s="75"/>
      <c r="B36" s="79"/>
      <c r="C36" s="79"/>
      <c r="D36" s="78">
        <f>IF($B36="","",IF($C36="","",IFERROR(IF(INDEX('PEOPLE + BUDGETS'!$C$6:$C$105,MATCH($C36,'PEOPLE + BUDGETS'!$B$6:$B$105,0))="","",INDEX('PEOPLE + BUDGETS'!$C$6:$C$105,MATCH($C36,'PEOPLE + BUDGETS'!$B$6:$B$105,0))),"")))</f>
      </c>
      <c r="E36" s="80"/>
      <c r="F36" s="79"/>
      <c r="G36" s="79"/>
      <c r="H36" s="90"/>
      <c r="I36" s="86"/>
      <c r="J36" s="85">
        <f>IF($B36="","",ROUND($H36*$I36,2))</f>
      </c>
      <c r="K36" s="86"/>
      <c r="L36" s="79"/>
      <c r="M36" s="79"/>
      <c r="N36" s="80"/>
      <c r="O36" s="78">
        <f>IF($B36="",0,IF(COUNTIF('STOCKING STUFFERS'!$B$6:$B$155,$B36)&gt;1,1,0))</f>
      </c>
      <c r="P36" s="78">
        <f>IF(OR(N($J36)&gt;0,N($K36)&gt;0),IF($F36="",1,IF(COUNTIF('MASTER BUDGET'!$D$6:$D$25,$F36)=0,1,0)),0)</f>
      </c>
      <c r="Q36" s="78">
        <f>IF($C36="",0,IF(COUNTIF('PEOPLE + BUDGETS'!$B$6:$B$105,$C36)=0,1,0))</f>
      </c>
      <c r="R36" s="75"/>
    </row>
    <row r="37" ht="17" customHeight="1" spans="1:18" x14ac:dyDescent="0.25">
      <c r="A37" s="75"/>
      <c r="B37" s="79"/>
      <c r="C37" s="79"/>
      <c r="D37" s="78">
        <f>IF($B37="","",IF($C37="","",IFERROR(IF(INDEX('PEOPLE + BUDGETS'!$C$6:$C$105,MATCH($C37,'PEOPLE + BUDGETS'!$B$6:$B$105,0))="","",INDEX('PEOPLE + BUDGETS'!$C$6:$C$105,MATCH($C37,'PEOPLE + BUDGETS'!$B$6:$B$105,0))),"")))</f>
      </c>
      <c r="E37" s="80"/>
      <c r="F37" s="79"/>
      <c r="G37" s="79"/>
      <c r="H37" s="90"/>
      <c r="I37" s="86"/>
      <c r="J37" s="85">
        <f>IF($B37="","",ROUND($H37*$I37,2))</f>
      </c>
      <c r="K37" s="86"/>
      <c r="L37" s="79"/>
      <c r="M37" s="79"/>
      <c r="N37" s="80"/>
      <c r="O37" s="78">
        <f>IF($B37="",0,IF(COUNTIF('STOCKING STUFFERS'!$B$6:$B$155,$B37)&gt;1,1,0))</f>
      </c>
      <c r="P37" s="78">
        <f>IF(OR(N($J37)&gt;0,N($K37)&gt;0),IF($F37="",1,IF(COUNTIF('MASTER BUDGET'!$D$6:$D$25,$F37)=0,1,0)),0)</f>
      </c>
      <c r="Q37" s="78">
        <f>IF($C37="",0,IF(COUNTIF('PEOPLE + BUDGETS'!$B$6:$B$105,$C37)=0,1,0))</f>
      </c>
      <c r="R37" s="75"/>
    </row>
    <row r="38" ht="17" customHeight="1" spans="1:18" x14ac:dyDescent="0.25">
      <c r="A38" s="75"/>
      <c r="B38" s="79"/>
      <c r="C38" s="79"/>
      <c r="D38" s="78">
        <f>IF($B38="","",IF($C38="","",IFERROR(IF(INDEX('PEOPLE + BUDGETS'!$C$6:$C$105,MATCH($C38,'PEOPLE + BUDGETS'!$B$6:$B$105,0))="","",INDEX('PEOPLE + BUDGETS'!$C$6:$C$105,MATCH($C38,'PEOPLE + BUDGETS'!$B$6:$B$105,0))),"")))</f>
      </c>
      <c r="E38" s="80"/>
      <c r="F38" s="79"/>
      <c r="G38" s="79"/>
      <c r="H38" s="90"/>
      <c r="I38" s="86"/>
      <c r="J38" s="85">
        <f>IF($B38="","",ROUND($H38*$I38,2))</f>
      </c>
      <c r="K38" s="86"/>
      <c r="L38" s="79"/>
      <c r="M38" s="79"/>
      <c r="N38" s="80"/>
      <c r="O38" s="78">
        <f>IF($B38="",0,IF(COUNTIF('STOCKING STUFFERS'!$B$6:$B$155,$B38)&gt;1,1,0))</f>
      </c>
      <c r="P38" s="78">
        <f>IF(OR(N($J38)&gt;0,N($K38)&gt;0),IF($F38="",1,IF(COUNTIF('MASTER BUDGET'!$D$6:$D$25,$F38)=0,1,0)),0)</f>
      </c>
      <c r="Q38" s="78">
        <f>IF($C38="",0,IF(COUNTIF('PEOPLE + BUDGETS'!$B$6:$B$105,$C38)=0,1,0))</f>
      </c>
      <c r="R38" s="75"/>
    </row>
    <row r="39" ht="17" customHeight="1" spans="1:18" x14ac:dyDescent="0.25">
      <c r="A39" s="75"/>
      <c r="B39" s="79"/>
      <c r="C39" s="79"/>
      <c r="D39" s="78">
        <f>IF($B39="","",IF($C39="","",IFERROR(IF(INDEX('PEOPLE + BUDGETS'!$C$6:$C$105,MATCH($C39,'PEOPLE + BUDGETS'!$B$6:$B$105,0))="","",INDEX('PEOPLE + BUDGETS'!$C$6:$C$105,MATCH($C39,'PEOPLE + BUDGETS'!$B$6:$B$105,0))),"")))</f>
      </c>
      <c r="E39" s="80"/>
      <c r="F39" s="79"/>
      <c r="G39" s="79"/>
      <c r="H39" s="90"/>
      <c r="I39" s="86"/>
      <c r="J39" s="85">
        <f>IF($B39="","",ROUND($H39*$I39,2))</f>
      </c>
      <c r="K39" s="86"/>
      <c r="L39" s="79"/>
      <c r="M39" s="79"/>
      <c r="N39" s="80"/>
      <c r="O39" s="78">
        <f>IF($B39="",0,IF(COUNTIF('STOCKING STUFFERS'!$B$6:$B$155,$B39)&gt;1,1,0))</f>
      </c>
      <c r="P39" s="78">
        <f>IF(OR(N($J39)&gt;0,N($K39)&gt;0),IF($F39="",1,IF(COUNTIF('MASTER BUDGET'!$D$6:$D$25,$F39)=0,1,0)),0)</f>
      </c>
      <c r="Q39" s="78">
        <f>IF($C39="",0,IF(COUNTIF('PEOPLE + BUDGETS'!$B$6:$B$105,$C39)=0,1,0))</f>
      </c>
      <c r="R39" s="75"/>
    </row>
    <row r="40" ht="17" customHeight="1" spans="1:18" x14ac:dyDescent="0.25">
      <c r="A40" s="75"/>
      <c r="B40" s="79"/>
      <c r="C40" s="79"/>
      <c r="D40" s="78">
        <f>IF($B40="","",IF($C40="","",IFERROR(IF(INDEX('PEOPLE + BUDGETS'!$C$6:$C$105,MATCH($C40,'PEOPLE + BUDGETS'!$B$6:$B$105,0))="","",INDEX('PEOPLE + BUDGETS'!$C$6:$C$105,MATCH($C40,'PEOPLE + BUDGETS'!$B$6:$B$105,0))),"")))</f>
      </c>
      <c r="E40" s="80"/>
      <c r="F40" s="79"/>
      <c r="G40" s="79"/>
      <c r="H40" s="90"/>
      <c r="I40" s="86"/>
      <c r="J40" s="85">
        <f>IF($B40="","",ROUND($H40*$I40,2))</f>
      </c>
      <c r="K40" s="86"/>
      <c r="L40" s="79"/>
      <c r="M40" s="79"/>
      <c r="N40" s="80"/>
      <c r="O40" s="78">
        <f>IF($B40="",0,IF(COUNTIF('STOCKING STUFFERS'!$B$6:$B$155,$B40)&gt;1,1,0))</f>
      </c>
      <c r="P40" s="78">
        <f>IF(OR(N($J40)&gt;0,N($K40)&gt;0),IF($F40="",1,IF(COUNTIF('MASTER BUDGET'!$D$6:$D$25,$F40)=0,1,0)),0)</f>
      </c>
      <c r="Q40" s="78">
        <f>IF($C40="",0,IF(COUNTIF('PEOPLE + BUDGETS'!$B$6:$B$105,$C40)=0,1,0))</f>
      </c>
      <c r="R40" s="75"/>
    </row>
    <row r="41" ht="17" customHeight="1" spans="1:18" x14ac:dyDescent="0.25">
      <c r="A41" s="75"/>
      <c r="B41" s="79"/>
      <c r="C41" s="79"/>
      <c r="D41" s="78">
        <f>IF($B41="","",IF($C41="","",IFERROR(IF(INDEX('PEOPLE + BUDGETS'!$C$6:$C$105,MATCH($C41,'PEOPLE + BUDGETS'!$B$6:$B$105,0))="","",INDEX('PEOPLE + BUDGETS'!$C$6:$C$105,MATCH($C41,'PEOPLE + BUDGETS'!$B$6:$B$105,0))),"")))</f>
      </c>
      <c r="E41" s="80"/>
      <c r="F41" s="79"/>
      <c r="G41" s="79"/>
      <c r="H41" s="90"/>
      <c r="I41" s="86"/>
      <c r="J41" s="85">
        <f>IF($B41="","",ROUND($H41*$I41,2))</f>
      </c>
      <c r="K41" s="86"/>
      <c r="L41" s="79"/>
      <c r="M41" s="79"/>
      <c r="N41" s="80"/>
      <c r="O41" s="78">
        <f>IF($B41="",0,IF(COUNTIF('STOCKING STUFFERS'!$B$6:$B$155,$B41)&gt;1,1,0))</f>
      </c>
      <c r="P41" s="78">
        <f>IF(OR(N($J41)&gt;0,N($K41)&gt;0),IF($F41="",1,IF(COUNTIF('MASTER BUDGET'!$D$6:$D$25,$F41)=0,1,0)),0)</f>
      </c>
      <c r="Q41" s="78">
        <f>IF($C41="",0,IF(COUNTIF('PEOPLE + BUDGETS'!$B$6:$B$105,$C41)=0,1,0))</f>
      </c>
      <c r="R41" s="75"/>
    </row>
    <row r="42" ht="17" customHeight="1" spans="1:18" x14ac:dyDescent="0.25">
      <c r="A42" s="75"/>
      <c r="B42" s="79"/>
      <c r="C42" s="79"/>
      <c r="D42" s="78">
        <f>IF($B42="","",IF($C42="","",IFERROR(IF(INDEX('PEOPLE + BUDGETS'!$C$6:$C$105,MATCH($C42,'PEOPLE + BUDGETS'!$B$6:$B$105,0))="","",INDEX('PEOPLE + BUDGETS'!$C$6:$C$105,MATCH($C42,'PEOPLE + BUDGETS'!$B$6:$B$105,0))),"")))</f>
      </c>
      <c r="E42" s="80"/>
      <c r="F42" s="79"/>
      <c r="G42" s="79"/>
      <c r="H42" s="90"/>
      <c r="I42" s="86"/>
      <c r="J42" s="85">
        <f>IF($B42="","",ROUND($H42*$I42,2))</f>
      </c>
      <c r="K42" s="86"/>
      <c r="L42" s="79"/>
      <c r="M42" s="79"/>
      <c r="N42" s="80"/>
      <c r="O42" s="78">
        <f>IF($B42="",0,IF(COUNTIF('STOCKING STUFFERS'!$B$6:$B$155,$B42)&gt;1,1,0))</f>
      </c>
      <c r="P42" s="78">
        <f>IF(OR(N($J42)&gt;0,N($K42)&gt;0),IF($F42="",1,IF(COUNTIF('MASTER BUDGET'!$D$6:$D$25,$F42)=0,1,0)),0)</f>
      </c>
      <c r="Q42" s="78">
        <f>IF($C42="",0,IF(COUNTIF('PEOPLE + BUDGETS'!$B$6:$B$105,$C42)=0,1,0))</f>
      </c>
      <c r="R42" s="75"/>
    </row>
    <row r="43" ht="17" customHeight="1" spans="1:18" x14ac:dyDescent="0.25">
      <c r="A43" s="75"/>
      <c r="B43" s="79"/>
      <c r="C43" s="79"/>
      <c r="D43" s="78">
        <f>IF($B43="","",IF($C43="","",IFERROR(IF(INDEX('PEOPLE + BUDGETS'!$C$6:$C$105,MATCH($C43,'PEOPLE + BUDGETS'!$B$6:$B$105,0))="","",INDEX('PEOPLE + BUDGETS'!$C$6:$C$105,MATCH($C43,'PEOPLE + BUDGETS'!$B$6:$B$105,0))),"")))</f>
      </c>
      <c r="E43" s="80"/>
      <c r="F43" s="79"/>
      <c r="G43" s="79"/>
      <c r="H43" s="90"/>
      <c r="I43" s="86"/>
      <c r="J43" s="85">
        <f>IF($B43="","",ROUND($H43*$I43,2))</f>
      </c>
      <c r="K43" s="86"/>
      <c r="L43" s="79"/>
      <c r="M43" s="79"/>
      <c r="N43" s="80"/>
      <c r="O43" s="78">
        <f>IF($B43="",0,IF(COUNTIF('STOCKING STUFFERS'!$B$6:$B$155,$B43)&gt;1,1,0))</f>
      </c>
      <c r="P43" s="78">
        <f>IF(OR(N($J43)&gt;0,N($K43)&gt;0),IF($F43="",1,IF(COUNTIF('MASTER BUDGET'!$D$6:$D$25,$F43)=0,1,0)),0)</f>
      </c>
      <c r="Q43" s="78">
        <f>IF($C43="",0,IF(COUNTIF('PEOPLE + BUDGETS'!$B$6:$B$105,$C43)=0,1,0))</f>
      </c>
      <c r="R43" s="75"/>
    </row>
    <row r="44" ht="17" customHeight="1" spans="1:18" x14ac:dyDescent="0.25">
      <c r="A44" s="75"/>
      <c r="B44" s="79"/>
      <c r="C44" s="79"/>
      <c r="D44" s="78">
        <f>IF($B44="","",IF($C44="","",IFERROR(IF(INDEX('PEOPLE + BUDGETS'!$C$6:$C$105,MATCH($C44,'PEOPLE + BUDGETS'!$B$6:$B$105,0))="","",INDEX('PEOPLE + BUDGETS'!$C$6:$C$105,MATCH($C44,'PEOPLE + BUDGETS'!$B$6:$B$105,0))),"")))</f>
      </c>
      <c r="E44" s="80"/>
      <c r="F44" s="79"/>
      <c r="G44" s="79"/>
      <c r="H44" s="90"/>
      <c r="I44" s="86"/>
      <c r="J44" s="85">
        <f>IF($B44="","",ROUND($H44*$I44,2))</f>
      </c>
      <c r="K44" s="86"/>
      <c r="L44" s="79"/>
      <c r="M44" s="79"/>
      <c r="N44" s="80"/>
      <c r="O44" s="78">
        <f>IF($B44="",0,IF(COUNTIF('STOCKING STUFFERS'!$B$6:$B$155,$B44)&gt;1,1,0))</f>
      </c>
      <c r="P44" s="78">
        <f>IF(OR(N($J44)&gt;0,N($K44)&gt;0),IF($F44="",1,IF(COUNTIF('MASTER BUDGET'!$D$6:$D$25,$F44)=0,1,0)),0)</f>
      </c>
      <c r="Q44" s="78">
        <f>IF($C44="",0,IF(COUNTIF('PEOPLE + BUDGETS'!$B$6:$B$105,$C44)=0,1,0))</f>
      </c>
      <c r="R44" s="75"/>
    </row>
    <row r="45" ht="17" customHeight="1" spans="1:18" x14ac:dyDescent="0.25">
      <c r="A45" s="75"/>
      <c r="B45" s="79"/>
      <c r="C45" s="79"/>
      <c r="D45" s="78">
        <f>IF($B45="","",IF($C45="","",IFERROR(IF(INDEX('PEOPLE + BUDGETS'!$C$6:$C$105,MATCH($C45,'PEOPLE + BUDGETS'!$B$6:$B$105,0))="","",INDEX('PEOPLE + BUDGETS'!$C$6:$C$105,MATCH($C45,'PEOPLE + BUDGETS'!$B$6:$B$105,0))),"")))</f>
      </c>
      <c r="E45" s="80"/>
      <c r="F45" s="79"/>
      <c r="G45" s="79"/>
      <c r="H45" s="90"/>
      <c r="I45" s="86"/>
      <c r="J45" s="85">
        <f>IF($B45="","",ROUND($H45*$I45,2))</f>
      </c>
      <c r="K45" s="86"/>
      <c r="L45" s="79"/>
      <c r="M45" s="79"/>
      <c r="N45" s="80"/>
      <c r="O45" s="78">
        <f>IF($B45="",0,IF(COUNTIF('STOCKING STUFFERS'!$B$6:$B$155,$B45)&gt;1,1,0))</f>
      </c>
      <c r="P45" s="78">
        <f>IF(OR(N($J45)&gt;0,N($K45)&gt;0),IF($F45="",1,IF(COUNTIF('MASTER BUDGET'!$D$6:$D$25,$F45)=0,1,0)),0)</f>
      </c>
      <c r="Q45" s="78">
        <f>IF($C45="",0,IF(COUNTIF('PEOPLE + BUDGETS'!$B$6:$B$105,$C45)=0,1,0))</f>
      </c>
      <c r="R45" s="75"/>
    </row>
    <row r="46" ht="17" customHeight="1" spans="1:18" x14ac:dyDescent="0.25">
      <c r="A46" s="75"/>
      <c r="B46" s="79"/>
      <c r="C46" s="79"/>
      <c r="D46" s="78">
        <f>IF($B46="","",IF($C46="","",IFERROR(IF(INDEX('PEOPLE + BUDGETS'!$C$6:$C$105,MATCH($C46,'PEOPLE + BUDGETS'!$B$6:$B$105,0))="","",INDEX('PEOPLE + BUDGETS'!$C$6:$C$105,MATCH($C46,'PEOPLE + BUDGETS'!$B$6:$B$105,0))),"")))</f>
      </c>
      <c r="E46" s="80"/>
      <c r="F46" s="79"/>
      <c r="G46" s="79"/>
      <c r="H46" s="90"/>
      <c r="I46" s="86"/>
      <c r="J46" s="85">
        <f>IF($B46="","",ROUND($H46*$I46,2))</f>
      </c>
      <c r="K46" s="86"/>
      <c r="L46" s="79"/>
      <c r="M46" s="79"/>
      <c r="N46" s="80"/>
      <c r="O46" s="78">
        <f>IF($B46="",0,IF(COUNTIF('STOCKING STUFFERS'!$B$6:$B$155,$B46)&gt;1,1,0))</f>
      </c>
      <c r="P46" s="78">
        <f>IF(OR(N($J46)&gt;0,N($K46)&gt;0),IF($F46="",1,IF(COUNTIF('MASTER BUDGET'!$D$6:$D$25,$F46)=0,1,0)),0)</f>
      </c>
      <c r="Q46" s="78">
        <f>IF($C46="",0,IF(COUNTIF('PEOPLE + BUDGETS'!$B$6:$B$105,$C46)=0,1,0))</f>
      </c>
      <c r="R46" s="75"/>
    </row>
    <row r="47" ht="17" customHeight="1" spans="1:18" x14ac:dyDescent="0.25">
      <c r="A47" s="75"/>
      <c r="B47" s="79"/>
      <c r="C47" s="79"/>
      <c r="D47" s="78">
        <f>IF($B47="","",IF($C47="","",IFERROR(IF(INDEX('PEOPLE + BUDGETS'!$C$6:$C$105,MATCH($C47,'PEOPLE + BUDGETS'!$B$6:$B$105,0))="","",INDEX('PEOPLE + BUDGETS'!$C$6:$C$105,MATCH($C47,'PEOPLE + BUDGETS'!$B$6:$B$105,0))),"")))</f>
      </c>
      <c r="E47" s="80"/>
      <c r="F47" s="79"/>
      <c r="G47" s="79"/>
      <c r="H47" s="90"/>
      <c r="I47" s="86"/>
      <c r="J47" s="85">
        <f>IF($B47="","",ROUND($H47*$I47,2))</f>
      </c>
      <c r="K47" s="86"/>
      <c r="L47" s="79"/>
      <c r="M47" s="79"/>
      <c r="N47" s="80"/>
      <c r="O47" s="78">
        <f>IF($B47="",0,IF(COUNTIF('STOCKING STUFFERS'!$B$6:$B$155,$B47)&gt;1,1,0))</f>
      </c>
      <c r="P47" s="78">
        <f>IF(OR(N($J47)&gt;0,N($K47)&gt;0),IF($F47="",1,IF(COUNTIF('MASTER BUDGET'!$D$6:$D$25,$F47)=0,1,0)),0)</f>
      </c>
      <c r="Q47" s="78">
        <f>IF($C47="",0,IF(COUNTIF('PEOPLE + BUDGETS'!$B$6:$B$105,$C47)=0,1,0))</f>
      </c>
      <c r="R47" s="75"/>
    </row>
    <row r="48" ht="17" customHeight="1" spans="1:18" x14ac:dyDescent="0.25">
      <c r="A48" s="75"/>
      <c r="B48" s="79"/>
      <c r="C48" s="79"/>
      <c r="D48" s="78">
        <f>IF($B48="","",IF($C48="","",IFERROR(IF(INDEX('PEOPLE + BUDGETS'!$C$6:$C$105,MATCH($C48,'PEOPLE + BUDGETS'!$B$6:$B$105,0))="","",INDEX('PEOPLE + BUDGETS'!$C$6:$C$105,MATCH($C48,'PEOPLE + BUDGETS'!$B$6:$B$105,0))),"")))</f>
      </c>
      <c r="E48" s="80"/>
      <c r="F48" s="79"/>
      <c r="G48" s="79"/>
      <c r="H48" s="90"/>
      <c r="I48" s="86"/>
      <c r="J48" s="85">
        <f>IF($B48="","",ROUND($H48*$I48,2))</f>
      </c>
      <c r="K48" s="86"/>
      <c r="L48" s="79"/>
      <c r="M48" s="79"/>
      <c r="N48" s="80"/>
      <c r="O48" s="78">
        <f>IF($B48="",0,IF(COUNTIF('STOCKING STUFFERS'!$B$6:$B$155,$B48)&gt;1,1,0))</f>
      </c>
      <c r="P48" s="78">
        <f>IF(OR(N($J48)&gt;0,N($K48)&gt;0),IF($F48="",1,IF(COUNTIF('MASTER BUDGET'!$D$6:$D$25,$F48)=0,1,0)),0)</f>
      </c>
      <c r="Q48" s="78">
        <f>IF($C48="",0,IF(COUNTIF('PEOPLE + BUDGETS'!$B$6:$B$105,$C48)=0,1,0))</f>
      </c>
      <c r="R48" s="75"/>
    </row>
    <row r="49" ht="17" customHeight="1" spans="1:18" x14ac:dyDescent="0.25">
      <c r="A49" s="75"/>
      <c r="B49" s="79"/>
      <c r="C49" s="79"/>
      <c r="D49" s="78">
        <f>IF($B49="","",IF($C49="","",IFERROR(IF(INDEX('PEOPLE + BUDGETS'!$C$6:$C$105,MATCH($C49,'PEOPLE + BUDGETS'!$B$6:$B$105,0))="","",INDEX('PEOPLE + BUDGETS'!$C$6:$C$105,MATCH($C49,'PEOPLE + BUDGETS'!$B$6:$B$105,0))),"")))</f>
      </c>
      <c r="E49" s="80"/>
      <c r="F49" s="79"/>
      <c r="G49" s="79"/>
      <c r="H49" s="90"/>
      <c r="I49" s="86"/>
      <c r="J49" s="85">
        <f>IF($B49="","",ROUND($H49*$I49,2))</f>
      </c>
      <c r="K49" s="86"/>
      <c r="L49" s="79"/>
      <c r="M49" s="79"/>
      <c r="N49" s="80"/>
      <c r="O49" s="78">
        <f>IF($B49="",0,IF(COUNTIF('STOCKING STUFFERS'!$B$6:$B$155,$B49)&gt;1,1,0))</f>
      </c>
      <c r="P49" s="78">
        <f>IF(OR(N($J49)&gt;0,N($K49)&gt;0),IF($F49="",1,IF(COUNTIF('MASTER BUDGET'!$D$6:$D$25,$F49)=0,1,0)),0)</f>
      </c>
      <c r="Q49" s="78">
        <f>IF($C49="",0,IF(COUNTIF('PEOPLE + BUDGETS'!$B$6:$B$105,$C49)=0,1,0))</f>
      </c>
      <c r="R49" s="75"/>
    </row>
    <row r="50" ht="17" customHeight="1" spans="1:18" x14ac:dyDescent="0.25">
      <c r="A50" s="75"/>
      <c r="B50" s="79"/>
      <c r="C50" s="79"/>
      <c r="D50" s="78">
        <f>IF($B50="","",IF($C50="","",IFERROR(IF(INDEX('PEOPLE + BUDGETS'!$C$6:$C$105,MATCH($C50,'PEOPLE + BUDGETS'!$B$6:$B$105,0))="","",INDEX('PEOPLE + BUDGETS'!$C$6:$C$105,MATCH($C50,'PEOPLE + BUDGETS'!$B$6:$B$105,0))),"")))</f>
      </c>
      <c r="E50" s="80"/>
      <c r="F50" s="79"/>
      <c r="G50" s="79"/>
      <c r="H50" s="90"/>
      <c r="I50" s="86"/>
      <c r="J50" s="85">
        <f>IF($B50="","",ROUND($H50*$I50,2))</f>
      </c>
      <c r="K50" s="86"/>
      <c r="L50" s="79"/>
      <c r="M50" s="79"/>
      <c r="N50" s="80"/>
      <c r="O50" s="78">
        <f>IF($B50="",0,IF(COUNTIF('STOCKING STUFFERS'!$B$6:$B$155,$B50)&gt;1,1,0))</f>
      </c>
      <c r="P50" s="78">
        <f>IF(OR(N($J50)&gt;0,N($K50)&gt;0),IF($F50="",1,IF(COUNTIF('MASTER BUDGET'!$D$6:$D$25,$F50)=0,1,0)),0)</f>
      </c>
      <c r="Q50" s="78">
        <f>IF($C50="",0,IF(COUNTIF('PEOPLE + BUDGETS'!$B$6:$B$105,$C50)=0,1,0))</f>
      </c>
      <c r="R50" s="75"/>
    </row>
    <row r="51" ht="17" customHeight="1" spans="1:18" x14ac:dyDescent="0.25">
      <c r="A51" s="75"/>
      <c r="B51" s="79"/>
      <c r="C51" s="79"/>
      <c r="D51" s="78">
        <f>IF($B51="","",IF($C51="","",IFERROR(IF(INDEX('PEOPLE + BUDGETS'!$C$6:$C$105,MATCH($C51,'PEOPLE + BUDGETS'!$B$6:$B$105,0))="","",INDEX('PEOPLE + BUDGETS'!$C$6:$C$105,MATCH($C51,'PEOPLE + BUDGETS'!$B$6:$B$105,0))),"")))</f>
      </c>
      <c r="E51" s="80"/>
      <c r="F51" s="79"/>
      <c r="G51" s="79"/>
      <c r="H51" s="90"/>
      <c r="I51" s="86"/>
      <c r="J51" s="85">
        <f>IF($B51="","",ROUND($H51*$I51,2))</f>
      </c>
      <c r="K51" s="86"/>
      <c r="L51" s="79"/>
      <c r="M51" s="79"/>
      <c r="N51" s="80"/>
      <c r="O51" s="78">
        <f>IF($B51="",0,IF(COUNTIF('STOCKING STUFFERS'!$B$6:$B$155,$B51)&gt;1,1,0))</f>
      </c>
      <c r="P51" s="78">
        <f>IF(OR(N($J51)&gt;0,N($K51)&gt;0),IF($F51="",1,IF(COUNTIF('MASTER BUDGET'!$D$6:$D$25,$F51)=0,1,0)),0)</f>
      </c>
      <c r="Q51" s="78">
        <f>IF($C51="",0,IF(COUNTIF('PEOPLE + BUDGETS'!$B$6:$B$105,$C51)=0,1,0))</f>
      </c>
      <c r="R51" s="75"/>
    </row>
    <row r="52" ht="17" customHeight="1" spans="1:18" x14ac:dyDescent="0.25">
      <c r="A52" s="75"/>
      <c r="B52" s="79"/>
      <c r="C52" s="79"/>
      <c r="D52" s="78">
        <f>IF($B52="","",IF($C52="","",IFERROR(IF(INDEX('PEOPLE + BUDGETS'!$C$6:$C$105,MATCH($C52,'PEOPLE + BUDGETS'!$B$6:$B$105,0))="","",INDEX('PEOPLE + BUDGETS'!$C$6:$C$105,MATCH($C52,'PEOPLE + BUDGETS'!$B$6:$B$105,0))),"")))</f>
      </c>
      <c r="E52" s="80"/>
      <c r="F52" s="79"/>
      <c r="G52" s="79"/>
      <c r="H52" s="90"/>
      <c r="I52" s="86"/>
      <c r="J52" s="85">
        <f>IF($B52="","",ROUND($H52*$I52,2))</f>
      </c>
      <c r="K52" s="86"/>
      <c r="L52" s="79"/>
      <c r="M52" s="79"/>
      <c r="N52" s="80"/>
      <c r="O52" s="78">
        <f>IF($B52="",0,IF(COUNTIF('STOCKING STUFFERS'!$B$6:$B$155,$B52)&gt;1,1,0))</f>
      </c>
      <c r="P52" s="78">
        <f>IF(OR(N($J52)&gt;0,N($K52)&gt;0),IF($F52="",1,IF(COUNTIF('MASTER BUDGET'!$D$6:$D$25,$F52)=0,1,0)),0)</f>
      </c>
      <c r="Q52" s="78">
        <f>IF($C52="",0,IF(COUNTIF('PEOPLE + BUDGETS'!$B$6:$B$105,$C52)=0,1,0))</f>
      </c>
      <c r="R52" s="75"/>
    </row>
    <row r="53" ht="17" customHeight="1" spans="1:18" x14ac:dyDescent="0.25">
      <c r="A53" s="75"/>
      <c r="B53" s="79"/>
      <c r="C53" s="79"/>
      <c r="D53" s="78">
        <f>IF($B53="","",IF($C53="","",IFERROR(IF(INDEX('PEOPLE + BUDGETS'!$C$6:$C$105,MATCH($C53,'PEOPLE + BUDGETS'!$B$6:$B$105,0))="","",INDEX('PEOPLE + BUDGETS'!$C$6:$C$105,MATCH($C53,'PEOPLE + BUDGETS'!$B$6:$B$105,0))),"")))</f>
      </c>
      <c r="E53" s="80"/>
      <c r="F53" s="79"/>
      <c r="G53" s="79"/>
      <c r="H53" s="90"/>
      <c r="I53" s="86"/>
      <c r="J53" s="85">
        <f>IF($B53="","",ROUND($H53*$I53,2))</f>
      </c>
      <c r="K53" s="86"/>
      <c r="L53" s="79"/>
      <c r="M53" s="79"/>
      <c r="N53" s="80"/>
      <c r="O53" s="78">
        <f>IF($B53="",0,IF(COUNTIF('STOCKING STUFFERS'!$B$6:$B$155,$B53)&gt;1,1,0))</f>
      </c>
      <c r="P53" s="78">
        <f>IF(OR(N($J53)&gt;0,N($K53)&gt;0),IF($F53="",1,IF(COUNTIF('MASTER BUDGET'!$D$6:$D$25,$F53)=0,1,0)),0)</f>
      </c>
      <c r="Q53" s="78">
        <f>IF($C53="",0,IF(COUNTIF('PEOPLE + BUDGETS'!$B$6:$B$105,$C53)=0,1,0))</f>
      </c>
      <c r="R53" s="75"/>
    </row>
    <row r="54" ht="17" customHeight="1" spans="1:18" x14ac:dyDescent="0.25">
      <c r="A54" s="75"/>
      <c r="B54" s="79"/>
      <c r="C54" s="79"/>
      <c r="D54" s="78">
        <f>IF($B54="","",IF($C54="","",IFERROR(IF(INDEX('PEOPLE + BUDGETS'!$C$6:$C$105,MATCH($C54,'PEOPLE + BUDGETS'!$B$6:$B$105,0))="","",INDEX('PEOPLE + BUDGETS'!$C$6:$C$105,MATCH($C54,'PEOPLE + BUDGETS'!$B$6:$B$105,0))),"")))</f>
      </c>
      <c r="E54" s="80"/>
      <c r="F54" s="79"/>
      <c r="G54" s="79"/>
      <c r="H54" s="90"/>
      <c r="I54" s="86"/>
      <c r="J54" s="85">
        <f>IF($B54="","",ROUND($H54*$I54,2))</f>
      </c>
      <c r="K54" s="86"/>
      <c r="L54" s="79"/>
      <c r="M54" s="79"/>
      <c r="N54" s="80"/>
      <c r="O54" s="78">
        <f>IF($B54="",0,IF(COUNTIF('STOCKING STUFFERS'!$B$6:$B$155,$B54)&gt;1,1,0))</f>
      </c>
      <c r="P54" s="78">
        <f>IF(OR(N($J54)&gt;0,N($K54)&gt;0),IF($F54="",1,IF(COUNTIF('MASTER BUDGET'!$D$6:$D$25,$F54)=0,1,0)),0)</f>
      </c>
      <c r="Q54" s="78">
        <f>IF($C54="",0,IF(COUNTIF('PEOPLE + BUDGETS'!$B$6:$B$105,$C54)=0,1,0))</f>
      </c>
      <c r="R54" s="75"/>
    </row>
    <row r="55" ht="17" customHeight="1" spans="1:18" x14ac:dyDescent="0.25">
      <c r="A55" s="75"/>
      <c r="B55" s="79"/>
      <c r="C55" s="79"/>
      <c r="D55" s="78">
        <f>IF($B55="","",IF($C55="","",IFERROR(IF(INDEX('PEOPLE + BUDGETS'!$C$6:$C$105,MATCH($C55,'PEOPLE + BUDGETS'!$B$6:$B$105,0))="","",INDEX('PEOPLE + BUDGETS'!$C$6:$C$105,MATCH($C55,'PEOPLE + BUDGETS'!$B$6:$B$105,0))),"")))</f>
      </c>
      <c r="E55" s="80"/>
      <c r="F55" s="79"/>
      <c r="G55" s="79"/>
      <c r="H55" s="90"/>
      <c r="I55" s="86"/>
      <c r="J55" s="85">
        <f>IF($B55="","",ROUND($H55*$I55,2))</f>
      </c>
      <c r="K55" s="86"/>
      <c r="L55" s="79"/>
      <c r="M55" s="79"/>
      <c r="N55" s="80"/>
      <c r="O55" s="78">
        <f>IF($B55="",0,IF(COUNTIF('STOCKING STUFFERS'!$B$6:$B$155,$B55)&gt;1,1,0))</f>
      </c>
      <c r="P55" s="78">
        <f>IF(OR(N($J55)&gt;0,N($K55)&gt;0),IF($F55="",1,IF(COUNTIF('MASTER BUDGET'!$D$6:$D$25,$F55)=0,1,0)),0)</f>
      </c>
      <c r="Q55" s="78">
        <f>IF($C55="",0,IF(COUNTIF('PEOPLE + BUDGETS'!$B$6:$B$105,$C55)=0,1,0))</f>
      </c>
      <c r="R55" s="75"/>
    </row>
    <row r="56" ht="17" customHeight="1" spans="1:18" x14ac:dyDescent="0.25">
      <c r="A56" s="75"/>
      <c r="B56" s="79"/>
      <c r="C56" s="79"/>
      <c r="D56" s="78">
        <f>IF($B56="","",IF($C56="","",IFERROR(IF(INDEX('PEOPLE + BUDGETS'!$C$6:$C$105,MATCH($C56,'PEOPLE + BUDGETS'!$B$6:$B$105,0))="","",INDEX('PEOPLE + BUDGETS'!$C$6:$C$105,MATCH($C56,'PEOPLE + BUDGETS'!$B$6:$B$105,0))),"")))</f>
      </c>
      <c r="E56" s="80"/>
      <c r="F56" s="79"/>
      <c r="G56" s="79"/>
      <c r="H56" s="90"/>
      <c r="I56" s="86"/>
      <c r="J56" s="85">
        <f>IF($B56="","",ROUND($H56*$I56,2))</f>
      </c>
      <c r="K56" s="86"/>
      <c r="L56" s="79"/>
      <c r="M56" s="79"/>
      <c r="N56" s="80"/>
      <c r="O56" s="78">
        <f>IF($B56="",0,IF(COUNTIF('STOCKING STUFFERS'!$B$6:$B$155,$B56)&gt;1,1,0))</f>
      </c>
      <c r="P56" s="78">
        <f>IF(OR(N($J56)&gt;0,N($K56)&gt;0),IF($F56="",1,IF(COUNTIF('MASTER BUDGET'!$D$6:$D$25,$F56)=0,1,0)),0)</f>
      </c>
      <c r="Q56" s="78">
        <f>IF($C56="",0,IF(COUNTIF('PEOPLE + BUDGETS'!$B$6:$B$105,$C56)=0,1,0))</f>
      </c>
      <c r="R56" s="75"/>
    </row>
    <row r="57" ht="17" customHeight="1" spans="1:18" x14ac:dyDescent="0.25">
      <c r="A57" s="75"/>
      <c r="B57" s="79"/>
      <c r="C57" s="79"/>
      <c r="D57" s="78">
        <f>IF($B57="","",IF($C57="","",IFERROR(IF(INDEX('PEOPLE + BUDGETS'!$C$6:$C$105,MATCH($C57,'PEOPLE + BUDGETS'!$B$6:$B$105,0))="","",INDEX('PEOPLE + BUDGETS'!$C$6:$C$105,MATCH($C57,'PEOPLE + BUDGETS'!$B$6:$B$105,0))),"")))</f>
      </c>
      <c r="E57" s="80"/>
      <c r="F57" s="79"/>
      <c r="G57" s="79"/>
      <c r="H57" s="90"/>
      <c r="I57" s="86"/>
      <c r="J57" s="85">
        <f>IF($B57="","",ROUND($H57*$I57,2))</f>
      </c>
      <c r="K57" s="86"/>
      <c r="L57" s="79"/>
      <c r="M57" s="79"/>
      <c r="N57" s="80"/>
      <c r="O57" s="78">
        <f>IF($B57="",0,IF(COUNTIF('STOCKING STUFFERS'!$B$6:$B$155,$B57)&gt;1,1,0))</f>
      </c>
      <c r="P57" s="78">
        <f>IF(OR(N($J57)&gt;0,N($K57)&gt;0),IF($F57="",1,IF(COUNTIF('MASTER BUDGET'!$D$6:$D$25,$F57)=0,1,0)),0)</f>
      </c>
      <c r="Q57" s="78">
        <f>IF($C57="",0,IF(COUNTIF('PEOPLE + BUDGETS'!$B$6:$B$105,$C57)=0,1,0))</f>
      </c>
      <c r="R57" s="75"/>
    </row>
    <row r="58" ht="17" customHeight="1" spans="1:18" x14ac:dyDescent="0.25">
      <c r="A58" s="75"/>
      <c r="B58" s="79"/>
      <c r="C58" s="79"/>
      <c r="D58" s="78">
        <f>IF($B58="","",IF($C58="","",IFERROR(IF(INDEX('PEOPLE + BUDGETS'!$C$6:$C$105,MATCH($C58,'PEOPLE + BUDGETS'!$B$6:$B$105,0))="","",INDEX('PEOPLE + BUDGETS'!$C$6:$C$105,MATCH($C58,'PEOPLE + BUDGETS'!$B$6:$B$105,0))),"")))</f>
      </c>
      <c r="E58" s="80"/>
      <c r="F58" s="79"/>
      <c r="G58" s="79"/>
      <c r="H58" s="90"/>
      <c r="I58" s="86"/>
      <c r="J58" s="85">
        <f>IF($B58="","",ROUND($H58*$I58,2))</f>
      </c>
      <c r="K58" s="86"/>
      <c r="L58" s="79"/>
      <c r="M58" s="79"/>
      <c r="N58" s="80"/>
      <c r="O58" s="78">
        <f>IF($B58="",0,IF(COUNTIF('STOCKING STUFFERS'!$B$6:$B$155,$B58)&gt;1,1,0))</f>
      </c>
      <c r="P58" s="78">
        <f>IF(OR(N($J58)&gt;0,N($K58)&gt;0),IF($F58="",1,IF(COUNTIF('MASTER BUDGET'!$D$6:$D$25,$F58)=0,1,0)),0)</f>
      </c>
      <c r="Q58" s="78">
        <f>IF($C58="",0,IF(COUNTIF('PEOPLE + BUDGETS'!$B$6:$B$105,$C58)=0,1,0))</f>
      </c>
      <c r="R58" s="75"/>
    </row>
    <row r="59" ht="17" customHeight="1" spans="1:18" x14ac:dyDescent="0.25">
      <c r="A59" s="75"/>
      <c r="B59" s="79"/>
      <c r="C59" s="79"/>
      <c r="D59" s="78">
        <f>IF($B59="","",IF($C59="","",IFERROR(IF(INDEX('PEOPLE + BUDGETS'!$C$6:$C$105,MATCH($C59,'PEOPLE + BUDGETS'!$B$6:$B$105,0))="","",INDEX('PEOPLE + BUDGETS'!$C$6:$C$105,MATCH($C59,'PEOPLE + BUDGETS'!$B$6:$B$105,0))),"")))</f>
      </c>
      <c r="E59" s="80"/>
      <c r="F59" s="79"/>
      <c r="G59" s="79"/>
      <c r="H59" s="90"/>
      <c r="I59" s="86"/>
      <c r="J59" s="85">
        <f>IF($B59="","",ROUND($H59*$I59,2))</f>
      </c>
      <c r="K59" s="86"/>
      <c r="L59" s="79"/>
      <c r="M59" s="79"/>
      <c r="N59" s="80"/>
      <c r="O59" s="78">
        <f>IF($B59="",0,IF(COUNTIF('STOCKING STUFFERS'!$B$6:$B$155,$B59)&gt;1,1,0))</f>
      </c>
      <c r="P59" s="78">
        <f>IF(OR(N($J59)&gt;0,N($K59)&gt;0),IF($F59="",1,IF(COUNTIF('MASTER BUDGET'!$D$6:$D$25,$F59)=0,1,0)),0)</f>
      </c>
      <c r="Q59" s="78">
        <f>IF($C59="",0,IF(COUNTIF('PEOPLE + BUDGETS'!$B$6:$B$105,$C59)=0,1,0))</f>
      </c>
      <c r="R59" s="75"/>
    </row>
    <row r="60" ht="17" customHeight="1" spans="1:18" x14ac:dyDescent="0.25">
      <c r="A60" s="75"/>
      <c r="B60" s="79"/>
      <c r="C60" s="79"/>
      <c r="D60" s="78">
        <f>IF($B60="","",IF($C60="","",IFERROR(IF(INDEX('PEOPLE + BUDGETS'!$C$6:$C$105,MATCH($C60,'PEOPLE + BUDGETS'!$B$6:$B$105,0))="","",INDEX('PEOPLE + BUDGETS'!$C$6:$C$105,MATCH($C60,'PEOPLE + BUDGETS'!$B$6:$B$105,0))),"")))</f>
      </c>
      <c r="E60" s="80"/>
      <c r="F60" s="79"/>
      <c r="G60" s="79"/>
      <c r="H60" s="90"/>
      <c r="I60" s="86"/>
      <c r="J60" s="85">
        <f>IF($B60="","",ROUND($H60*$I60,2))</f>
      </c>
      <c r="K60" s="86"/>
      <c r="L60" s="79"/>
      <c r="M60" s="79"/>
      <c r="N60" s="80"/>
      <c r="O60" s="78">
        <f>IF($B60="",0,IF(COUNTIF('STOCKING STUFFERS'!$B$6:$B$155,$B60)&gt;1,1,0))</f>
      </c>
      <c r="P60" s="78">
        <f>IF(OR(N($J60)&gt;0,N($K60)&gt;0),IF($F60="",1,IF(COUNTIF('MASTER BUDGET'!$D$6:$D$25,$F60)=0,1,0)),0)</f>
      </c>
      <c r="Q60" s="78">
        <f>IF($C60="",0,IF(COUNTIF('PEOPLE + BUDGETS'!$B$6:$B$105,$C60)=0,1,0))</f>
      </c>
      <c r="R60" s="75"/>
    </row>
    <row r="61" ht="17" customHeight="1" spans="1:18" x14ac:dyDescent="0.25">
      <c r="A61" s="75"/>
      <c r="B61" s="79"/>
      <c r="C61" s="79"/>
      <c r="D61" s="78">
        <f>IF($B61="","",IF($C61="","",IFERROR(IF(INDEX('PEOPLE + BUDGETS'!$C$6:$C$105,MATCH($C61,'PEOPLE + BUDGETS'!$B$6:$B$105,0))="","",INDEX('PEOPLE + BUDGETS'!$C$6:$C$105,MATCH($C61,'PEOPLE + BUDGETS'!$B$6:$B$105,0))),"")))</f>
      </c>
      <c r="E61" s="80"/>
      <c r="F61" s="79"/>
      <c r="G61" s="79"/>
      <c r="H61" s="90"/>
      <c r="I61" s="86"/>
      <c r="J61" s="85">
        <f>IF($B61="","",ROUND($H61*$I61,2))</f>
      </c>
      <c r="K61" s="86"/>
      <c r="L61" s="79"/>
      <c r="M61" s="79"/>
      <c r="N61" s="80"/>
      <c r="O61" s="78">
        <f>IF($B61="",0,IF(COUNTIF('STOCKING STUFFERS'!$B$6:$B$155,$B61)&gt;1,1,0))</f>
      </c>
      <c r="P61" s="78">
        <f>IF(OR(N($J61)&gt;0,N($K61)&gt;0),IF($F61="",1,IF(COUNTIF('MASTER BUDGET'!$D$6:$D$25,$F61)=0,1,0)),0)</f>
      </c>
      <c r="Q61" s="78">
        <f>IF($C61="",0,IF(COUNTIF('PEOPLE + BUDGETS'!$B$6:$B$105,$C61)=0,1,0))</f>
      </c>
      <c r="R61" s="75"/>
    </row>
    <row r="62" ht="17" customHeight="1" spans="1:18" x14ac:dyDescent="0.25">
      <c r="A62" s="75"/>
      <c r="B62" s="79"/>
      <c r="C62" s="79"/>
      <c r="D62" s="78">
        <f>IF($B62="","",IF($C62="","",IFERROR(IF(INDEX('PEOPLE + BUDGETS'!$C$6:$C$105,MATCH($C62,'PEOPLE + BUDGETS'!$B$6:$B$105,0))="","",INDEX('PEOPLE + BUDGETS'!$C$6:$C$105,MATCH($C62,'PEOPLE + BUDGETS'!$B$6:$B$105,0))),"")))</f>
      </c>
      <c r="E62" s="80"/>
      <c r="F62" s="79"/>
      <c r="G62" s="79"/>
      <c r="H62" s="90"/>
      <c r="I62" s="86"/>
      <c r="J62" s="85">
        <f>IF($B62="","",ROUND($H62*$I62,2))</f>
      </c>
      <c r="K62" s="86"/>
      <c r="L62" s="79"/>
      <c r="M62" s="79"/>
      <c r="N62" s="80"/>
      <c r="O62" s="78">
        <f>IF($B62="",0,IF(COUNTIF('STOCKING STUFFERS'!$B$6:$B$155,$B62)&gt;1,1,0))</f>
      </c>
      <c r="P62" s="78">
        <f>IF(OR(N($J62)&gt;0,N($K62)&gt;0),IF($F62="",1,IF(COUNTIF('MASTER BUDGET'!$D$6:$D$25,$F62)=0,1,0)),0)</f>
      </c>
      <c r="Q62" s="78">
        <f>IF($C62="",0,IF(COUNTIF('PEOPLE + BUDGETS'!$B$6:$B$105,$C62)=0,1,0))</f>
      </c>
      <c r="R62" s="75"/>
    </row>
    <row r="63" ht="17" customHeight="1" spans="1:18" x14ac:dyDescent="0.25">
      <c r="A63" s="75"/>
      <c r="B63" s="79"/>
      <c r="C63" s="79"/>
      <c r="D63" s="78">
        <f>IF($B63="","",IF($C63="","",IFERROR(IF(INDEX('PEOPLE + BUDGETS'!$C$6:$C$105,MATCH($C63,'PEOPLE + BUDGETS'!$B$6:$B$105,0))="","",INDEX('PEOPLE + BUDGETS'!$C$6:$C$105,MATCH($C63,'PEOPLE + BUDGETS'!$B$6:$B$105,0))),"")))</f>
      </c>
      <c r="E63" s="80"/>
      <c r="F63" s="79"/>
      <c r="G63" s="79"/>
      <c r="H63" s="90"/>
      <c r="I63" s="86"/>
      <c r="J63" s="85">
        <f>IF($B63="","",ROUND($H63*$I63,2))</f>
      </c>
      <c r="K63" s="86"/>
      <c r="L63" s="79"/>
      <c r="M63" s="79"/>
      <c r="N63" s="80"/>
      <c r="O63" s="78">
        <f>IF($B63="",0,IF(COUNTIF('STOCKING STUFFERS'!$B$6:$B$155,$B63)&gt;1,1,0))</f>
      </c>
      <c r="P63" s="78">
        <f>IF(OR(N($J63)&gt;0,N($K63)&gt;0),IF($F63="",1,IF(COUNTIF('MASTER BUDGET'!$D$6:$D$25,$F63)=0,1,0)),0)</f>
      </c>
      <c r="Q63" s="78">
        <f>IF($C63="",0,IF(COUNTIF('PEOPLE + BUDGETS'!$B$6:$B$105,$C63)=0,1,0))</f>
      </c>
      <c r="R63" s="75"/>
    </row>
    <row r="64" ht="17" customHeight="1" spans="1:18" x14ac:dyDescent="0.25">
      <c r="A64" s="75"/>
      <c r="B64" s="79"/>
      <c r="C64" s="79"/>
      <c r="D64" s="78">
        <f>IF($B64="","",IF($C64="","",IFERROR(IF(INDEX('PEOPLE + BUDGETS'!$C$6:$C$105,MATCH($C64,'PEOPLE + BUDGETS'!$B$6:$B$105,0))="","",INDEX('PEOPLE + BUDGETS'!$C$6:$C$105,MATCH($C64,'PEOPLE + BUDGETS'!$B$6:$B$105,0))),"")))</f>
      </c>
      <c r="E64" s="80"/>
      <c r="F64" s="79"/>
      <c r="G64" s="79"/>
      <c r="H64" s="90"/>
      <c r="I64" s="86"/>
      <c r="J64" s="85">
        <f>IF($B64="","",ROUND($H64*$I64,2))</f>
      </c>
      <c r="K64" s="86"/>
      <c r="L64" s="79"/>
      <c r="M64" s="79"/>
      <c r="N64" s="80"/>
      <c r="O64" s="78">
        <f>IF($B64="",0,IF(COUNTIF('STOCKING STUFFERS'!$B$6:$B$155,$B64)&gt;1,1,0))</f>
      </c>
      <c r="P64" s="78">
        <f>IF(OR(N($J64)&gt;0,N($K64)&gt;0),IF($F64="",1,IF(COUNTIF('MASTER BUDGET'!$D$6:$D$25,$F64)=0,1,0)),0)</f>
      </c>
      <c r="Q64" s="78">
        <f>IF($C64="",0,IF(COUNTIF('PEOPLE + BUDGETS'!$B$6:$B$105,$C64)=0,1,0))</f>
      </c>
      <c r="R64" s="75"/>
    </row>
    <row r="65" ht="17" customHeight="1" spans="1:18" x14ac:dyDescent="0.25">
      <c r="A65" s="75"/>
      <c r="B65" s="79"/>
      <c r="C65" s="79"/>
      <c r="D65" s="78">
        <f>IF($B65="","",IF($C65="","",IFERROR(IF(INDEX('PEOPLE + BUDGETS'!$C$6:$C$105,MATCH($C65,'PEOPLE + BUDGETS'!$B$6:$B$105,0))="","",INDEX('PEOPLE + BUDGETS'!$C$6:$C$105,MATCH($C65,'PEOPLE + BUDGETS'!$B$6:$B$105,0))),"")))</f>
      </c>
      <c r="E65" s="80"/>
      <c r="F65" s="79"/>
      <c r="G65" s="79"/>
      <c r="H65" s="90"/>
      <c r="I65" s="86"/>
      <c r="J65" s="85">
        <f>IF($B65="","",ROUND($H65*$I65,2))</f>
      </c>
      <c r="K65" s="86"/>
      <c r="L65" s="79"/>
      <c r="M65" s="79"/>
      <c r="N65" s="80"/>
      <c r="O65" s="78">
        <f>IF($B65="",0,IF(COUNTIF('STOCKING STUFFERS'!$B$6:$B$155,$B65)&gt;1,1,0))</f>
      </c>
      <c r="P65" s="78">
        <f>IF(OR(N($J65)&gt;0,N($K65)&gt;0),IF($F65="",1,IF(COUNTIF('MASTER BUDGET'!$D$6:$D$25,$F65)=0,1,0)),0)</f>
      </c>
      <c r="Q65" s="78">
        <f>IF($C65="",0,IF(COUNTIF('PEOPLE + BUDGETS'!$B$6:$B$105,$C65)=0,1,0))</f>
      </c>
      <c r="R65" s="75"/>
    </row>
    <row r="66" ht="17" customHeight="1" spans="1:18" x14ac:dyDescent="0.25">
      <c r="A66" s="75"/>
      <c r="B66" s="79"/>
      <c r="C66" s="79"/>
      <c r="D66" s="78">
        <f>IF($B66="","",IF($C66="","",IFERROR(IF(INDEX('PEOPLE + BUDGETS'!$C$6:$C$105,MATCH($C66,'PEOPLE + BUDGETS'!$B$6:$B$105,0))="","",INDEX('PEOPLE + BUDGETS'!$C$6:$C$105,MATCH($C66,'PEOPLE + BUDGETS'!$B$6:$B$105,0))),"")))</f>
      </c>
      <c r="E66" s="80"/>
      <c r="F66" s="79"/>
      <c r="G66" s="79"/>
      <c r="H66" s="90"/>
      <c r="I66" s="86"/>
      <c r="J66" s="85">
        <f>IF($B66="","",ROUND($H66*$I66,2))</f>
      </c>
      <c r="K66" s="86"/>
      <c r="L66" s="79"/>
      <c r="M66" s="79"/>
      <c r="N66" s="80"/>
      <c r="O66" s="78">
        <f>IF($B66="",0,IF(COUNTIF('STOCKING STUFFERS'!$B$6:$B$155,$B66)&gt;1,1,0))</f>
      </c>
      <c r="P66" s="78">
        <f>IF(OR(N($J66)&gt;0,N($K66)&gt;0),IF($F66="",1,IF(COUNTIF('MASTER BUDGET'!$D$6:$D$25,$F66)=0,1,0)),0)</f>
      </c>
      <c r="Q66" s="78">
        <f>IF($C66="",0,IF(COUNTIF('PEOPLE + BUDGETS'!$B$6:$B$105,$C66)=0,1,0))</f>
      </c>
      <c r="R66" s="75"/>
    </row>
    <row r="67" ht="17" customHeight="1" spans="1:18" x14ac:dyDescent="0.25">
      <c r="A67" s="75"/>
      <c r="B67" s="79"/>
      <c r="C67" s="79"/>
      <c r="D67" s="78">
        <f>IF($B67="","",IF($C67="","",IFERROR(IF(INDEX('PEOPLE + BUDGETS'!$C$6:$C$105,MATCH($C67,'PEOPLE + BUDGETS'!$B$6:$B$105,0))="","",INDEX('PEOPLE + BUDGETS'!$C$6:$C$105,MATCH($C67,'PEOPLE + BUDGETS'!$B$6:$B$105,0))),"")))</f>
      </c>
      <c r="E67" s="80"/>
      <c r="F67" s="79"/>
      <c r="G67" s="79"/>
      <c r="H67" s="90"/>
      <c r="I67" s="86"/>
      <c r="J67" s="85">
        <f>IF($B67="","",ROUND($H67*$I67,2))</f>
      </c>
      <c r="K67" s="86"/>
      <c r="L67" s="79"/>
      <c r="M67" s="79"/>
      <c r="N67" s="80"/>
      <c r="O67" s="78">
        <f>IF($B67="",0,IF(COUNTIF('STOCKING STUFFERS'!$B$6:$B$155,$B67)&gt;1,1,0))</f>
      </c>
      <c r="P67" s="78">
        <f>IF(OR(N($J67)&gt;0,N($K67)&gt;0),IF($F67="",1,IF(COUNTIF('MASTER BUDGET'!$D$6:$D$25,$F67)=0,1,0)),0)</f>
      </c>
      <c r="Q67" s="78">
        <f>IF($C67="",0,IF(COUNTIF('PEOPLE + BUDGETS'!$B$6:$B$105,$C67)=0,1,0))</f>
      </c>
      <c r="R67" s="75"/>
    </row>
    <row r="68" ht="17" customHeight="1" spans="1:18" x14ac:dyDescent="0.25">
      <c r="A68" s="75"/>
      <c r="B68" s="79"/>
      <c r="C68" s="79"/>
      <c r="D68" s="78">
        <f>IF($B68="","",IF($C68="","",IFERROR(IF(INDEX('PEOPLE + BUDGETS'!$C$6:$C$105,MATCH($C68,'PEOPLE + BUDGETS'!$B$6:$B$105,0))="","",INDEX('PEOPLE + BUDGETS'!$C$6:$C$105,MATCH($C68,'PEOPLE + BUDGETS'!$B$6:$B$105,0))),"")))</f>
      </c>
      <c r="E68" s="80"/>
      <c r="F68" s="79"/>
      <c r="G68" s="79"/>
      <c r="H68" s="90"/>
      <c r="I68" s="86"/>
      <c r="J68" s="85">
        <f>IF($B68="","",ROUND($H68*$I68,2))</f>
      </c>
      <c r="K68" s="86"/>
      <c r="L68" s="79"/>
      <c r="M68" s="79"/>
      <c r="N68" s="80"/>
      <c r="O68" s="78">
        <f>IF($B68="",0,IF(COUNTIF('STOCKING STUFFERS'!$B$6:$B$155,$B68)&gt;1,1,0))</f>
      </c>
      <c r="P68" s="78">
        <f>IF(OR(N($J68)&gt;0,N($K68)&gt;0),IF($F68="",1,IF(COUNTIF('MASTER BUDGET'!$D$6:$D$25,$F68)=0,1,0)),0)</f>
      </c>
      <c r="Q68" s="78">
        <f>IF($C68="",0,IF(COUNTIF('PEOPLE + BUDGETS'!$B$6:$B$105,$C68)=0,1,0))</f>
      </c>
      <c r="R68" s="75"/>
    </row>
    <row r="69" ht="17" customHeight="1" spans="1:18" x14ac:dyDescent="0.25">
      <c r="A69" s="75"/>
      <c r="B69" s="79"/>
      <c r="C69" s="79"/>
      <c r="D69" s="78">
        <f>IF($B69="","",IF($C69="","",IFERROR(IF(INDEX('PEOPLE + BUDGETS'!$C$6:$C$105,MATCH($C69,'PEOPLE + BUDGETS'!$B$6:$B$105,0))="","",INDEX('PEOPLE + BUDGETS'!$C$6:$C$105,MATCH($C69,'PEOPLE + BUDGETS'!$B$6:$B$105,0))),"")))</f>
      </c>
      <c r="E69" s="80"/>
      <c r="F69" s="79"/>
      <c r="G69" s="79"/>
      <c r="H69" s="90"/>
      <c r="I69" s="86"/>
      <c r="J69" s="85">
        <f>IF($B69="","",ROUND($H69*$I69,2))</f>
      </c>
      <c r="K69" s="86"/>
      <c r="L69" s="79"/>
      <c r="M69" s="79"/>
      <c r="N69" s="80"/>
      <c r="O69" s="78">
        <f>IF($B69="",0,IF(COUNTIF('STOCKING STUFFERS'!$B$6:$B$155,$B69)&gt;1,1,0))</f>
      </c>
      <c r="P69" s="78">
        <f>IF(OR(N($J69)&gt;0,N($K69)&gt;0),IF($F69="",1,IF(COUNTIF('MASTER BUDGET'!$D$6:$D$25,$F69)=0,1,0)),0)</f>
      </c>
      <c r="Q69" s="78">
        <f>IF($C69="",0,IF(COUNTIF('PEOPLE + BUDGETS'!$B$6:$B$105,$C69)=0,1,0))</f>
      </c>
      <c r="R69" s="75"/>
    </row>
    <row r="70" ht="17" customHeight="1" spans="1:18" x14ac:dyDescent="0.25">
      <c r="A70" s="75"/>
      <c r="B70" s="79"/>
      <c r="C70" s="79"/>
      <c r="D70" s="78">
        <f>IF($B70="","",IF($C70="","",IFERROR(IF(INDEX('PEOPLE + BUDGETS'!$C$6:$C$105,MATCH($C70,'PEOPLE + BUDGETS'!$B$6:$B$105,0))="","",INDEX('PEOPLE + BUDGETS'!$C$6:$C$105,MATCH($C70,'PEOPLE + BUDGETS'!$B$6:$B$105,0))),"")))</f>
      </c>
      <c r="E70" s="80"/>
      <c r="F70" s="79"/>
      <c r="G70" s="79"/>
      <c r="H70" s="90"/>
      <c r="I70" s="86"/>
      <c r="J70" s="85">
        <f>IF($B70="","",ROUND($H70*$I70,2))</f>
      </c>
      <c r="K70" s="86"/>
      <c r="L70" s="79"/>
      <c r="M70" s="79"/>
      <c r="N70" s="80"/>
      <c r="O70" s="78">
        <f>IF($B70="",0,IF(COUNTIF('STOCKING STUFFERS'!$B$6:$B$155,$B70)&gt;1,1,0))</f>
      </c>
      <c r="P70" s="78">
        <f>IF(OR(N($J70)&gt;0,N($K70)&gt;0),IF($F70="",1,IF(COUNTIF('MASTER BUDGET'!$D$6:$D$25,$F70)=0,1,0)),0)</f>
      </c>
      <c r="Q70" s="78">
        <f>IF($C70="",0,IF(COUNTIF('PEOPLE + BUDGETS'!$B$6:$B$105,$C70)=0,1,0))</f>
      </c>
      <c r="R70" s="75"/>
    </row>
    <row r="71" ht="17" customHeight="1" spans="1:18" x14ac:dyDescent="0.25">
      <c r="A71" s="75"/>
      <c r="B71" s="79"/>
      <c r="C71" s="79"/>
      <c r="D71" s="78">
        <f>IF($B71="","",IF($C71="","",IFERROR(IF(INDEX('PEOPLE + BUDGETS'!$C$6:$C$105,MATCH($C71,'PEOPLE + BUDGETS'!$B$6:$B$105,0))="","",INDEX('PEOPLE + BUDGETS'!$C$6:$C$105,MATCH($C71,'PEOPLE + BUDGETS'!$B$6:$B$105,0))),"")))</f>
      </c>
      <c r="E71" s="80"/>
      <c r="F71" s="79"/>
      <c r="G71" s="79"/>
      <c r="H71" s="90"/>
      <c r="I71" s="86"/>
      <c r="J71" s="85">
        <f>IF($B71="","",ROUND($H71*$I71,2))</f>
      </c>
      <c r="K71" s="86"/>
      <c r="L71" s="79"/>
      <c r="M71" s="79"/>
      <c r="N71" s="80"/>
      <c r="O71" s="78">
        <f>IF($B71="",0,IF(COUNTIF('STOCKING STUFFERS'!$B$6:$B$155,$B71)&gt;1,1,0))</f>
      </c>
      <c r="P71" s="78">
        <f>IF(OR(N($J71)&gt;0,N($K71)&gt;0),IF($F71="",1,IF(COUNTIF('MASTER BUDGET'!$D$6:$D$25,$F71)=0,1,0)),0)</f>
      </c>
      <c r="Q71" s="78">
        <f>IF($C71="",0,IF(COUNTIF('PEOPLE + BUDGETS'!$B$6:$B$105,$C71)=0,1,0))</f>
      </c>
      <c r="R71" s="75"/>
    </row>
    <row r="72" ht="17" customHeight="1" spans="1:18" x14ac:dyDescent="0.25">
      <c r="A72" s="75"/>
      <c r="B72" s="79"/>
      <c r="C72" s="79"/>
      <c r="D72" s="78">
        <f>IF($B72="","",IF($C72="","",IFERROR(IF(INDEX('PEOPLE + BUDGETS'!$C$6:$C$105,MATCH($C72,'PEOPLE + BUDGETS'!$B$6:$B$105,0))="","",INDEX('PEOPLE + BUDGETS'!$C$6:$C$105,MATCH($C72,'PEOPLE + BUDGETS'!$B$6:$B$105,0))),"")))</f>
      </c>
      <c r="E72" s="80"/>
      <c r="F72" s="79"/>
      <c r="G72" s="79"/>
      <c r="H72" s="90"/>
      <c r="I72" s="86"/>
      <c r="J72" s="85">
        <f>IF($B72="","",ROUND($H72*$I72,2))</f>
      </c>
      <c r="K72" s="86"/>
      <c r="L72" s="79"/>
      <c r="M72" s="79"/>
      <c r="N72" s="80"/>
      <c r="O72" s="78">
        <f>IF($B72="",0,IF(COUNTIF('STOCKING STUFFERS'!$B$6:$B$155,$B72)&gt;1,1,0))</f>
      </c>
      <c r="P72" s="78">
        <f>IF(OR(N($J72)&gt;0,N($K72)&gt;0),IF($F72="",1,IF(COUNTIF('MASTER BUDGET'!$D$6:$D$25,$F72)=0,1,0)),0)</f>
      </c>
      <c r="Q72" s="78">
        <f>IF($C72="",0,IF(COUNTIF('PEOPLE + BUDGETS'!$B$6:$B$105,$C72)=0,1,0))</f>
      </c>
      <c r="R72" s="75"/>
    </row>
    <row r="73" ht="17" customHeight="1" spans="1:18" x14ac:dyDescent="0.25">
      <c r="A73" s="75"/>
      <c r="B73" s="79"/>
      <c r="C73" s="79"/>
      <c r="D73" s="78">
        <f>IF($B73="","",IF($C73="","",IFERROR(IF(INDEX('PEOPLE + BUDGETS'!$C$6:$C$105,MATCH($C73,'PEOPLE + BUDGETS'!$B$6:$B$105,0))="","",INDEX('PEOPLE + BUDGETS'!$C$6:$C$105,MATCH($C73,'PEOPLE + BUDGETS'!$B$6:$B$105,0))),"")))</f>
      </c>
      <c r="E73" s="80"/>
      <c r="F73" s="79"/>
      <c r="G73" s="79"/>
      <c r="H73" s="90"/>
      <c r="I73" s="86"/>
      <c r="J73" s="85">
        <f>IF($B73="","",ROUND($H73*$I73,2))</f>
      </c>
      <c r="K73" s="86"/>
      <c r="L73" s="79"/>
      <c r="M73" s="79"/>
      <c r="N73" s="80"/>
      <c r="O73" s="78">
        <f>IF($B73="",0,IF(COUNTIF('STOCKING STUFFERS'!$B$6:$B$155,$B73)&gt;1,1,0))</f>
      </c>
      <c r="P73" s="78">
        <f>IF(OR(N($J73)&gt;0,N($K73)&gt;0),IF($F73="",1,IF(COUNTIF('MASTER BUDGET'!$D$6:$D$25,$F73)=0,1,0)),0)</f>
      </c>
      <c r="Q73" s="78">
        <f>IF($C73="",0,IF(COUNTIF('PEOPLE + BUDGETS'!$B$6:$B$105,$C73)=0,1,0))</f>
      </c>
      <c r="R73" s="75"/>
    </row>
    <row r="74" ht="17" customHeight="1" spans="1:18" x14ac:dyDescent="0.25">
      <c r="A74" s="75"/>
      <c r="B74" s="79"/>
      <c r="C74" s="79"/>
      <c r="D74" s="78">
        <f>IF($B74="","",IF($C74="","",IFERROR(IF(INDEX('PEOPLE + BUDGETS'!$C$6:$C$105,MATCH($C74,'PEOPLE + BUDGETS'!$B$6:$B$105,0))="","",INDEX('PEOPLE + BUDGETS'!$C$6:$C$105,MATCH($C74,'PEOPLE + BUDGETS'!$B$6:$B$105,0))),"")))</f>
      </c>
      <c r="E74" s="80"/>
      <c r="F74" s="79"/>
      <c r="G74" s="79"/>
      <c r="H74" s="90"/>
      <c r="I74" s="86"/>
      <c r="J74" s="85">
        <f>IF($B74="","",ROUND($H74*$I74,2))</f>
      </c>
      <c r="K74" s="86"/>
      <c r="L74" s="79"/>
      <c r="M74" s="79"/>
      <c r="N74" s="80"/>
      <c r="O74" s="78">
        <f>IF($B74="",0,IF(COUNTIF('STOCKING STUFFERS'!$B$6:$B$155,$B74)&gt;1,1,0))</f>
      </c>
      <c r="P74" s="78">
        <f>IF(OR(N($J74)&gt;0,N($K74)&gt;0),IF($F74="",1,IF(COUNTIF('MASTER BUDGET'!$D$6:$D$25,$F74)=0,1,0)),0)</f>
      </c>
      <c r="Q74" s="78">
        <f>IF($C74="",0,IF(COUNTIF('PEOPLE + BUDGETS'!$B$6:$B$105,$C74)=0,1,0))</f>
      </c>
      <c r="R74" s="75"/>
    </row>
    <row r="75" ht="17" customHeight="1" spans="1:18" x14ac:dyDescent="0.25">
      <c r="A75" s="75"/>
      <c r="B75" s="79"/>
      <c r="C75" s="79"/>
      <c r="D75" s="78">
        <f>IF($B75="","",IF($C75="","",IFERROR(IF(INDEX('PEOPLE + BUDGETS'!$C$6:$C$105,MATCH($C75,'PEOPLE + BUDGETS'!$B$6:$B$105,0))="","",INDEX('PEOPLE + BUDGETS'!$C$6:$C$105,MATCH($C75,'PEOPLE + BUDGETS'!$B$6:$B$105,0))),"")))</f>
      </c>
      <c r="E75" s="80"/>
      <c r="F75" s="79"/>
      <c r="G75" s="79"/>
      <c r="H75" s="90"/>
      <c r="I75" s="86"/>
      <c r="J75" s="85">
        <f>IF($B75="","",ROUND($H75*$I75,2))</f>
      </c>
      <c r="K75" s="86"/>
      <c r="L75" s="79"/>
      <c r="M75" s="79"/>
      <c r="N75" s="80"/>
      <c r="O75" s="78">
        <f>IF($B75="",0,IF(COUNTIF('STOCKING STUFFERS'!$B$6:$B$155,$B75)&gt;1,1,0))</f>
      </c>
      <c r="P75" s="78">
        <f>IF(OR(N($J75)&gt;0,N($K75)&gt;0),IF($F75="",1,IF(COUNTIF('MASTER BUDGET'!$D$6:$D$25,$F75)=0,1,0)),0)</f>
      </c>
      <c r="Q75" s="78">
        <f>IF($C75="",0,IF(COUNTIF('PEOPLE + BUDGETS'!$B$6:$B$105,$C75)=0,1,0))</f>
      </c>
      <c r="R75" s="75"/>
    </row>
    <row r="76" ht="17" customHeight="1" spans="1:18" x14ac:dyDescent="0.25">
      <c r="A76" s="75"/>
      <c r="B76" s="79"/>
      <c r="C76" s="79"/>
      <c r="D76" s="78">
        <f>IF($B76="","",IF($C76="","",IFERROR(IF(INDEX('PEOPLE + BUDGETS'!$C$6:$C$105,MATCH($C76,'PEOPLE + BUDGETS'!$B$6:$B$105,0))="","",INDEX('PEOPLE + BUDGETS'!$C$6:$C$105,MATCH($C76,'PEOPLE + BUDGETS'!$B$6:$B$105,0))),"")))</f>
      </c>
      <c r="E76" s="80"/>
      <c r="F76" s="79"/>
      <c r="G76" s="79"/>
      <c r="H76" s="90"/>
      <c r="I76" s="86"/>
      <c r="J76" s="85">
        <f>IF($B76="","",ROUND($H76*$I76,2))</f>
      </c>
      <c r="K76" s="86"/>
      <c r="L76" s="79"/>
      <c r="M76" s="79"/>
      <c r="N76" s="80"/>
      <c r="O76" s="78">
        <f>IF($B76="",0,IF(COUNTIF('STOCKING STUFFERS'!$B$6:$B$155,$B76)&gt;1,1,0))</f>
      </c>
      <c r="P76" s="78">
        <f>IF(OR(N($J76)&gt;0,N($K76)&gt;0),IF($F76="",1,IF(COUNTIF('MASTER BUDGET'!$D$6:$D$25,$F76)=0,1,0)),0)</f>
      </c>
      <c r="Q76" s="78">
        <f>IF($C76="",0,IF(COUNTIF('PEOPLE + BUDGETS'!$B$6:$B$105,$C76)=0,1,0))</f>
      </c>
      <c r="R76" s="75"/>
    </row>
    <row r="77" ht="17" customHeight="1" spans="1:18" x14ac:dyDescent="0.25">
      <c r="A77" s="75"/>
      <c r="B77" s="79"/>
      <c r="C77" s="79"/>
      <c r="D77" s="78">
        <f>IF($B77="","",IF($C77="","",IFERROR(IF(INDEX('PEOPLE + BUDGETS'!$C$6:$C$105,MATCH($C77,'PEOPLE + BUDGETS'!$B$6:$B$105,0))="","",INDEX('PEOPLE + BUDGETS'!$C$6:$C$105,MATCH($C77,'PEOPLE + BUDGETS'!$B$6:$B$105,0))),"")))</f>
      </c>
      <c r="E77" s="80"/>
      <c r="F77" s="79"/>
      <c r="G77" s="79"/>
      <c r="H77" s="90"/>
      <c r="I77" s="86"/>
      <c r="J77" s="85">
        <f>IF($B77="","",ROUND($H77*$I77,2))</f>
      </c>
      <c r="K77" s="86"/>
      <c r="L77" s="79"/>
      <c r="M77" s="79"/>
      <c r="N77" s="80"/>
      <c r="O77" s="78">
        <f>IF($B77="",0,IF(COUNTIF('STOCKING STUFFERS'!$B$6:$B$155,$B77)&gt;1,1,0))</f>
      </c>
      <c r="P77" s="78">
        <f>IF(OR(N($J77)&gt;0,N($K77)&gt;0),IF($F77="",1,IF(COUNTIF('MASTER BUDGET'!$D$6:$D$25,$F77)=0,1,0)),0)</f>
      </c>
      <c r="Q77" s="78">
        <f>IF($C77="",0,IF(COUNTIF('PEOPLE + BUDGETS'!$B$6:$B$105,$C77)=0,1,0))</f>
      </c>
      <c r="R77" s="75"/>
    </row>
    <row r="78" ht="17" customHeight="1" spans="1:18" x14ac:dyDescent="0.25">
      <c r="A78" s="75"/>
      <c r="B78" s="79"/>
      <c r="C78" s="79"/>
      <c r="D78" s="78">
        <f>IF($B78="","",IF($C78="","",IFERROR(IF(INDEX('PEOPLE + BUDGETS'!$C$6:$C$105,MATCH($C78,'PEOPLE + BUDGETS'!$B$6:$B$105,0))="","",INDEX('PEOPLE + BUDGETS'!$C$6:$C$105,MATCH($C78,'PEOPLE + BUDGETS'!$B$6:$B$105,0))),"")))</f>
      </c>
      <c r="E78" s="80"/>
      <c r="F78" s="79"/>
      <c r="G78" s="79"/>
      <c r="H78" s="90"/>
      <c r="I78" s="86"/>
      <c r="J78" s="85">
        <f>IF($B78="","",ROUND($H78*$I78,2))</f>
      </c>
      <c r="K78" s="86"/>
      <c r="L78" s="79"/>
      <c r="M78" s="79"/>
      <c r="N78" s="80"/>
      <c r="O78" s="78">
        <f>IF($B78="",0,IF(COUNTIF('STOCKING STUFFERS'!$B$6:$B$155,$B78)&gt;1,1,0))</f>
      </c>
      <c r="P78" s="78">
        <f>IF(OR(N($J78)&gt;0,N($K78)&gt;0),IF($F78="",1,IF(COUNTIF('MASTER BUDGET'!$D$6:$D$25,$F78)=0,1,0)),0)</f>
      </c>
      <c r="Q78" s="78">
        <f>IF($C78="",0,IF(COUNTIF('PEOPLE + BUDGETS'!$B$6:$B$105,$C78)=0,1,0))</f>
      </c>
      <c r="R78" s="75"/>
    </row>
    <row r="79" ht="17" customHeight="1" spans="1:18" x14ac:dyDescent="0.25">
      <c r="A79" s="75"/>
      <c r="B79" s="79"/>
      <c r="C79" s="79"/>
      <c r="D79" s="78">
        <f>IF($B79="","",IF($C79="","",IFERROR(IF(INDEX('PEOPLE + BUDGETS'!$C$6:$C$105,MATCH($C79,'PEOPLE + BUDGETS'!$B$6:$B$105,0))="","",INDEX('PEOPLE + BUDGETS'!$C$6:$C$105,MATCH($C79,'PEOPLE + BUDGETS'!$B$6:$B$105,0))),"")))</f>
      </c>
      <c r="E79" s="80"/>
      <c r="F79" s="79"/>
      <c r="G79" s="79"/>
      <c r="H79" s="90"/>
      <c r="I79" s="86"/>
      <c r="J79" s="85">
        <f>IF($B79="","",ROUND($H79*$I79,2))</f>
      </c>
      <c r="K79" s="86"/>
      <c r="L79" s="79"/>
      <c r="M79" s="79"/>
      <c r="N79" s="80"/>
      <c r="O79" s="78">
        <f>IF($B79="",0,IF(COUNTIF('STOCKING STUFFERS'!$B$6:$B$155,$B79)&gt;1,1,0))</f>
      </c>
      <c r="P79" s="78">
        <f>IF(OR(N($J79)&gt;0,N($K79)&gt;0),IF($F79="",1,IF(COUNTIF('MASTER BUDGET'!$D$6:$D$25,$F79)=0,1,0)),0)</f>
      </c>
      <c r="Q79" s="78">
        <f>IF($C79="",0,IF(COUNTIF('PEOPLE + BUDGETS'!$B$6:$B$105,$C79)=0,1,0))</f>
      </c>
      <c r="R79" s="75"/>
    </row>
    <row r="80" ht="17" customHeight="1" spans="1:18" x14ac:dyDescent="0.25">
      <c r="A80" s="75"/>
      <c r="B80" s="79"/>
      <c r="C80" s="79"/>
      <c r="D80" s="78">
        <f>IF($B80="","",IF($C80="","",IFERROR(IF(INDEX('PEOPLE + BUDGETS'!$C$6:$C$105,MATCH($C80,'PEOPLE + BUDGETS'!$B$6:$B$105,0))="","",INDEX('PEOPLE + BUDGETS'!$C$6:$C$105,MATCH($C80,'PEOPLE + BUDGETS'!$B$6:$B$105,0))),"")))</f>
      </c>
      <c r="E80" s="80"/>
      <c r="F80" s="79"/>
      <c r="G80" s="79"/>
      <c r="H80" s="90"/>
      <c r="I80" s="86"/>
      <c r="J80" s="85">
        <f>IF($B80="","",ROUND($H80*$I80,2))</f>
      </c>
      <c r="K80" s="86"/>
      <c r="L80" s="79"/>
      <c r="M80" s="79"/>
      <c r="N80" s="80"/>
      <c r="O80" s="78">
        <f>IF($B80="",0,IF(COUNTIF('STOCKING STUFFERS'!$B$6:$B$155,$B80)&gt;1,1,0))</f>
      </c>
      <c r="P80" s="78">
        <f>IF(OR(N($J80)&gt;0,N($K80)&gt;0),IF($F80="",1,IF(COUNTIF('MASTER BUDGET'!$D$6:$D$25,$F80)=0,1,0)),0)</f>
      </c>
      <c r="Q80" s="78">
        <f>IF($C80="",0,IF(COUNTIF('PEOPLE + BUDGETS'!$B$6:$B$105,$C80)=0,1,0))</f>
      </c>
      <c r="R80" s="75"/>
    </row>
    <row r="81" ht="17" customHeight="1" spans="1:18" x14ac:dyDescent="0.25">
      <c r="A81" s="75"/>
      <c r="B81" s="79"/>
      <c r="C81" s="79"/>
      <c r="D81" s="78">
        <f>IF($B81="","",IF($C81="","",IFERROR(IF(INDEX('PEOPLE + BUDGETS'!$C$6:$C$105,MATCH($C81,'PEOPLE + BUDGETS'!$B$6:$B$105,0))="","",INDEX('PEOPLE + BUDGETS'!$C$6:$C$105,MATCH($C81,'PEOPLE + BUDGETS'!$B$6:$B$105,0))),"")))</f>
      </c>
      <c r="E81" s="80"/>
      <c r="F81" s="79"/>
      <c r="G81" s="79"/>
      <c r="H81" s="90"/>
      <c r="I81" s="86"/>
      <c r="J81" s="85">
        <f>IF($B81="","",ROUND($H81*$I81,2))</f>
      </c>
      <c r="K81" s="86"/>
      <c r="L81" s="79"/>
      <c r="M81" s="79"/>
      <c r="N81" s="80"/>
      <c r="O81" s="78">
        <f>IF($B81="",0,IF(COUNTIF('STOCKING STUFFERS'!$B$6:$B$155,$B81)&gt;1,1,0))</f>
      </c>
      <c r="P81" s="78">
        <f>IF(OR(N($J81)&gt;0,N($K81)&gt;0),IF($F81="",1,IF(COUNTIF('MASTER BUDGET'!$D$6:$D$25,$F81)=0,1,0)),0)</f>
      </c>
      <c r="Q81" s="78">
        <f>IF($C81="",0,IF(COUNTIF('PEOPLE + BUDGETS'!$B$6:$B$105,$C81)=0,1,0))</f>
      </c>
      <c r="R81" s="75"/>
    </row>
    <row r="82" ht="17" customHeight="1" spans="1:18" x14ac:dyDescent="0.25">
      <c r="A82" s="75"/>
      <c r="B82" s="79"/>
      <c r="C82" s="79"/>
      <c r="D82" s="78">
        <f>IF($B82="","",IF($C82="","",IFERROR(IF(INDEX('PEOPLE + BUDGETS'!$C$6:$C$105,MATCH($C82,'PEOPLE + BUDGETS'!$B$6:$B$105,0))="","",INDEX('PEOPLE + BUDGETS'!$C$6:$C$105,MATCH($C82,'PEOPLE + BUDGETS'!$B$6:$B$105,0))),"")))</f>
      </c>
      <c r="E82" s="80"/>
      <c r="F82" s="79"/>
      <c r="G82" s="79"/>
      <c r="H82" s="90"/>
      <c r="I82" s="86"/>
      <c r="J82" s="85">
        <f>IF($B82="","",ROUND($H82*$I82,2))</f>
      </c>
      <c r="K82" s="86"/>
      <c r="L82" s="79"/>
      <c r="M82" s="79"/>
      <c r="N82" s="80"/>
      <c r="O82" s="78">
        <f>IF($B82="",0,IF(COUNTIF('STOCKING STUFFERS'!$B$6:$B$155,$B82)&gt;1,1,0))</f>
      </c>
      <c r="P82" s="78">
        <f>IF(OR(N($J82)&gt;0,N($K82)&gt;0),IF($F82="",1,IF(COUNTIF('MASTER BUDGET'!$D$6:$D$25,$F82)=0,1,0)),0)</f>
      </c>
      <c r="Q82" s="78">
        <f>IF($C82="",0,IF(COUNTIF('PEOPLE + BUDGETS'!$B$6:$B$105,$C82)=0,1,0))</f>
      </c>
      <c r="R82" s="75"/>
    </row>
    <row r="83" ht="17" customHeight="1" spans="1:18" x14ac:dyDescent="0.25">
      <c r="A83" s="75"/>
      <c r="B83" s="79"/>
      <c r="C83" s="79"/>
      <c r="D83" s="78">
        <f>IF($B83="","",IF($C83="","",IFERROR(IF(INDEX('PEOPLE + BUDGETS'!$C$6:$C$105,MATCH($C83,'PEOPLE + BUDGETS'!$B$6:$B$105,0))="","",INDEX('PEOPLE + BUDGETS'!$C$6:$C$105,MATCH($C83,'PEOPLE + BUDGETS'!$B$6:$B$105,0))),"")))</f>
      </c>
      <c r="E83" s="80"/>
      <c r="F83" s="79"/>
      <c r="G83" s="79"/>
      <c r="H83" s="90"/>
      <c r="I83" s="86"/>
      <c r="J83" s="85">
        <f>IF($B83="","",ROUND($H83*$I83,2))</f>
      </c>
      <c r="K83" s="86"/>
      <c r="L83" s="79"/>
      <c r="M83" s="79"/>
      <c r="N83" s="80"/>
      <c r="O83" s="78">
        <f>IF($B83="",0,IF(COUNTIF('STOCKING STUFFERS'!$B$6:$B$155,$B83)&gt;1,1,0))</f>
      </c>
      <c r="P83" s="78">
        <f>IF(OR(N($J83)&gt;0,N($K83)&gt;0),IF($F83="",1,IF(COUNTIF('MASTER BUDGET'!$D$6:$D$25,$F83)=0,1,0)),0)</f>
      </c>
      <c r="Q83" s="78">
        <f>IF($C83="",0,IF(COUNTIF('PEOPLE + BUDGETS'!$B$6:$B$105,$C83)=0,1,0))</f>
      </c>
      <c r="R83" s="75"/>
    </row>
    <row r="84" ht="17" customHeight="1" spans="1:18" x14ac:dyDescent="0.25">
      <c r="A84" s="75"/>
      <c r="B84" s="79"/>
      <c r="C84" s="79"/>
      <c r="D84" s="78">
        <f>IF($B84="","",IF($C84="","",IFERROR(IF(INDEX('PEOPLE + BUDGETS'!$C$6:$C$105,MATCH($C84,'PEOPLE + BUDGETS'!$B$6:$B$105,0))="","",INDEX('PEOPLE + BUDGETS'!$C$6:$C$105,MATCH($C84,'PEOPLE + BUDGETS'!$B$6:$B$105,0))),"")))</f>
      </c>
      <c r="E84" s="80"/>
      <c r="F84" s="79"/>
      <c r="G84" s="79"/>
      <c r="H84" s="90"/>
      <c r="I84" s="86"/>
      <c r="J84" s="85">
        <f>IF($B84="","",ROUND($H84*$I84,2))</f>
      </c>
      <c r="K84" s="86"/>
      <c r="L84" s="79"/>
      <c r="M84" s="79"/>
      <c r="N84" s="80"/>
      <c r="O84" s="78">
        <f>IF($B84="",0,IF(COUNTIF('STOCKING STUFFERS'!$B$6:$B$155,$B84)&gt;1,1,0))</f>
      </c>
      <c r="P84" s="78">
        <f>IF(OR(N($J84)&gt;0,N($K84)&gt;0),IF($F84="",1,IF(COUNTIF('MASTER BUDGET'!$D$6:$D$25,$F84)=0,1,0)),0)</f>
      </c>
      <c r="Q84" s="78">
        <f>IF($C84="",0,IF(COUNTIF('PEOPLE + BUDGETS'!$B$6:$B$105,$C84)=0,1,0))</f>
      </c>
      <c r="R84" s="75"/>
    </row>
    <row r="85" ht="17" customHeight="1" spans="1:18" x14ac:dyDescent="0.25">
      <c r="A85" s="75"/>
      <c r="B85" s="79"/>
      <c r="C85" s="79"/>
      <c r="D85" s="78">
        <f>IF($B85="","",IF($C85="","",IFERROR(IF(INDEX('PEOPLE + BUDGETS'!$C$6:$C$105,MATCH($C85,'PEOPLE + BUDGETS'!$B$6:$B$105,0))="","",INDEX('PEOPLE + BUDGETS'!$C$6:$C$105,MATCH($C85,'PEOPLE + BUDGETS'!$B$6:$B$105,0))),"")))</f>
      </c>
      <c r="E85" s="80"/>
      <c r="F85" s="79"/>
      <c r="G85" s="79"/>
      <c r="H85" s="90"/>
      <c r="I85" s="86"/>
      <c r="J85" s="85">
        <f>IF($B85="","",ROUND($H85*$I85,2))</f>
      </c>
      <c r="K85" s="86"/>
      <c r="L85" s="79"/>
      <c r="M85" s="79"/>
      <c r="N85" s="80"/>
      <c r="O85" s="78">
        <f>IF($B85="",0,IF(COUNTIF('STOCKING STUFFERS'!$B$6:$B$155,$B85)&gt;1,1,0))</f>
      </c>
      <c r="P85" s="78">
        <f>IF(OR(N($J85)&gt;0,N($K85)&gt;0),IF($F85="",1,IF(COUNTIF('MASTER BUDGET'!$D$6:$D$25,$F85)=0,1,0)),0)</f>
      </c>
      <c r="Q85" s="78">
        <f>IF($C85="",0,IF(COUNTIF('PEOPLE + BUDGETS'!$B$6:$B$105,$C85)=0,1,0))</f>
      </c>
      <c r="R85" s="75"/>
    </row>
    <row r="86" ht="17" customHeight="1" spans="1:18" x14ac:dyDescent="0.25">
      <c r="A86" s="75"/>
      <c r="B86" s="79"/>
      <c r="C86" s="79"/>
      <c r="D86" s="78">
        <f>IF($B86="","",IF($C86="","",IFERROR(IF(INDEX('PEOPLE + BUDGETS'!$C$6:$C$105,MATCH($C86,'PEOPLE + BUDGETS'!$B$6:$B$105,0))="","",INDEX('PEOPLE + BUDGETS'!$C$6:$C$105,MATCH($C86,'PEOPLE + BUDGETS'!$B$6:$B$105,0))),"")))</f>
      </c>
      <c r="E86" s="80"/>
      <c r="F86" s="79"/>
      <c r="G86" s="79"/>
      <c r="H86" s="90"/>
      <c r="I86" s="86"/>
      <c r="J86" s="85">
        <f>IF($B86="","",ROUND($H86*$I86,2))</f>
      </c>
      <c r="K86" s="86"/>
      <c r="L86" s="79"/>
      <c r="M86" s="79"/>
      <c r="N86" s="80"/>
      <c r="O86" s="78">
        <f>IF($B86="",0,IF(COUNTIF('STOCKING STUFFERS'!$B$6:$B$155,$B86)&gt;1,1,0))</f>
      </c>
      <c r="P86" s="78">
        <f>IF(OR(N($J86)&gt;0,N($K86)&gt;0),IF($F86="",1,IF(COUNTIF('MASTER BUDGET'!$D$6:$D$25,$F86)=0,1,0)),0)</f>
      </c>
      <c r="Q86" s="78">
        <f>IF($C86="",0,IF(COUNTIF('PEOPLE + BUDGETS'!$B$6:$B$105,$C86)=0,1,0))</f>
      </c>
      <c r="R86" s="75"/>
    </row>
    <row r="87" ht="17" customHeight="1" spans="1:18" x14ac:dyDescent="0.25">
      <c r="A87" s="75"/>
      <c r="B87" s="79"/>
      <c r="C87" s="79"/>
      <c r="D87" s="78">
        <f>IF($B87="","",IF($C87="","",IFERROR(IF(INDEX('PEOPLE + BUDGETS'!$C$6:$C$105,MATCH($C87,'PEOPLE + BUDGETS'!$B$6:$B$105,0))="","",INDEX('PEOPLE + BUDGETS'!$C$6:$C$105,MATCH($C87,'PEOPLE + BUDGETS'!$B$6:$B$105,0))),"")))</f>
      </c>
      <c r="E87" s="80"/>
      <c r="F87" s="79"/>
      <c r="G87" s="79"/>
      <c r="H87" s="90"/>
      <c r="I87" s="86"/>
      <c r="J87" s="85">
        <f>IF($B87="","",ROUND($H87*$I87,2))</f>
      </c>
      <c r="K87" s="86"/>
      <c r="L87" s="79"/>
      <c r="M87" s="79"/>
      <c r="N87" s="80"/>
      <c r="O87" s="78">
        <f>IF($B87="",0,IF(COUNTIF('STOCKING STUFFERS'!$B$6:$B$155,$B87)&gt;1,1,0))</f>
      </c>
      <c r="P87" s="78">
        <f>IF(OR(N($J87)&gt;0,N($K87)&gt;0),IF($F87="",1,IF(COUNTIF('MASTER BUDGET'!$D$6:$D$25,$F87)=0,1,0)),0)</f>
      </c>
      <c r="Q87" s="78">
        <f>IF($C87="",0,IF(COUNTIF('PEOPLE + BUDGETS'!$B$6:$B$105,$C87)=0,1,0))</f>
      </c>
      <c r="R87" s="75"/>
    </row>
    <row r="88" ht="17" customHeight="1" spans="1:18" x14ac:dyDescent="0.25">
      <c r="A88" s="75"/>
      <c r="B88" s="79"/>
      <c r="C88" s="79"/>
      <c r="D88" s="78">
        <f>IF($B88="","",IF($C88="","",IFERROR(IF(INDEX('PEOPLE + BUDGETS'!$C$6:$C$105,MATCH($C88,'PEOPLE + BUDGETS'!$B$6:$B$105,0))="","",INDEX('PEOPLE + BUDGETS'!$C$6:$C$105,MATCH($C88,'PEOPLE + BUDGETS'!$B$6:$B$105,0))),"")))</f>
      </c>
      <c r="E88" s="80"/>
      <c r="F88" s="79"/>
      <c r="G88" s="79"/>
      <c r="H88" s="90"/>
      <c r="I88" s="86"/>
      <c r="J88" s="85">
        <f>IF($B88="","",ROUND($H88*$I88,2))</f>
      </c>
      <c r="K88" s="86"/>
      <c r="L88" s="79"/>
      <c r="M88" s="79"/>
      <c r="N88" s="80"/>
      <c r="O88" s="78">
        <f>IF($B88="",0,IF(COUNTIF('STOCKING STUFFERS'!$B$6:$B$155,$B88)&gt;1,1,0))</f>
      </c>
      <c r="P88" s="78">
        <f>IF(OR(N($J88)&gt;0,N($K88)&gt;0),IF($F88="",1,IF(COUNTIF('MASTER BUDGET'!$D$6:$D$25,$F88)=0,1,0)),0)</f>
      </c>
      <c r="Q88" s="78">
        <f>IF($C88="",0,IF(COUNTIF('PEOPLE + BUDGETS'!$B$6:$B$105,$C88)=0,1,0))</f>
      </c>
      <c r="R88" s="75"/>
    </row>
    <row r="89" ht="17" customHeight="1" spans="1:18" x14ac:dyDescent="0.25">
      <c r="A89" s="75"/>
      <c r="B89" s="79"/>
      <c r="C89" s="79"/>
      <c r="D89" s="78">
        <f>IF($B89="","",IF($C89="","",IFERROR(IF(INDEX('PEOPLE + BUDGETS'!$C$6:$C$105,MATCH($C89,'PEOPLE + BUDGETS'!$B$6:$B$105,0))="","",INDEX('PEOPLE + BUDGETS'!$C$6:$C$105,MATCH($C89,'PEOPLE + BUDGETS'!$B$6:$B$105,0))),"")))</f>
      </c>
      <c r="E89" s="80"/>
      <c r="F89" s="79"/>
      <c r="G89" s="79"/>
      <c r="H89" s="90"/>
      <c r="I89" s="86"/>
      <c r="J89" s="85">
        <f>IF($B89="","",ROUND($H89*$I89,2))</f>
      </c>
      <c r="K89" s="86"/>
      <c r="L89" s="79"/>
      <c r="M89" s="79"/>
      <c r="N89" s="80"/>
      <c r="O89" s="78">
        <f>IF($B89="",0,IF(COUNTIF('STOCKING STUFFERS'!$B$6:$B$155,$B89)&gt;1,1,0))</f>
      </c>
      <c r="P89" s="78">
        <f>IF(OR(N($J89)&gt;0,N($K89)&gt;0),IF($F89="",1,IF(COUNTIF('MASTER BUDGET'!$D$6:$D$25,$F89)=0,1,0)),0)</f>
      </c>
      <c r="Q89" s="78">
        <f>IF($C89="",0,IF(COUNTIF('PEOPLE + BUDGETS'!$B$6:$B$105,$C89)=0,1,0))</f>
      </c>
      <c r="R89" s="75"/>
    </row>
    <row r="90" ht="17" customHeight="1" spans="1:18" x14ac:dyDescent="0.25">
      <c r="A90" s="75"/>
      <c r="B90" s="79"/>
      <c r="C90" s="79"/>
      <c r="D90" s="78">
        <f>IF($B90="","",IF($C90="","",IFERROR(IF(INDEX('PEOPLE + BUDGETS'!$C$6:$C$105,MATCH($C90,'PEOPLE + BUDGETS'!$B$6:$B$105,0))="","",INDEX('PEOPLE + BUDGETS'!$C$6:$C$105,MATCH($C90,'PEOPLE + BUDGETS'!$B$6:$B$105,0))),"")))</f>
      </c>
      <c r="E90" s="80"/>
      <c r="F90" s="79"/>
      <c r="G90" s="79"/>
      <c r="H90" s="90"/>
      <c r="I90" s="86"/>
      <c r="J90" s="85">
        <f>IF($B90="","",ROUND($H90*$I90,2))</f>
      </c>
      <c r="K90" s="86"/>
      <c r="L90" s="79"/>
      <c r="M90" s="79"/>
      <c r="N90" s="80"/>
      <c r="O90" s="78">
        <f>IF($B90="",0,IF(COUNTIF('STOCKING STUFFERS'!$B$6:$B$155,$B90)&gt;1,1,0))</f>
      </c>
      <c r="P90" s="78">
        <f>IF(OR(N($J90)&gt;0,N($K90)&gt;0),IF($F90="",1,IF(COUNTIF('MASTER BUDGET'!$D$6:$D$25,$F90)=0,1,0)),0)</f>
      </c>
      <c r="Q90" s="78">
        <f>IF($C90="",0,IF(COUNTIF('PEOPLE + BUDGETS'!$B$6:$B$105,$C90)=0,1,0))</f>
      </c>
      <c r="R90" s="75"/>
    </row>
    <row r="91" ht="17" customHeight="1" spans="1:18" x14ac:dyDescent="0.25">
      <c r="A91" s="75"/>
      <c r="B91" s="79"/>
      <c r="C91" s="79"/>
      <c r="D91" s="78">
        <f>IF($B91="","",IF($C91="","",IFERROR(IF(INDEX('PEOPLE + BUDGETS'!$C$6:$C$105,MATCH($C91,'PEOPLE + BUDGETS'!$B$6:$B$105,0))="","",INDEX('PEOPLE + BUDGETS'!$C$6:$C$105,MATCH($C91,'PEOPLE + BUDGETS'!$B$6:$B$105,0))),"")))</f>
      </c>
      <c r="E91" s="80"/>
      <c r="F91" s="79"/>
      <c r="G91" s="79"/>
      <c r="H91" s="90"/>
      <c r="I91" s="86"/>
      <c r="J91" s="85">
        <f>IF($B91="","",ROUND($H91*$I91,2))</f>
      </c>
      <c r="K91" s="86"/>
      <c r="L91" s="79"/>
      <c r="M91" s="79"/>
      <c r="N91" s="80"/>
      <c r="O91" s="78">
        <f>IF($B91="",0,IF(COUNTIF('STOCKING STUFFERS'!$B$6:$B$155,$B91)&gt;1,1,0))</f>
      </c>
      <c r="P91" s="78">
        <f>IF(OR(N($J91)&gt;0,N($K91)&gt;0),IF($F91="",1,IF(COUNTIF('MASTER BUDGET'!$D$6:$D$25,$F91)=0,1,0)),0)</f>
      </c>
      <c r="Q91" s="78">
        <f>IF($C91="",0,IF(COUNTIF('PEOPLE + BUDGETS'!$B$6:$B$105,$C91)=0,1,0))</f>
      </c>
      <c r="R91" s="75"/>
    </row>
    <row r="92" ht="17" customHeight="1" spans="1:18" x14ac:dyDescent="0.25">
      <c r="A92" s="75"/>
      <c r="B92" s="79"/>
      <c r="C92" s="79"/>
      <c r="D92" s="78">
        <f>IF($B92="","",IF($C92="","",IFERROR(IF(INDEX('PEOPLE + BUDGETS'!$C$6:$C$105,MATCH($C92,'PEOPLE + BUDGETS'!$B$6:$B$105,0))="","",INDEX('PEOPLE + BUDGETS'!$C$6:$C$105,MATCH($C92,'PEOPLE + BUDGETS'!$B$6:$B$105,0))),"")))</f>
      </c>
      <c r="E92" s="80"/>
      <c r="F92" s="79"/>
      <c r="G92" s="79"/>
      <c r="H92" s="90"/>
      <c r="I92" s="86"/>
      <c r="J92" s="85">
        <f>IF($B92="","",ROUND($H92*$I92,2))</f>
      </c>
      <c r="K92" s="86"/>
      <c r="L92" s="79"/>
      <c r="M92" s="79"/>
      <c r="N92" s="80"/>
      <c r="O92" s="78">
        <f>IF($B92="",0,IF(COUNTIF('STOCKING STUFFERS'!$B$6:$B$155,$B92)&gt;1,1,0))</f>
      </c>
      <c r="P92" s="78">
        <f>IF(OR(N($J92)&gt;0,N($K92)&gt;0),IF($F92="",1,IF(COUNTIF('MASTER BUDGET'!$D$6:$D$25,$F92)=0,1,0)),0)</f>
      </c>
      <c r="Q92" s="78">
        <f>IF($C92="",0,IF(COUNTIF('PEOPLE + BUDGETS'!$B$6:$B$105,$C92)=0,1,0))</f>
      </c>
      <c r="R92" s="75"/>
    </row>
    <row r="93" ht="17" customHeight="1" spans="1:18" x14ac:dyDescent="0.25">
      <c r="A93" s="75"/>
      <c r="B93" s="79"/>
      <c r="C93" s="79"/>
      <c r="D93" s="78">
        <f>IF($B93="","",IF($C93="","",IFERROR(IF(INDEX('PEOPLE + BUDGETS'!$C$6:$C$105,MATCH($C93,'PEOPLE + BUDGETS'!$B$6:$B$105,0))="","",INDEX('PEOPLE + BUDGETS'!$C$6:$C$105,MATCH($C93,'PEOPLE + BUDGETS'!$B$6:$B$105,0))),"")))</f>
      </c>
      <c r="E93" s="80"/>
      <c r="F93" s="79"/>
      <c r="G93" s="79"/>
      <c r="H93" s="90"/>
      <c r="I93" s="86"/>
      <c r="J93" s="85">
        <f>IF($B93="","",ROUND($H93*$I93,2))</f>
      </c>
      <c r="K93" s="86"/>
      <c r="L93" s="79"/>
      <c r="M93" s="79"/>
      <c r="N93" s="80"/>
      <c r="O93" s="78">
        <f>IF($B93="",0,IF(COUNTIF('STOCKING STUFFERS'!$B$6:$B$155,$B93)&gt;1,1,0))</f>
      </c>
      <c r="P93" s="78">
        <f>IF(OR(N($J93)&gt;0,N($K93)&gt;0),IF($F93="",1,IF(COUNTIF('MASTER BUDGET'!$D$6:$D$25,$F93)=0,1,0)),0)</f>
      </c>
      <c r="Q93" s="78">
        <f>IF($C93="",0,IF(COUNTIF('PEOPLE + BUDGETS'!$B$6:$B$105,$C93)=0,1,0))</f>
      </c>
      <c r="R93" s="75"/>
    </row>
    <row r="94" ht="17" customHeight="1" spans="1:18" x14ac:dyDescent="0.25">
      <c r="A94" s="75"/>
      <c r="B94" s="79"/>
      <c r="C94" s="79"/>
      <c r="D94" s="78">
        <f>IF($B94="","",IF($C94="","",IFERROR(IF(INDEX('PEOPLE + BUDGETS'!$C$6:$C$105,MATCH($C94,'PEOPLE + BUDGETS'!$B$6:$B$105,0))="","",INDEX('PEOPLE + BUDGETS'!$C$6:$C$105,MATCH($C94,'PEOPLE + BUDGETS'!$B$6:$B$105,0))),"")))</f>
      </c>
      <c r="E94" s="80"/>
      <c r="F94" s="79"/>
      <c r="G94" s="79"/>
      <c r="H94" s="90"/>
      <c r="I94" s="86"/>
      <c r="J94" s="85">
        <f>IF($B94="","",ROUND($H94*$I94,2))</f>
      </c>
      <c r="K94" s="86"/>
      <c r="L94" s="79"/>
      <c r="M94" s="79"/>
      <c r="N94" s="80"/>
      <c r="O94" s="78">
        <f>IF($B94="",0,IF(COUNTIF('STOCKING STUFFERS'!$B$6:$B$155,$B94)&gt;1,1,0))</f>
      </c>
      <c r="P94" s="78">
        <f>IF(OR(N($J94)&gt;0,N($K94)&gt;0),IF($F94="",1,IF(COUNTIF('MASTER BUDGET'!$D$6:$D$25,$F94)=0,1,0)),0)</f>
      </c>
      <c r="Q94" s="78">
        <f>IF($C94="",0,IF(COUNTIF('PEOPLE + BUDGETS'!$B$6:$B$105,$C94)=0,1,0))</f>
      </c>
      <c r="R94" s="75"/>
    </row>
    <row r="95" ht="17" customHeight="1" spans="1:18" x14ac:dyDescent="0.25">
      <c r="A95" s="75"/>
      <c r="B95" s="79"/>
      <c r="C95" s="79"/>
      <c r="D95" s="78">
        <f>IF($B95="","",IF($C95="","",IFERROR(IF(INDEX('PEOPLE + BUDGETS'!$C$6:$C$105,MATCH($C95,'PEOPLE + BUDGETS'!$B$6:$B$105,0))="","",INDEX('PEOPLE + BUDGETS'!$C$6:$C$105,MATCH($C95,'PEOPLE + BUDGETS'!$B$6:$B$105,0))),"")))</f>
      </c>
      <c r="E95" s="80"/>
      <c r="F95" s="79"/>
      <c r="G95" s="79"/>
      <c r="H95" s="90"/>
      <c r="I95" s="86"/>
      <c r="J95" s="85">
        <f>IF($B95="","",ROUND($H95*$I95,2))</f>
      </c>
      <c r="K95" s="86"/>
      <c r="L95" s="79"/>
      <c r="M95" s="79"/>
      <c r="N95" s="80"/>
      <c r="O95" s="78">
        <f>IF($B95="",0,IF(COUNTIF('STOCKING STUFFERS'!$B$6:$B$155,$B95)&gt;1,1,0))</f>
      </c>
      <c r="P95" s="78">
        <f>IF(OR(N($J95)&gt;0,N($K95)&gt;0),IF($F95="",1,IF(COUNTIF('MASTER BUDGET'!$D$6:$D$25,$F95)=0,1,0)),0)</f>
      </c>
      <c r="Q95" s="78">
        <f>IF($C95="",0,IF(COUNTIF('PEOPLE + BUDGETS'!$B$6:$B$105,$C95)=0,1,0))</f>
      </c>
      <c r="R95" s="75"/>
    </row>
    <row r="96" ht="17" customHeight="1" spans="1:18" x14ac:dyDescent="0.25">
      <c r="A96" s="75"/>
      <c r="B96" s="79"/>
      <c r="C96" s="79"/>
      <c r="D96" s="78">
        <f>IF($B96="","",IF($C96="","",IFERROR(IF(INDEX('PEOPLE + BUDGETS'!$C$6:$C$105,MATCH($C96,'PEOPLE + BUDGETS'!$B$6:$B$105,0))="","",INDEX('PEOPLE + BUDGETS'!$C$6:$C$105,MATCH($C96,'PEOPLE + BUDGETS'!$B$6:$B$105,0))),"")))</f>
      </c>
      <c r="E96" s="80"/>
      <c r="F96" s="79"/>
      <c r="G96" s="79"/>
      <c r="H96" s="90"/>
      <c r="I96" s="86"/>
      <c r="J96" s="85">
        <f>IF($B96="","",ROUND($H96*$I96,2))</f>
      </c>
      <c r="K96" s="86"/>
      <c r="L96" s="79"/>
      <c r="M96" s="79"/>
      <c r="N96" s="80"/>
      <c r="O96" s="78">
        <f>IF($B96="",0,IF(COUNTIF('STOCKING STUFFERS'!$B$6:$B$155,$B96)&gt;1,1,0))</f>
      </c>
      <c r="P96" s="78">
        <f>IF(OR(N($J96)&gt;0,N($K96)&gt;0),IF($F96="",1,IF(COUNTIF('MASTER BUDGET'!$D$6:$D$25,$F96)=0,1,0)),0)</f>
      </c>
      <c r="Q96" s="78">
        <f>IF($C96="",0,IF(COUNTIF('PEOPLE + BUDGETS'!$B$6:$B$105,$C96)=0,1,0))</f>
      </c>
      <c r="R96" s="75"/>
    </row>
    <row r="97" ht="17" customHeight="1" spans="1:18" x14ac:dyDescent="0.25">
      <c r="A97" s="75"/>
      <c r="B97" s="79"/>
      <c r="C97" s="79"/>
      <c r="D97" s="78">
        <f>IF($B97="","",IF($C97="","",IFERROR(IF(INDEX('PEOPLE + BUDGETS'!$C$6:$C$105,MATCH($C97,'PEOPLE + BUDGETS'!$B$6:$B$105,0))="","",INDEX('PEOPLE + BUDGETS'!$C$6:$C$105,MATCH($C97,'PEOPLE + BUDGETS'!$B$6:$B$105,0))),"")))</f>
      </c>
      <c r="E97" s="80"/>
      <c r="F97" s="79"/>
      <c r="G97" s="79"/>
      <c r="H97" s="90"/>
      <c r="I97" s="86"/>
      <c r="J97" s="85">
        <f>IF($B97="","",ROUND($H97*$I97,2))</f>
      </c>
      <c r="K97" s="86"/>
      <c r="L97" s="79"/>
      <c r="M97" s="79"/>
      <c r="N97" s="80"/>
      <c r="O97" s="78">
        <f>IF($B97="",0,IF(COUNTIF('STOCKING STUFFERS'!$B$6:$B$155,$B97)&gt;1,1,0))</f>
      </c>
      <c r="P97" s="78">
        <f>IF(OR(N($J97)&gt;0,N($K97)&gt;0),IF($F97="",1,IF(COUNTIF('MASTER BUDGET'!$D$6:$D$25,$F97)=0,1,0)),0)</f>
      </c>
      <c r="Q97" s="78">
        <f>IF($C97="",0,IF(COUNTIF('PEOPLE + BUDGETS'!$B$6:$B$105,$C97)=0,1,0))</f>
      </c>
      <c r="R97" s="75"/>
    </row>
    <row r="98" ht="17" customHeight="1" spans="1:18" x14ac:dyDescent="0.25">
      <c r="A98" s="75"/>
      <c r="B98" s="79"/>
      <c r="C98" s="79"/>
      <c r="D98" s="78">
        <f>IF($B98="","",IF($C98="","",IFERROR(IF(INDEX('PEOPLE + BUDGETS'!$C$6:$C$105,MATCH($C98,'PEOPLE + BUDGETS'!$B$6:$B$105,0))="","",INDEX('PEOPLE + BUDGETS'!$C$6:$C$105,MATCH($C98,'PEOPLE + BUDGETS'!$B$6:$B$105,0))),"")))</f>
      </c>
      <c r="E98" s="80"/>
      <c r="F98" s="79"/>
      <c r="G98" s="79"/>
      <c r="H98" s="90"/>
      <c r="I98" s="86"/>
      <c r="J98" s="85">
        <f>IF($B98="","",ROUND($H98*$I98,2))</f>
      </c>
      <c r="K98" s="86"/>
      <c r="L98" s="79"/>
      <c r="M98" s="79"/>
      <c r="N98" s="80"/>
      <c r="O98" s="78">
        <f>IF($B98="",0,IF(COUNTIF('STOCKING STUFFERS'!$B$6:$B$155,$B98)&gt;1,1,0))</f>
      </c>
      <c r="P98" s="78">
        <f>IF(OR(N($J98)&gt;0,N($K98)&gt;0),IF($F98="",1,IF(COUNTIF('MASTER BUDGET'!$D$6:$D$25,$F98)=0,1,0)),0)</f>
      </c>
      <c r="Q98" s="78">
        <f>IF($C98="",0,IF(COUNTIF('PEOPLE + BUDGETS'!$B$6:$B$105,$C98)=0,1,0))</f>
      </c>
      <c r="R98" s="75"/>
    </row>
    <row r="99" ht="17" customHeight="1" spans="1:18" x14ac:dyDescent="0.25">
      <c r="A99" s="75"/>
      <c r="B99" s="79"/>
      <c r="C99" s="79"/>
      <c r="D99" s="78">
        <f>IF($B99="","",IF($C99="","",IFERROR(IF(INDEX('PEOPLE + BUDGETS'!$C$6:$C$105,MATCH($C99,'PEOPLE + BUDGETS'!$B$6:$B$105,0))="","",INDEX('PEOPLE + BUDGETS'!$C$6:$C$105,MATCH($C99,'PEOPLE + BUDGETS'!$B$6:$B$105,0))),"")))</f>
      </c>
      <c r="E99" s="80"/>
      <c r="F99" s="79"/>
      <c r="G99" s="79"/>
      <c r="H99" s="90"/>
      <c r="I99" s="86"/>
      <c r="J99" s="85">
        <f>IF($B99="","",ROUND($H99*$I99,2))</f>
      </c>
      <c r="K99" s="86"/>
      <c r="L99" s="79"/>
      <c r="M99" s="79"/>
      <c r="N99" s="80"/>
      <c r="O99" s="78">
        <f>IF($B99="",0,IF(COUNTIF('STOCKING STUFFERS'!$B$6:$B$155,$B99)&gt;1,1,0))</f>
      </c>
      <c r="P99" s="78">
        <f>IF(OR(N($J99)&gt;0,N($K99)&gt;0),IF($F99="",1,IF(COUNTIF('MASTER BUDGET'!$D$6:$D$25,$F99)=0,1,0)),0)</f>
      </c>
      <c r="Q99" s="78">
        <f>IF($C99="",0,IF(COUNTIF('PEOPLE + BUDGETS'!$B$6:$B$105,$C99)=0,1,0))</f>
      </c>
      <c r="R99" s="75"/>
    </row>
    <row r="100" ht="17" customHeight="1" spans="1:18" x14ac:dyDescent="0.25">
      <c r="A100" s="75"/>
      <c r="B100" s="79"/>
      <c r="C100" s="79"/>
      <c r="D100" s="78">
        <f>IF($B100="","",IF($C100="","",IFERROR(IF(INDEX('PEOPLE + BUDGETS'!$C$6:$C$105,MATCH($C100,'PEOPLE + BUDGETS'!$B$6:$B$105,0))="","",INDEX('PEOPLE + BUDGETS'!$C$6:$C$105,MATCH($C100,'PEOPLE + BUDGETS'!$B$6:$B$105,0))),"")))</f>
      </c>
      <c r="E100" s="80"/>
      <c r="F100" s="79"/>
      <c r="G100" s="79"/>
      <c r="H100" s="90"/>
      <c r="I100" s="86"/>
      <c r="J100" s="85">
        <f>IF($B100="","",ROUND($H100*$I100,2))</f>
      </c>
      <c r="K100" s="86"/>
      <c r="L100" s="79"/>
      <c r="M100" s="79"/>
      <c r="N100" s="80"/>
      <c r="O100" s="78">
        <f>IF($B100="",0,IF(COUNTIF('STOCKING STUFFERS'!$B$6:$B$155,$B100)&gt;1,1,0))</f>
      </c>
      <c r="P100" s="78">
        <f>IF(OR(N($J100)&gt;0,N($K100)&gt;0),IF($F100="",1,IF(COUNTIF('MASTER BUDGET'!$D$6:$D$25,$F100)=0,1,0)),0)</f>
      </c>
      <c r="Q100" s="78">
        <f>IF($C100="",0,IF(COUNTIF('PEOPLE + BUDGETS'!$B$6:$B$105,$C100)=0,1,0))</f>
      </c>
      <c r="R100" s="75"/>
    </row>
    <row r="101" ht="17" customHeight="1" spans="1:18" x14ac:dyDescent="0.25">
      <c r="A101" s="75"/>
      <c r="B101" s="79"/>
      <c r="C101" s="79"/>
      <c r="D101" s="78">
        <f>IF($B101="","",IF($C101="","",IFERROR(IF(INDEX('PEOPLE + BUDGETS'!$C$6:$C$105,MATCH($C101,'PEOPLE + BUDGETS'!$B$6:$B$105,0))="","",INDEX('PEOPLE + BUDGETS'!$C$6:$C$105,MATCH($C101,'PEOPLE + BUDGETS'!$B$6:$B$105,0))),"")))</f>
      </c>
      <c r="E101" s="80"/>
      <c r="F101" s="79"/>
      <c r="G101" s="79"/>
      <c r="H101" s="90"/>
      <c r="I101" s="86"/>
      <c r="J101" s="85">
        <f>IF($B101="","",ROUND($H101*$I101,2))</f>
      </c>
      <c r="K101" s="86"/>
      <c r="L101" s="79"/>
      <c r="M101" s="79"/>
      <c r="N101" s="80"/>
      <c r="O101" s="78">
        <f>IF($B101="",0,IF(COUNTIF('STOCKING STUFFERS'!$B$6:$B$155,$B101)&gt;1,1,0))</f>
      </c>
      <c r="P101" s="78">
        <f>IF(OR(N($J101)&gt;0,N($K101)&gt;0),IF($F101="",1,IF(COUNTIF('MASTER BUDGET'!$D$6:$D$25,$F101)=0,1,0)),0)</f>
      </c>
      <c r="Q101" s="78">
        <f>IF($C101="",0,IF(COUNTIF('PEOPLE + BUDGETS'!$B$6:$B$105,$C101)=0,1,0))</f>
      </c>
      <c r="R101" s="75"/>
    </row>
    <row r="102" ht="17" customHeight="1" spans="1:18" x14ac:dyDescent="0.25">
      <c r="A102" s="75"/>
      <c r="B102" s="79"/>
      <c r="C102" s="79"/>
      <c r="D102" s="78">
        <f>IF($B102="","",IF($C102="","",IFERROR(IF(INDEX('PEOPLE + BUDGETS'!$C$6:$C$105,MATCH($C102,'PEOPLE + BUDGETS'!$B$6:$B$105,0))="","",INDEX('PEOPLE + BUDGETS'!$C$6:$C$105,MATCH($C102,'PEOPLE + BUDGETS'!$B$6:$B$105,0))),"")))</f>
      </c>
      <c r="E102" s="80"/>
      <c r="F102" s="79"/>
      <c r="G102" s="79"/>
      <c r="H102" s="90"/>
      <c r="I102" s="86"/>
      <c r="J102" s="85">
        <f>IF($B102="","",ROUND($H102*$I102,2))</f>
      </c>
      <c r="K102" s="86"/>
      <c r="L102" s="79"/>
      <c r="M102" s="79"/>
      <c r="N102" s="80"/>
      <c r="O102" s="78">
        <f>IF($B102="",0,IF(COUNTIF('STOCKING STUFFERS'!$B$6:$B$155,$B102)&gt;1,1,0))</f>
      </c>
      <c r="P102" s="78">
        <f>IF(OR(N($J102)&gt;0,N($K102)&gt;0),IF($F102="",1,IF(COUNTIF('MASTER BUDGET'!$D$6:$D$25,$F102)=0,1,0)),0)</f>
      </c>
      <c r="Q102" s="78">
        <f>IF($C102="",0,IF(COUNTIF('PEOPLE + BUDGETS'!$B$6:$B$105,$C102)=0,1,0))</f>
      </c>
      <c r="R102" s="75"/>
    </row>
    <row r="103" ht="17" customHeight="1" spans="1:18" x14ac:dyDescent="0.25">
      <c r="A103" s="75"/>
      <c r="B103" s="79"/>
      <c r="C103" s="79"/>
      <c r="D103" s="78">
        <f>IF($B103="","",IF($C103="","",IFERROR(IF(INDEX('PEOPLE + BUDGETS'!$C$6:$C$105,MATCH($C103,'PEOPLE + BUDGETS'!$B$6:$B$105,0))="","",INDEX('PEOPLE + BUDGETS'!$C$6:$C$105,MATCH($C103,'PEOPLE + BUDGETS'!$B$6:$B$105,0))),"")))</f>
      </c>
      <c r="E103" s="80"/>
      <c r="F103" s="79"/>
      <c r="G103" s="79"/>
      <c r="H103" s="90"/>
      <c r="I103" s="86"/>
      <c r="J103" s="85">
        <f>IF($B103="","",ROUND($H103*$I103,2))</f>
      </c>
      <c r="K103" s="86"/>
      <c r="L103" s="79"/>
      <c r="M103" s="79"/>
      <c r="N103" s="80"/>
      <c r="O103" s="78">
        <f>IF($B103="",0,IF(COUNTIF('STOCKING STUFFERS'!$B$6:$B$155,$B103)&gt;1,1,0))</f>
      </c>
      <c r="P103" s="78">
        <f>IF(OR(N($J103)&gt;0,N($K103)&gt;0),IF($F103="",1,IF(COUNTIF('MASTER BUDGET'!$D$6:$D$25,$F103)=0,1,0)),0)</f>
      </c>
      <c r="Q103" s="78">
        <f>IF($C103="",0,IF(COUNTIF('PEOPLE + BUDGETS'!$B$6:$B$105,$C103)=0,1,0))</f>
      </c>
      <c r="R103" s="75"/>
    </row>
    <row r="104" ht="17" customHeight="1" spans="1:18" x14ac:dyDescent="0.25">
      <c r="A104" s="75"/>
      <c r="B104" s="79"/>
      <c r="C104" s="79"/>
      <c r="D104" s="78">
        <f>IF($B104="","",IF($C104="","",IFERROR(IF(INDEX('PEOPLE + BUDGETS'!$C$6:$C$105,MATCH($C104,'PEOPLE + BUDGETS'!$B$6:$B$105,0))="","",INDEX('PEOPLE + BUDGETS'!$C$6:$C$105,MATCH($C104,'PEOPLE + BUDGETS'!$B$6:$B$105,0))),"")))</f>
      </c>
      <c r="E104" s="80"/>
      <c r="F104" s="79"/>
      <c r="G104" s="79"/>
      <c r="H104" s="90"/>
      <c r="I104" s="86"/>
      <c r="J104" s="85">
        <f>IF($B104="","",ROUND($H104*$I104,2))</f>
      </c>
      <c r="K104" s="86"/>
      <c r="L104" s="79"/>
      <c r="M104" s="79"/>
      <c r="N104" s="80"/>
      <c r="O104" s="78">
        <f>IF($B104="",0,IF(COUNTIF('STOCKING STUFFERS'!$B$6:$B$155,$B104)&gt;1,1,0))</f>
      </c>
      <c r="P104" s="78">
        <f>IF(OR(N($J104)&gt;0,N($K104)&gt;0),IF($F104="",1,IF(COUNTIF('MASTER BUDGET'!$D$6:$D$25,$F104)=0,1,0)),0)</f>
      </c>
      <c r="Q104" s="78">
        <f>IF($C104="",0,IF(COUNTIF('PEOPLE + BUDGETS'!$B$6:$B$105,$C104)=0,1,0))</f>
      </c>
      <c r="R104" s="75"/>
    </row>
    <row r="105" ht="17" customHeight="1" spans="1:18" x14ac:dyDescent="0.25">
      <c r="A105" s="75"/>
      <c r="B105" s="79"/>
      <c r="C105" s="79"/>
      <c r="D105" s="78">
        <f>IF($B105="","",IF($C105="","",IFERROR(IF(INDEX('PEOPLE + BUDGETS'!$C$6:$C$105,MATCH($C105,'PEOPLE + BUDGETS'!$B$6:$B$105,0))="","",INDEX('PEOPLE + BUDGETS'!$C$6:$C$105,MATCH($C105,'PEOPLE + BUDGETS'!$B$6:$B$105,0))),"")))</f>
      </c>
      <c r="E105" s="80"/>
      <c r="F105" s="79"/>
      <c r="G105" s="79"/>
      <c r="H105" s="90"/>
      <c r="I105" s="86"/>
      <c r="J105" s="85">
        <f>IF($B105="","",ROUND($H105*$I105,2))</f>
      </c>
      <c r="K105" s="86"/>
      <c r="L105" s="79"/>
      <c r="M105" s="79"/>
      <c r="N105" s="80"/>
      <c r="O105" s="78">
        <f>IF($B105="",0,IF(COUNTIF('STOCKING STUFFERS'!$B$6:$B$155,$B105)&gt;1,1,0))</f>
      </c>
      <c r="P105" s="78">
        <f>IF(OR(N($J105)&gt;0,N($K105)&gt;0),IF($F105="",1,IF(COUNTIF('MASTER BUDGET'!$D$6:$D$25,$F105)=0,1,0)),0)</f>
      </c>
      <c r="Q105" s="78">
        <f>IF($C105="",0,IF(COUNTIF('PEOPLE + BUDGETS'!$B$6:$B$105,$C105)=0,1,0))</f>
      </c>
      <c r="R105" s="75"/>
    </row>
    <row r="106" ht="17" customHeight="1" spans="1:18" x14ac:dyDescent="0.25">
      <c r="A106" s="75"/>
      <c r="B106" s="79"/>
      <c r="C106" s="79"/>
      <c r="D106" s="78">
        <f>IF($B106="","",IF($C106="","",IFERROR(IF(INDEX('PEOPLE + BUDGETS'!$C$6:$C$105,MATCH($C106,'PEOPLE + BUDGETS'!$B$6:$B$105,0))="","",INDEX('PEOPLE + BUDGETS'!$C$6:$C$105,MATCH($C106,'PEOPLE + BUDGETS'!$B$6:$B$105,0))),"")))</f>
      </c>
      <c r="E106" s="80"/>
      <c r="F106" s="79"/>
      <c r="G106" s="79"/>
      <c r="H106" s="90"/>
      <c r="I106" s="86"/>
      <c r="J106" s="85">
        <f>IF($B106="","",ROUND($H106*$I106,2))</f>
      </c>
      <c r="K106" s="86"/>
      <c r="L106" s="79"/>
      <c r="M106" s="79"/>
      <c r="N106" s="80"/>
      <c r="O106" s="78">
        <f>IF($B106="",0,IF(COUNTIF('STOCKING STUFFERS'!$B$6:$B$155,$B106)&gt;1,1,0))</f>
      </c>
      <c r="P106" s="78">
        <f>IF(OR(N($J106)&gt;0,N($K106)&gt;0),IF($F106="",1,IF(COUNTIF('MASTER BUDGET'!$D$6:$D$25,$F106)=0,1,0)),0)</f>
      </c>
      <c r="Q106" s="78">
        <f>IF($C106="",0,IF(COUNTIF('PEOPLE + BUDGETS'!$B$6:$B$105,$C106)=0,1,0))</f>
      </c>
      <c r="R106" s="75"/>
    </row>
    <row r="107" ht="17" customHeight="1" spans="1:18" x14ac:dyDescent="0.25">
      <c r="A107" s="75"/>
      <c r="B107" s="79"/>
      <c r="C107" s="79"/>
      <c r="D107" s="78">
        <f>IF($B107="","",IF($C107="","",IFERROR(IF(INDEX('PEOPLE + BUDGETS'!$C$6:$C$105,MATCH($C107,'PEOPLE + BUDGETS'!$B$6:$B$105,0))="","",INDEX('PEOPLE + BUDGETS'!$C$6:$C$105,MATCH($C107,'PEOPLE + BUDGETS'!$B$6:$B$105,0))),"")))</f>
      </c>
      <c r="E107" s="80"/>
      <c r="F107" s="79"/>
      <c r="G107" s="79"/>
      <c r="H107" s="90"/>
      <c r="I107" s="86"/>
      <c r="J107" s="85">
        <f>IF($B107="","",ROUND($H107*$I107,2))</f>
      </c>
      <c r="K107" s="86"/>
      <c r="L107" s="79"/>
      <c r="M107" s="79"/>
      <c r="N107" s="80"/>
      <c r="O107" s="78">
        <f>IF($B107="",0,IF(COUNTIF('STOCKING STUFFERS'!$B$6:$B$155,$B107)&gt;1,1,0))</f>
      </c>
      <c r="P107" s="78">
        <f>IF(OR(N($J107)&gt;0,N($K107)&gt;0),IF($F107="",1,IF(COUNTIF('MASTER BUDGET'!$D$6:$D$25,$F107)=0,1,0)),0)</f>
      </c>
      <c r="Q107" s="78">
        <f>IF($C107="",0,IF(COUNTIF('PEOPLE + BUDGETS'!$B$6:$B$105,$C107)=0,1,0))</f>
      </c>
      <c r="R107" s="75"/>
    </row>
    <row r="108" ht="17" customHeight="1" spans="1:18" x14ac:dyDescent="0.25">
      <c r="A108" s="75"/>
      <c r="B108" s="79"/>
      <c r="C108" s="79"/>
      <c r="D108" s="78">
        <f>IF($B108="","",IF($C108="","",IFERROR(IF(INDEX('PEOPLE + BUDGETS'!$C$6:$C$105,MATCH($C108,'PEOPLE + BUDGETS'!$B$6:$B$105,0))="","",INDEX('PEOPLE + BUDGETS'!$C$6:$C$105,MATCH($C108,'PEOPLE + BUDGETS'!$B$6:$B$105,0))),"")))</f>
      </c>
      <c r="E108" s="80"/>
      <c r="F108" s="79"/>
      <c r="G108" s="79"/>
      <c r="H108" s="90"/>
      <c r="I108" s="86"/>
      <c r="J108" s="85">
        <f>IF($B108="","",ROUND($H108*$I108,2))</f>
      </c>
      <c r="K108" s="86"/>
      <c r="L108" s="79"/>
      <c r="M108" s="79"/>
      <c r="N108" s="80"/>
      <c r="O108" s="78">
        <f>IF($B108="",0,IF(COUNTIF('STOCKING STUFFERS'!$B$6:$B$155,$B108)&gt;1,1,0))</f>
      </c>
      <c r="P108" s="78">
        <f>IF(OR(N($J108)&gt;0,N($K108)&gt;0),IF($F108="",1,IF(COUNTIF('MASTER BUDGET'!$D$6:$D$25,$F108)=0,1,0)),0)</f>
      </c>
      <c r="Q108" s="78">
        <f>IF($C108="",0,IF(COUNTIF('PEOPLE + BUDGETS'!$B$6:$B$105,$C108)=0,1,0))</f>
      </c>
      <c r="R108" s="75"/>
    </row>
    <row r="109" ht="17" customHeight="1" spans="1:18" x14ac:dyDescent="0.25">
      <c r="A109" s="75"/>
      <c r="B109" s="79"/>
      <c r="C109" s="79"/>
      <c r="D109" s="78">
        <f>IF($B109="","",IF($C109="","",IFERROR(IF(INDEX('PEOPLE + BUDGETS'!$C$6:$C$105,MATCH($C109,'PEOPLE + BUDGETS'!$B$6:$B$105,0))="","",INDEX('PEOPLE + BUDGETS'!$C$6:$C$105,MATCH($C109,'PEOPLE + BUDGETS'!$B$6:$B$105,0))),"")))</f>
      </c>
      <c r="E109" s="80"/>
      <c r="F109" s="79"/>
      <c r="G109" s="79"/>
      <c r="H109" s="90"/>
      <c r="I109" s="86"/>
      <c r="J109" s="85">
        <f>IF($B109="","",ROUND($H109*$I109,2))</f>
      </c>
      <c r="K109" s="86"/>
      <c r="L109" s="79"/>
      <c r="M109" s="79"/>
      <c r="N109" s="80"/>
      <c r="O109" s="78">
        <f>IF($B109="",0,IF(COUNTIF('STOCKING STUFFERS'!$B$6:$B$155,$B109)&gt;1,1,0))</f>
      </c>
      <c r="P109" s="78">
        <f>IF(OR(N($J109)&gt;0,N($K109)&gt;0),IF($F109="",1,IF(COUNTIF('MASTER BUDGET'!$D$6:$D$25,$F109)=0,1,0)),0)</f>
      </c>
      <c r="Q109" s="78">
        <f>IF($C109="",0,IF(COUNTIF('PEOPLE + BUDGETS'!$B$6:$B$105,$C109)=0,1,0))</f>
      </c>
      <c r="R109" s="75"/>
    </row>
    <row r="110" ht="17" customHeight="1" spans="1:18" x14ac:dyDescent="0.25">
      <c r="A110" s="75"/>
      <c r="B110" s="79"/>
      <c r="C110" s="79"/>
      <c r="D110" s="78">
        <f>IF($B110="","",IF($C110="","",IFERROR(IF(INDEX('PEOPLE + BUDGETS'!$C$6:$C$105,MATCH($C110,'PEOPLE + BUDGETS'!$B$6:$B$105,0))="","",INDEX('PEOPLE + BUDGETS'!$C$6:$C$105,MATCH($C110,'PEOPLE + BUDGETS'!$B$6:$B$105,0))),"")))</f>
      </c>
      <c r="E110" s="80"/>
      <c r="F110" s="79"/>
      <c r="G110" s="79"/>
      <c r="H110" s="90"/>
      <c r="I110" s="86"/>
      <c r="J110" s="85">
        <f>IF($B110="","",ROUND($H110*$I110,2))</f>
      </c>
      <c r="K110" s="86"/>
      <c r="L110" s="79"/>
      <c r="M110" s="79"/>
      <c r="N110" s="80"/>
      <c r="O110" s="78">
        <f>IF($B110="",0,IF(COUNTIF('STOCKING STUFFERS'!$B$6:$B$155,$B110)&gt;1,1,0))</f>
      </c>
      <c r="P110" s="78">
        <f>IF(OR(N($J110)&gt;0,N($K110)&gt;0),IF($F110="",1,IF(COUNTIF('MASTER BUDGET'!$D$6:$D$25,$F110)=0,1,0)),0)</f>
      </c>
      <c r="Q110" s="78">
        <f>IF($C110="",0,IF(COUNTIF('PEOPLE + BUDGETS'!$B$6:$B$105,$C110)=0,1,0))</f>
      </c>
      <c r="R110" s="75"/>
    </row>
    <row r="111" ht="17" customHeight="1" spans="1:18" x14ac:dyDescent="0.25">
      <c r="A111" s="75"/>
      <c r="B111" s="79"/>
      <c r="C111" s="79"/>
      <c r="D111" s="78">
        <f>IF($B111="","",IF($C111="","",IFERROR(IF(INDEX('PEOPLE + BUDGETS'!$C$6:$C$105,MATCH($C111,'PEOPLE + BUDGETS'!$B$6:$B$105,0))="","",INDEX('PEOPLE + BUDGETS'!$C$6:$C$105,MATCH($C111,'PEOPLE + BUDGETS'!$B$6:$B$105,0))),"")))</f>
      </c>
      <c r="E111" s="80"/>
      <c r="F111" s="79"/>
      <c r="G111" s="79"/>
      <c r="H111" s="90"/>
      <c r="I111" s="86"/>
      <c r="J111" s="85">
        <f>IF($B111="","",ROUND($H111*$I111,2))</f>
      </c>
      <c r="K111" s="86"/>
      <c r="L111" s="79"/>
      <c r="M111" s="79"/>
      <c r="N111" s="80"/>
      <c r="O111" s="78">
        <f>IF($B111="",0,IF(COUNTIF('STOCKING STUFFERS'!$B$6:$B$155,$B111)&gt;1,1,0))</f>
      </c>
      <c r="P111" s="78">
        <f>IF(OR(N($J111)&gt;0,N($K111)&gt;0),IF($F111="",1,IF(COUNTIF('MASTER BUDGET'!$D$6:$D$25,$F111)=0,1,0)),0)</f>
      </c>
      <c r="Q111" s="78">
        <f>IF($C111="",0,IF(COUNTIF('PEOPLE + BUDGETS'!$B$6:$B$105,$C111)=0,1,0))</f>
      </c>
      <c r="R111" s="75"/>
    </row>
    <row r="112" ht="17" customHeight="1" spans="1:18" x14ac:dyDescent="0.25">
      <c r="A112" s="75"/>
      <c r="B112" s="79"/>
      <c r="C112" s="79"/>
      <c r="D112" s="78">
        <f>IF($B112="","",IF($C112="","",IFERROR(IF(INDEX('PEOPLE + BUDGETS'!$C$6:$C$105,MATCH($C112,'PEOPLE + BUDGETS'!$B$6:$B$105,0))="","",INDEX('PEOPLE + BUDGETS'!$C$6:$C$105,MATCH($C112,'PEOPLE + BUDGETS'!$B$6:$B$105,0))),"")))</f>
      </c>
      <c r="E112" s="80"/>
      <c r="F112" s="79"/>
      <c r="G112" s="79"/>
      <c r="H112" s="90"/>
      <c r="I112" s="86"/>
      <c r="J112" s="85">
        <f>IF($B112="","",ROUND($H112*$I112,2))</f>
      </c>
      <c r="K112" s="86"/>
      <c r="L112" s="79"/>
      <c r="M112" s="79"/>
      <c r="N112" s="80"/>
      <c r="O112" s="78">
        <f>IF($B112="",0,IF(COUNTIF('STOCKING STUFFERS'!$B$6:$B$155,$B112)&gt;1,1,0))</f>
      </c>
      <c r="P112" s="78">
        <f>IF(OR(N($J112)&gt;0,N($K112)&gt;0),IF($F112="",1,IF(COUNTIF('MASTER BUDGET'!$D$6:$D$25,$F112)=0,1,0)),0)</f>
      </c>
      <c r="Q112" s="78">
        <f>IF($C112="",0,IF(COUNTIF('PEOPLE + BUDGETS'!$B$6:$B$105,$C112)=0,1,0))</f>
      </c>
      <c r="R112" s="75"/>
    </row>
    <row r="113" ht="17" customHeight="1" spans="1:18" x14ac:dyDescent="0.25">
      <c r="A113" s="75"/>
      <c r="B113" s="79"/>
      <c r="C113" s="79"/>
      <c r="D113" s="78">
        <f>IF($B113="","",IF($C113="","",IFERROR(IF(INDEX('PEOPLE + BUDGETS'!$C$6:$C$105,MATCH($C113,'PEOPLE + BUDGETS'!$B$6:$B$105,0))="","",INDEX('PEOPLE + BUDGETS'!$C$6:$C$105,MATCH($C113,'PEOPLE + BUDGETS'!$B$6:$B$105,0))),"")))</f>
      </c>
      <c r="E113" s="80"/>
      <c r="F113" s="79"/>
      <c r="G113" s="79"/>
      <c r="H113" s="90"/>
      <c r="I113" s="86"/>
      <c r="J113" s="85">
        <f>IF($B113="","",ROUND($H113*$I113,2))</f>
      </c>
      <c r="K113" s="86"/>
      <c r="L113" s="79"/>
      <c r="M113" s="79"/>
      <c r="N113" s="80"/>
      <c r="O113" s="78">
        <f>IF($B113="",0,IF(COUNTIF('STOCKING STUFFERS'!$B$6:$B$155,$B113)&gt;1,1,0))</f>
      </c>
      <c r="P113" s="78">
        <f>IF(OR(N($J113)&gt;0,N($K113)&gt;0),IF($F113="",1,IF(COUNTIF('MASTER BUDGET'!$D$6:$D$25,$F113)=0,1,0)),0)</f>
      </c>
      <c r="Q113" s="78">
        <f>IF($C113="",0,IF(COUNTIF('PEOPLE + BUDGETS'!$B$6:$B$105,$C113)=0,1,0))</f>
      </c>
      <c r="R113" s="75"/>
    </row>
    <row r="114" ht="17" customHeight="1" spans="1:18" x14ac:dyDescent="0.25">
      <c r="A114" s="75"/>
      <c r="B114" s="79"/>
      <c r="C114" s="79"/>
      <c r="D114" s="78">
        <f>IF($B114="","",IF($C114="","",IFERROR(IF(INDEX('PEOPLE + BUDGETS'!$C$6:$C$105,MATCH($C114,'PEOPLE + BUDGETS'!$B$6:$B$105,0))="","",INDEX('PEOPLE + BUDGETS'!$C$6:$C$105,MATCH($C114,'PEOPLE + BUDGETS'!$B$6:$B$105,0))),"")))</f>
      </c>
      <c r="E114" s="80"/>
      <c r="F114" s="79"/>
      <c r="G114" s="79"/>
      <c r="H114" s="90"/>
      <c r="I114" s="86"/>
      <c r="J114" s="85">
        <f>IF($B114="","",ROUND($H114*$I114,2))</f>
      </c>
      <c r="K114" s="86"/>
      <c r="L114" s="79"/>
      <c r="M114" s="79"/>
      <c r="N114" s="80"/>
      <c r="O114" s="78">
        <f>IF($B114="",0,IF(COUNTIF('STOCKING STUFFERS'!$B$6:$B$155,$B114)&gt;1,1,0))</f>
      </c>
      <c r="P114" s="78">
        <f>IF(OR(N($J114)&gt;0,N($K114)&gt;0),IF($F114="",1,IF(COUNTIF('MASTER BUDGET'!$D$6:$D$25,$F114)=0,1,0)),0)</f>
      </c>
      <c r="Q114" s="78">
        <f>IF($C114="",0,IF(COUNTIF('PEOPLE + BUDGETS'!$B$6:$B$105,$C114)=0,1,0))</f>
      </c>
      <c r="R114" s="75"/>
    </row>
    <row r="115" ht="17" customHeight="1" spans="1:18" x14ac:dyDescent="0.25">
      <c r="A115" s="75"/>
      <c r="B115" s="79"/>
      <c r="C115" s="79"/>
      <c r="D115" s="78">
        <f>IF($B115="","",IF($C115="","",IFERROR(IF(INDEX('PEOPLE + BUDGETS'!$C$6:$C$105,MATCH($C115,'PEOPLE + BUDGETS'!$B$6:$B$105,0))="","",INDEX('PEOPLE + BUDGETS'!$C$6:$C$105,MATCH($C115,'PEOPLE + BUDGETS'!$B$6:$B$105,0))),"")))</f>
      </c>
      <c r="E115" s="80"/>
      <c r="F115" s="79"/>
      <c r="G115" s="79"/>
      <c r="H115" s="90"/>
      <c r="I115" s="86"/>
      <c r="J115" s="85">
        <f>IF($B115="","",ROUND($H115*$I115,2))</f>
      </c>
      <c r="K115" s="86"/>
      <c r="L115" s="79"/>
      <c r="M115" s="79"/>
      <c r="N115" s="80"/>
      <c r="O115" s="78">
        <f>IF($B115="",0,IF(COUNTIF('STOCKING STUFFERS'!$B$6:$B$155,$B115)&gt;1,1,0))</f>
      </c>
      <c r="P115" s="78">
        <f>IF(OR(N($J115)&gt;0,N($K115)&gt;0),IF($F115="",1,IF(COUNTIF('MASTER BUDGET'!$D$6:$D$25,$F115)=0,1,0)),0)</f>
      </c>
      <c r="Q115" s="78">
        <f>IF($C115="",0,IF(COUNTIF('PEOPLE + BUDGETS'!$B$6:$B$105,$C115)=0,1,0))</f>
      </c>
      <c r="R115" s="75"/>
    </row>
    <row r="116" ht="17" customHeight="1" spans="1:18" x14ac:dyDescent="0.25">
      <c r="A116" s="75"/>
      <c r="B116" s="79"/>
      <c r="C116" s="79"/>
      <c r="D116" s="78">
        <f>IF($B116="","",IF($C116="","",IFERROR(IF(INDEX('PEOPLE + BUDGETS'!$C$6:$C$105,MATCH($C116,'PEOPLE + BUDGETS'!$B$6:$B$105,0))="","",INDEX('PEOPLE + BUDGETS'!$C$6:$C$105,MATCH($C116,'PEOPLE + BUDGETS'!$B$6:$B$105,0))),"")))</f>
      </c>
      <c r="E116" s="80"/>
      <c r="F116" s="79"/>
      <c r="G116" s="79"/>
      <c r="H116" s="90"/>
      <c r="I116" s="86"/>
      <c r="J116" s="85">
        <f>IF($B116="","",ROUND($H116*$I116,2))</f>
      </c>
      <c r="K116" s="86"/>
      <c r="L116" s="79"/>
      <c r="M116" s="79"/>
      <c r="N116" s="80"/>
      <c r="O116" s="78">
        <f>IF($B116="",0,IF(COUNTIF('STOCKING STUFFERS'!$B$6:$B$155,$B116)&gt;1,1,0))</f>
      </c>
      <c r="P116" s="78">
        <f>IF(OR(N($J116)&gt;0,N($K116)&gt;0),IF($F116="",1,IF(COUNTIF('MASTER BUDGET'!$D$6:$D$25,$F116)=0,1,0)),0)</f>
      </c>
      <c r="Q116" s="78">
        <f>IF($C116="",0,IF(COUNTIF('PEOPLE + BUDGETS'!$B$6:$B$105,$C116)=0,1,0))</f>
      </c>
      <c r="R116" s="75"/>
    </row>
    <row r="117" ht="17" customHeight="1" spans="1:18" x14ac:dyDescent="0.25">
      <c r="A117" s="75"/>
      <c r="B117" s="79"/>
      <c r="C117" s="79"/>
      <c r="D117" s="78">
        <f>IF($B117="","",IF($C117="","",IFERROR(IF(INDEX('PEOPLE + BUDGETS'!$C$6:$C$105,MATCH($C117,'PEOPLE + BUDGETS'!$B$6:$B$105,0))="","",INDEX('PEOPLE + BUDGETS'!$C$6:$C$105,MATCH($C117,'PEOPLE + BUDGETS'!$B$6:$B$105,0))),"")))</f>
      </c>
      <c r="E117" s="80"/>
      <c r="F117" s="79"/>
      <c r="G117" s="79"/>
      <c r="H117" s="90"/>
      <c r="I117" s="86"/>
      <c r="J117" s="85">
        <f>IF($B117="","",ROUND($H117*$I117,2))</f>
      </c>
      <c r="K117" s="86"/>
      <c r="L117" s="79"/>
      <c r="M117" s="79"/>
      <c r="N117" s="80"/>
      <c r="O117" s="78">
        <f>IF($B117="",0,IF(COUNTIF('STOCKING STUFFERS'!$B$6:$B$155,$B117)&gt;1,1,0))</f>
      </c>
      <c r="P117" s="78">
        <f>IF(OR(N($J117)&gt;0,N($K117)&gt;0),IF($F117="",1,IF(COUNTIF('MASTER BUDGET'!$D$6:$D$25,$F117)=0,1,0)),0)</f>
      </c>
      <c r="Q117" s="78">
        <f>IF($C117="",0,IF(COUNTIF('PEOPLE + BUDGETS'!$B$6:$B$105,$C117)=0,1,0))</f>
      </c>
      <c r="R117" s="75"/>
    </row>
    <row r="118" ht="17" customHeight="1" spans="1:18" x14ac:dyDescent="0.25">
      <c r="A118" s="75"/>
      <c r="B118" s="79"/>
      <c r="C118" s="79"/>
      <c r="D118" s="78">
        <f>IF($B118="","",IF($C118="","",IFERROR(IF(INDEX('PEOPLE + BUDGETS'!$C$6:$C$105,MATCH($C118,'PEOPLE + BUDGETS'!$B$6:$B$105,0))="","",INDEX('PEOPLE + BUDGETS'!$C$6:$C$105,MATCH($C118,'PEOPLE + BUDGETS'!$B$6:$B$105,0))),"")))</f>
      </c>
      <c r="E118" s="80"/>
      <c r="F118" s="79"/>
      <c r="G118" s="79"/>
      <c r="H118" s="90"/>
      <c r="I118" s="86"/>
      <c r="J118" s="85">
        <f>IF($B118="","",ROUND($H118*$I118,2))</f>
      </c>
      <c r="K118" s="86"/>
      <c r="L118" s="79"/>
      <c r="M118" s="79"/>
      <c r="N118" s="80"/>
      <c r="O118" s="78">
        <f>IF($B118="",0,IF(COUNTIF('STOCKING STUFFERS'!$B$6:$B$155,$B118)&gt;1,1,0))</f>
      </c>
      <c r="P118" s="78">
        <f>IF(OR(N($J118)&gt;0,N($K118)&gt;0),IF($F118="",1,IF(COUNTIF('MASTER BUDGET'!$D$6:$D$25,$F118)=0,1,0)),0)</f>
      </c>
      <c r="Q118" s="78">
        <f>IF($C118="",0,IF(COUNTIF('PEOPLE + BUDGETS'!$B$6:$B$105,$C118)=0,1,0))</f>
      </c>
      <c r="R118" s="75"/>
    </row>
    <row r="119" ht="17" customHeight="1" spans="1:18" x14ac:dyDescent="0.25">
      <c r="A119" s="75"/>
      <c r="B119" s="79"/>
      <c r="C119" s="79"/>
      <c r="D119" s="78">
        <f>IF($B119="","",IF($C119="","",IFERROR(IF(INDEX('PEOPLE + BUDGETS'!$C$6:$C$105,MATCH($C119,'PEOPLE + BUDGETS'!$B$6:$B$105,0))="","",INDEX('PEOPLE + BUDGETS'!$C$6:$C$105,MATCH($C119,'PEOPLE + BUDGETS'!$B$6:$B$105,0))),"")))</f>
      </c>
      <c r="E119" s="80"/>
      <c r="F119" s="79"/>
      <c r="G119" s="79"/>
      <c r="H119" s="90"/>
      <c r="I119" s="86"/>
      <c r="J119" s="85">
        <f>IF($B119="","",ROUND($H119*$I119,2))</f>
      </c>
      <c r="K119" s="86"/>
      <c r="L119" s="79"/>
      <c r="M119" s="79"/>
      <c r="N119" s="80"/>
      <c r="O119" s="78">
        <f>IF($B119="",0,IF(COUNTIF('STOCKING STUFFERS'!$B$6:$B$155,$B119)&gt;1,1,0))</f>
      </c>
      <c r="P119" s="78">
        <f>IF(OR(N($J119)&gt;0,N($K119)&gt;0),IF($F119="",1,IF(COUNTIF('MASTER BUDGET'!$D$6:$D$25,$F119)=0,1,0)),0)</f>
      </c>
      <c r="Q119" s="78">
        <f>IF($C119="",0,IF(COUNTIF('PEOPLE + BUDGETS'!$B$6:$B$105,$C119)=0,1,0))</f>
      </c>
      <c r="R119" s="75"/>
    </row>
    <row r="120" ht="17" customHeight="1" spans="1:18" x14ac:dyDescent="0.25">
      <c r="A120" s="75"/>
      <c r="B120" s="79"/>
      <c r="C120" s="79"/>
      <c r="D120" s="78">
        <f>IF($B120="","",IF($C120="","",IFERROR(IF(INDEX('PEOPLE + BUDGETS'!$C$6:$C$105,MATCH($C120,'PEOPLE + BUDGETS'!$B$6:$B$105,0))="","",INDEX('PEOPLE + BUDGETS'!$C$6:$C$105,MATCH($C120,'PEOPLE + BUDGETS'!$B$6:$B$105,0))),"")))</f>
      </c>
      <c r="E120" s="80"/>
      <c r="F120" s="79"/>
      <c r="G120" s="79"/>
      <c r="H120" s="90"/>
      <c r="I120" s="86"/>
      <c r="J120" s="85">
        <f>IF($B120="","",ROUND($H120*$I120,2))</f>
      </c>
      <c r="K120" s="86"/>
      <c r="L120" s="79"/>
      <c r="M120" s="79"/>
      <c r="N120" s="80"/>
      <c r="O120" s="78">
        <f>IF($B120="",0,IF(COUNTIF('STOCKING STUFFERS'!$B$6:$B$155,$B120)&gt;1,1,0))</f>
      </c>
      <c r="P120" s="78">
        <f>IF(OR(N($J120)&gt;0,N($K120)&gt;0),IF($F120="",1,IF(COUNTIF('MASTER BUDGET'!$D$6:$D$25,$F120)=0,1,0)),0)</f>
      </c>
      <c r="Q120" s="78">
        <f>IF($C120="",0,IF(COUNTIF('PEOPLE + BUDGETS'!$B$6:$B$105,$C120)=0,1,0))</f>
      </c>
      <c r="R120" s="75"/>
    </row>
    <row r="121" ht="17" customHeight="1" spans="1:18" x14ac:dyDescent="0.25">
      <c r="A121" s="75"/>
      <c r="B121" s="79"/>
      <c r="C121" s="79"/>
      <c r="D121" s="78">
        <f>IF($B121="","",IF($C121="","",IFERROR(IF(INDEX('PEOPLE + BUDGETS'!$C$6:$C$105,MATCH($C121,'PEOPLE + BUDGETS'!$B$6:$B$105,0))="","",INDEX('PEOPLE + BUDGETS'!$C$6:$C$105,MATCH($C121,'PEOPLE + BUDGETS'!$B$6:$B$105,0))),"")))</f>
      </c>
      <c r="E121" s="80"/>
      <c r="F121" s="79"/>
      <c r="G121" s="79"/>
      <c r="H121" s="90"/>
      <c r="I121" s="86"/>
      <c r="J121" s="85">
        <f>IF($B121="","",ROUND($H121*$I121,2))</f>
      </c>
      <c r="K121" s="86"/>
      <c r="L121" s="79"/>
      <c r="M121" s="79"/>
      <c r="N121" s="80"/>
      <c r="O121" s="78">
        <f>IF($B121="",0,IF(COUNTIF('STOCKING STUFFERS'!$B$6:$B$155,$B121)&gt;1,1,0))</f>
      </c>
      <c r="P121" s="78">
        <f>IF(OR(N($J121)&gt;0,N($K121)&gt;0),IF($F121="",1,IF(COUNTIF('MASTER BUDGET'!$D$6:$D$25,$F121)=0,1,0)),0)</f>
      </c>
      <c r="Q121" s="78">
        <f>IF($C121="",0,IF(COUNTIF('PEOPLE + BUDGETS'!$B$6:$B$105,$C121)=0,1,0))</f>
      </c>
      <c r="R121" s="75"/>
    </row>
    <row r="122" ht="17" customHeight="1" spans="1:18" x14ac:dyDescent="0.25">
      <c r="A122" s="75"/>
      <c r="B122" s="79"/>
      <c r="C122" s="79"/>
      <c r="D122" s="78">
        <f>IF($B122="","",IF($C122="","",IFERROR(IF(INDEX('PEOPLE + BUDGETS'!$C$6:$C$105,MATCH($C122,'PEOPLE + BUDGETS'!$B$6:$B$105,0))="","",INDEX('PEOPLE + BUDGETS'!$C$6:$C$105,MATCH($C122,'PEOPLE + BUDGETS'!$B$6:$B$105,0))),"")))</f>
      </c>
      <c r="E122" s="80"/>
      <c r="F122" s="79"/>
      <c r="G122" s="79"/>
      <c r="H122" s="90"/>
      <c r="I122" s="86"/>
      <c r="J122" s="85">
        <f>IF($B122="","",ROUND($H122*$I122,2))</f>
      </c>
      <c r="K122" s="86"/>
      <c r="L122" s="79"/>
      <c r="M122" s="79"/>
      <c r="N122" s="80"/>
      <c r="O122" s="78">
        <f>IF($B122="",0,IF(COUNTIF('STOCKING STUFFERS'!$B$6:$B$155,$B122)&gt;1,1,0))</f>
      </c>
      <c r="P122" s="78">
        <f>IF(OR(N($J122)&gt;0,N($K122)&gt;0),IF($F122="",1,IF(COUNTIF('MASTER BUDGET'!$D$6:$D$25,$F122)=0,1,0)),0)</f>
      </c>
      <c r="Q122" s="78">
        <f>IF($C122="",0,IF(COUNTIF('PEOPLE + BUDGETS'!$B$6:$B$105,$C122)=0,1,0))</f>
      </c>
      <c r="R122" s="75"/>
    </row>
    <row r="123" ht="17" customHeight="1" spans="1:18" x14ac:dyDescent="0.25">
      <c r="A123" s="75"/>
      <c r="B123" s="79"/>
      <c r="C123" s="79"/>
      <c r="D123" s="78">
        <f>IF($B123="","",IF($C123="","",IFERROR(IF(INDEX('PEOPLE + BUDGETS'!$C$6:$C$105,MATCH($C123,'PEOPLE + BUDGETS'!$B$6:$B$105,0))="","",INDEX('PEOPLE + BUDGETS'!$C$6:$C$105,MATCH($C123,'PEOPLE + BUDGETS'!$B$6:$B$105,0))),"")))</f>
      </c>
      <c r="E123" s="80"/>
      <c r="F123" s="79"/>
      <c r="G123" s="79"/>
      <c r="H123" s="90"/>
      <c r="I123" s="86"/>
      <c r="J123" s="85">
        <f>IF($B123="","",ROUND($H123*$I123,2))</f>
      </c>
      <c r="K123" s="86"/>
      <c r="L123" s="79"/>
      <c r="M123" s="79"/>
      <c r="N123" s="80"/>
      <c r="O123" s="78">
        <f>IF($B123="",0,IF(COUNTIF('STOCKING STUFFERS'!$B$6:$B$155,$B123)&gt;1,1,0))</f>
      </c>
      <c r="P123" s="78">
        <f>IF(OR(N($J123)&gt;0,N($K123)&gt;0),IF($F123="",1,IF(COUNTIF('MASTER BUDGET'!$D$6:$D$25,$F123)=0,1,0)),0)</f>
      </c>
      <c r="Q123" s="78">
        <f>IF($C123="",0,IF(COUNTIF('PEOPLE + BUDGETS'!$B$6:$B$105,$C123)=0,1,0))</f>
      </c>
      <c r="R123" s="75"/>
    </row>
    <row r="124" ht="17" customHeight="1" spans="1:18" x14ac:dyDescent="0.25">
      <c r="A124" s="75"/>
      <c r="B124" s="79"/>
      <c r="C124" s="79"/>
      <c r="D124" s="78">
        <f>IF($B124="","",IF($C124="","",IFERROR(IF(INDEX('PEOPLE + BUDGETS'!$C$6:$C$105,MATCH($C124,'PEOPLE + BUDGETS'!$B$6:$B$105,0))="","",INDEX('PEOPLE + BUDGETS'!$C$6:$C$105,MATCH($C124,'PEOPLE + BUDGETS'!$B$6:$B$105,0))),"")))</f>
      </c>
      <c r="E124" s="80"/>
      <c r="F124" s="79"/>
      <c r="G124" s="79"/>
      <c r="H124" s="90"/>
      <c r="I124" s="86"/>
      <c r="J124" s="85">
        <f>IF($B124="","",ROUND($H124*$I124,2))</f>
      </c>
      <c r="K124" s="86"/>
      <c r="L124" s="79"/>
      <c r="M124" s="79"/>
      <c r="N124" s="80"/>
      <c r="O124" s="78">
        <f>IF($B124="",0,IF(COUNTIF('STOCKING STUFFERS'!$B$6:$B$155,$B124)&gt;1,1,0))</f>
      </c>
      <c r="P124" s="78">
        <f>IF(OR(N($J124)&gt;0,N($K124)&gt;0),IF($F124="",1,IF(COUNTIF('MASTER BUDGET'!$D$6:$D$25,$F124)=0,1,0)),0)</f>
      </c>
      <c r="Q124" s="78">
        <f>IF($C124="",0,IF(COUNTIF('PEOPLE + BUDGETS'!$B$6:$B$105,$C124)=0,1,0))</f>
      </c>
      <c r="R124" s="75"/>
    </row>
    <row r="125" ht="17" customHeight="1" spans="1:18" x14ac:dyDescent="0.25">
      <c r="A125" s="75"/>
      <c r="B125" s="79"/>
      <c r="C125" s="79"/>
      <c r="D125" s="78">
        <f>IF($B125="","",IF($C125="","",IFERROR(IF(INDEX('PEOPLE + BUDGETS'!$C$6:$C$105,MATCH($C125,'PEOPLE + BUDGETS'!$B$6:$B$105,0))="","",INDEX('PEOPLE + BUDGETS'!$C$6:$C$105,MATCH($C125,'PEOPLE + BUDGETS'!$B$6:$B$105,0))),"")))</f>
      </c>
      <c r="E125" s="80"/>
      <c r="F125" s="79"/>
      <c r="G125" s="79"/>
      <c r="H125" s="90"/>
      <c r="I125" s="86"/>
      <c r="J125" s="85">
        <f>IF($B125="","",ROUND($H125*$I125,2))</f>
      </c>
      <c r="K125" s="86"/>
      <c r="L125" s="79"/>
      <c r="M125" s="79"/>
      <c r="N125" s="80"/>
      <c r="O125" s="78">
        <f>IF($B125="",0,IF(COUNTIF('STOCKING STUFFERS'!$B$6:$B$155,$B125)&gt;1,1,0))</f>
      </c>
      <c r="P125" s="78">
        <f>IF(OR(N($J125)&gt;0,N($K125)&gt;0),IF($F125="",1,IF(COUNTIF('MASTER BUDGET'!$D$6:$D$25,$F125)=0,1,0)),0)</f>
      </c>
      <c r="Q125" s="78">
        <f>IF($C125="",0,IF(COUNTIF('PEOPLE + BUDGETS'!$B$6:$B$105,$C125)=0,1,0))</f>
      </c>
      <c r="R125" s="75"/>
    </row>
    <row r="126" ht="17" customHeight="1" spans="1:18" x14ac:dyDescent="0.25">
      <c r="A126" s="75"/>
      <c r="B126" s="79"/>
      <c r="C126" s="79"/>
      <c r="D126" s="78">
        <f>IF($B126="","",IF($C126="","",IFERROR(IF(INDEX('PEOPLE + BUDGETS'!$C$6:$C$105,MATCH($C126,'PEOPLE + BUDGETS'!$B$6:$B$105,0))="","",INDEX('PEOPLE + BUDGETS'!$C$6:$C$105,MATCH($C126,'PEOPLE + BUDGETS'!$B$6:$B$105,0))),"")))</f>
      </c>
      <c r="E126" s="80"/>
      <c r="F126" s="79"/>
      <c r="G126" s="79"/>
      <c r="H126" s="90"/>
      <c r="I126" s="86"/>
      <c r="J126" s="85">
        <f>IF($B126="","",ROUND($H126*$I126,2))</f>
      </c>
      <c r="K126" s="86"/>
      <c r="L126" s="79"/>
      <c r="M126" s="79"/>
      <c r="N126" s="80"/>
      <c r="O126" s="78">
        <f>IF($B126="",0,IF(COUNTIF('STOCKING STUFFERS'!$B$6:$B$155,$B126)&gt;1,1,0))</f>
      </c>
      <c r="P126" s="78">
        <f>IF(OR(N($J126)&gt;0,N($K126)&gt;0),IF($F126="",1,IF(COUNTIF('MASTER BUDGET'!$D$6:$D$25,$F126)=0,1,0)),0)</f>
      </c>
      <c r="Q126" s="78">
        <f>IF($C126="",0,IF(COUNTIF('PEOPLE + BUDGETS'!$B$6:$B$105,$C126)=0,1,0))</f>
      </c>
      <c r="R126" s="75"/>
    </row>
    <row r="127" ht="17" customHeight="1" spans="1:18" x14ac:dyDescent="0.25">
      <c r="A127" s="75"/>
      <c r="B127" s="79"/>
      <c r="C127" s="79"/>
      <c r="D127" s="78">
        <f>IF($B127="","",IF($C127="","",IFERROR(IF(INDEX('PEOPLE + BUDGETS'!$C$6:$C$105,MATCH($C127,'PEOPLE + BUDGETS'!$B$6:$B$105,0))="","",INDEX('PEOPLE + BUDGETS'!$C$6:$C$105,MATCH($C127,'PEOPLE + BUDGETS'!$B$6:$B$105,0))),"")))</f>
      </c>
      <c r="E127" s="80"/>
      <c r="F127" s="79"/>
      <c r="G127" s="79"/>
      <c r="H127" s="90"/>
      <c r="I127" s="86"/>
      <c r="J127" s="85">
        <f>IF($B127="","",ROUND($H127*$I127,2))</f>
      </c>
      <c r="K127" s="86"/>
      <c r="L127" s="79"/>
      <c r="M127" s="79"/>
      <c r="N127" s="80"/>
      <c r="O127" s="78">
        <f>IF($B127="",0,IF(COUNTIF('STOCKING STUFFERS'!$B$6:$B$155,$B127)&gt;1,1,0))</f>
      </c>
      <c r="P127" s="78">
        <f>IF(OR(N($J127)&gt;0,N($K127)&gt;0),IF($F127="",1,IF(COUNTIF('MASTER BUDGET'!$D$6:$D$25,$F127)=0,1,0)),0)</f>
      </c>
      <c r="Q127" s="78">
        <f>IF($C127="",0,IF(COUNTIF('PEOPLE + BUDGETS'!$B$6:$B$105,$C127)=0,1,0))</f>
      </c>
      <c r="R127" s="75"/>
    </row>
    <row r="128" ht="17" customHeight="1" spans="1:18" x14ac:dyDescent="0.25">
      <c r="A128" s="75"/>
      <c r="B128" s="79"/>
      <c r="C128" s="79"/>
      <c r="D128" s="78">
        <f>IF($B128="","",IF($C128="","",IFERROR(IF(INDEX('PEOPLE + BUDGETS'!$C$6:$C$105,MATCH($C128,'PEOPLE + BUDGETS'!$B$6:$B$105,0))="","",INDEX('PEOPLE + BUDGETS'!$C$6:$C$105,MATCH($C128,'PEOPLE + BUDGETS'!$B$6:$B$105,0))),"")))</f>
      </c>
      <c r="E128" s="80"/>
      <c r="F128" s="79"/>
      <c r="G128" s="79"/>
      <c r="H128" s="90"/>
      <c r="I128" s="86"/>
      <c r="J128" s="85">
        <f>IF($B128="","",ROUND($H128*$I128,2))</f>
      </c>
      <c r="K128" s="86"/>
      <c r="L128" s="79"/>
      <c r="M128" s="79"/>
      <c r="N128" s="80"/>
      <c r="O128" s="78">
        <f>IF($B128="",0,IF(COUNTIF('STOCKING STUFFERS'!$B$6:$B$155,$B128)&gt;1,1,0))</f>
      </c>
      <c r="P128" s="78">
        <f>IF(OR(N($J128)&gt;0,N($K128)&gt;0),IF($F128="",1,IF(COUNTIF('MASTER BUDGET'!$D$6:$D$25,$F128)=0,1,0)),0)</f>
      </c>
      <c r="Q128" s="78">
        <f>IF($C128="",0,IF(COUNTIF('PEOPLE + BUDGETS'!$B$6:$B$105,$C128)=0,1,0))</f>
      </c>
      <c r="R128" s="75"/>
    </row>
    <row r="129" ht="17" customHeight="1" spans="1:18" x14ac:dyDescent="0.25">
      <c r="A129" s="75"/>
      <c r="B129" s="79"/>
      <c r="C129" s="79"/>
      <c r="D129" s="78">
        <f>IF($B129="","",IF($C129="","",IFERROR(IF(INDEX('PEOPLE + BUDGETS'!$C$6:$C$105,MATCH($C129,'PEOPLE + BUDGETS'!$B$6:$B$105,0))="","",INDEX('PEOPLE + BUDGETS'!$C$6:$C$105,MATCH($C129,'PEOPLE + BUDGETS'!$B$6:$B$105,0))),"")))</f>
      </c>
      <c r="E129" s="80"/>
      <c r="F129" s="79"/>
      <c r="G129" s="79"/>
      <c r="H129" s="90"/>
      <c r="I129" s="86"/>
      <c r="J129" s="85">
        <f>IF($B129="","",ROUND($H129*$I129,2))</f>
      </c>
      <c r="K129" s="86"/>
      <c r="L129" s="79"/>
      <c r="M129" s="79"/>
      <c r="N129" s="80"/>
      <c r="O129" s="78">
        <f>IF($B129="",0,IF(COUNTIF('STOCKING STUFFERS'!$B$6:$B$155,$B129)&gt;1,1,0))</f>
      </c>
      <c r="P129" s="78">
        <f>IF(OR(N($J129)&gt;0,N($K129)&gt;0),IF($F129="",1,IF(COUNTIF('MASTER BUDGET'!$D$6:$D$25,$F129)=0,1,0)),0)</f>
      </c>
      <c r="Q129" s="78">
        <f>IF($C129="",0,IF(COUNTIF('PEOPLE + BUDGETS'!$B$6:$B$105,$C129)=0,1,0))</f>
      </c>
      <c r="R129" s="75"/>
    </row>
    <row r="130" ht="17" customHeight="1" spans="1:18" x14ac:dyDescent="0.25">
      <c r="A130" s="75"/>
      <c r="B130" s="79"/>
      <c r="C130" s="79"/>
      <c r="D130" s="78">
        <f>IF($B130="","",IF($C130="","",IFERROR(IF(INDEX('PEOPLE + BUDGETS'!$C$6:$C$105,MATCH($C130,'PEOPLE + BUDGETS'!$B$6:$B$105,0))="","",INDEX('PEOPLE + BUDGETS'!$C$6:$C$105,MATCH($C130,'PEOPLE + BUDGETS'!$B$6:$B$105,0))),"")))</f>
      </c>
      <c r="E130" s="80"/>
      <c r="F130" s="79"/>
      <c r="G130" s="79"/>
      <c r="H130" s="90"/>
      <c r="I130" s="86"/>
      <c r="J130" s="85">
        <f>IF($B130="","",ROUND($H130*$I130,2))</f>
      </c>
      <c r="K130" s="86"/>
      <c r="L130" s="79"/>
      <c r="M130" s="79"/>
      <c r="N130" s="80"/>
      <c r="O130" s="78">
        <f>IF($B130="",0,IF(COUNTIF('STOCKING STUFFERS'!$B$6:$B$155,$B130)&gt;1,1,0))</f>
      </c>
      <c r="P130" s="78">
        <f>IF(OR(N($J130)&gt;0,N($K130)&gt;0),IF($F130="",1,IF(COUNTIF('MASTER BUDGET'!$D$6:$D$25,$F130)=0,1,0)),0)</f>
      </c>
      <c r="Q130" s="78">
        <f>IF($C130="",0,IF(COUNTIF('PEOPLE + BUDGETS'!$B$6:$B$105,$C130)=0,1,0))</f>
      </c>
      <c r="R130" s="75"/>
    </row>
    <row r="131" ht="17" customHeight="1" spans="1:18" x14ac:dyDescent="0.25">
      <c r="A131" s="75"/>
      <c r="B131" s="79"/>
      <c r="C131" s="79"/>
      <c r="D131" s="78">
        <f>IF($B131="","",IF($C131="","",IFERROR(IF(INDEX('PEOPLE + BUDGETS'!$C$6:$C$105,MATCH($C131,'PEOPLE + BUDGETS'!$B$6:$B$105,0))="","",INDEX('PEOPLE + BUDGETS'!$C$6:$C$105,MATCH($C131,'PEOPLE + BUDGETS'!$B$6:$B$105,0))),"")))</f>
      </c>
      <c r="E131" s="80"/>
      <c r="F131" s="79"/>
      <c r="G131" s="79"/>
      <c r="H131" s="90"/>
      <c r="I131" s="86"/>
      <c r="J131" s="85">
        <f>IF($B131="","",ROUND($H131*$I131,2))</f>
      </c>
      <c r="K131" s="86"/>
      <c r="L131" s="79"/>
      <c r="M131" s="79"/>
      <c r="N131" s="80"/>
      <c r="O131" s="78">
        <f>IF($B131="",0,IF(COUNTIF('STOCKING STUFFERS'!$B$6:$B$155,$B131)&gt;1,1,0))</f>
      </c>
      <c r="P131" s="78">
        <f>IF(OR(N($J131)&gt;0,N($K131)&gt;0),IF($F131="",1,IF(COUNTIF('MASTER BUDGET'!$D$6:$D$25,$F131)=0,1,0)),0)</f>
      </c>
      <c r="Q131" s="78">
        <f>IF($C131="",0,IF(COUNTIF('PEOPLE + BUDGETS'!$B$6:$B$105,$C131)=0,1,0))</f>
      </c>
      <c r="R131" s="75"/>
    </row>
    <row r="132" ht="17" customHeight="1" spans="1:18" x14ac:dyDescent="0.25">
      <c r="A132" s="75"/>
      <c r="B132" s="79"/>
      <c r="C132" s="79"/>
      <c r="D132" s="78">
        <f>IF($B132="","",IF($C132="","",IFERROR(IF(INDEX('PEOPLE + BUDGETS'!$C$6:$C$105,MATCH($C132,'PEOPLE + BUDGETS'!$B$6:$B$105,0))="","",INDEX('PEOPLE + BUDGETS'!$C$6:$C$105,MATCH($C132,'PEOPLE + BUDGETS'!$B$6:$B$105,0))),"")))</f>
      </c>
      <c r="E132" s="80"/>
      <c r="F132" s="79"/>
      <c r="G132" s="79"/>
      <c r="H132" s="90"/>
      <c r="I132" s="86"/>
      <c r="J132" s="85">
        <f>IF($B132="","",ROUND($H132*$I132,2))</f>
      </c>
      <c r="K132" s="86"/>
      <c r="L132" s="79"/>
      <c r="M132" s="79"/>
      <c r="N132" s="80"/>
      <c r="O132" s="78">
        <f>IF($B132="",0,IF(COUNTIF('STOCKING STUFFERS'!$B$6:$B$155,$B132)&gt;1,1,0))</f>
      </c>
      <c r="P132" s="78">
        <f>IF(OR(N($J132)&gt;0,N($K132)&gt;0),IF($F132="",1,IF(COUNTIF('MASTER BUDGET'!$D$6:$D$25,$F132)=0,1,0)),0)</f>
      </c>
      <c r="Q132" s="78">
        <f>IF($C132="",0,IF(COUNTIF('PEOPLE + BUDGETS'!$B$6:$B$105,$C132)=0,1,0))</f>
      </c>
      <c r="R132" s="75"/>
    </row>
    <row r="133" ht="17" customHeight="1" spans="1:18" x14ac:dyDescent="0.25">
      <c r="A133" s="75"/>
      <c r="B133" s="79"/>
      <c r="C133" s="79"/>
      <c r="D133" s="78">
        <f>IF($B133="","",IF($C133="","",IFERROR(IF(INDEX('PEOPLE + BUDGETS'!$C$6:$C$105,MATCH($C133,'PEOPLE + BUDGETS'!$B$6:$B$105,0))="","",INDEX('PEOPLE + BUDGETS'!$C$6:$C$105,MATCH($C133,'PEOPLE + BUDGETS'!$B$6:$B$105,0))),"")))</f>
      </c>
      <c r="E133" s="80"/>
      <c r="F133" s="79"/>
      <c r="G133" s="79"/>
      <c r="H133" s="90"/>
      <c r="I133" s="86"/>
      <c r="J133" s="85">
        <f>IF($B133="","",ROUND($H133*$I133,2))</f>
      </c>
      <c r="K133" s="86"/>
      <c r="L133" s="79"/>
      <c r="M133" s="79"/>
      <c r="N133" s="80"/>
      <c r="O133" s="78">
        <f>IF($B133="",0,IF(COUNTIF('STOCKING STUFFERS'!$B$6:$B$155,$B133)&gt;1,1,0))</f>
      </c>
      <c r="P133" s="78">
        <f>IF(OR(N($J133)&gt;0,N($K133)&gt;0),IF($F133="",1,IF(COUNTIF('MASTER BUDGET'!$D$6:$D$25,$F133)=0,1,0)),0)</f>
      </c>
      <c r="Q133" s="78">
        <f>IF($C133="",0,IF(COUNTIF('PEOPLE + BUDGETS'!$B$6:$B$105,$C133)=0,1,0))</f>
      </c>
      <c r="R133" s="75"/>
    </row>
    <row r="134" ht="17" customHeight="1" spans="1:18" x14ac:dyDescent="0.25">
      <c r="A134" s="75"/>
      <c r="B134" s="79"/>
      <c r="C134" s="79"/>
      <c r="D134" s="78">
        <f>IF($B134="","",IF($C134="","",IFERROR(IF(INDEX('PEOPLE + BUDGETS'!$C$6:$C$105,MATCH($C134,'PEOPLE + BUDGETS'!$B$6:$B$105,0))="","",INDEX('PEOPLE + BUDGETS'!$C$6:$C$105,MATCH($C134,'PEOPLE + BUDGETS'!$B$6:$B$105,0))),"")))</f>
      </c>
      <c r="E134" s="80"/>
      <c r="F134" s="79"/>
      <c r="G134" s="79"/>
      <c r="H134" s="90"/>
      <c r="I134" s="86"/>
      <c r="J134" s="85">
        <f>IF($B134="","",ROUND($H134*$I134,2))</f>
      </c>
      <c r="K134" s="86"/>
      <c r="L134" s="79"/>
      <c r="M134" s="79"/>
      <c r="N134" s="80"/>
      <c r="O134" s="78">
        <f>IF($B134="",0,IF(COUNTIF('STOCKING STUFFERS'!$B$6:$B$155,$B134)&gt;1,1,0))</f>
      </c>
      <c r="P134" s="78">
        <f>IF(OR(N($J134)&gt;0,N($K134)&gt;0),IF($F134="",1,IF(COUNTIF('MASTER BUDGET'!$D$6:$D$25,$F134)=0,1,0)),0)</f>
      </c>
      <c r="Q134" s="78">
        <f>IF($C134="",0,IF(COUNTIF('PEOPLE + BUDGETS'!$B$6:$B$105,$C134)=0,1,0))</f>
      </c>
      <c r="R134" s="75"/>
    </row>
    <row r="135" ht="17" customHeight="1" spans="1:18" x14ac:dyDescent="0.25">
      <c r="A135" s="75"/>
      <c r="B135" s="79"/>
      <c r="C135" s="79"/>
      <c r="D135" s="78">
        <f>IF($B135="","",IF($C135="","",IFERROR(IF(INDEX('PEOPLE + BUDGETS'!$C$6:$C$105,MATCH($C135,'PEOPLE + BUDGETS'!$B$6:$B$105,0))="","",INDEX('PEOPLE + BUDGETS'!$C$6:$C$105,MATCH($C135,'PEOPLE + BUDGETS'!$B$6:$B$105,0))),"")))</f>
      </c>
      <c r="E135" s="80"/>
      <c r="F135" s="79"/>
      <c r="G135" s="79"/>
      <c r="H135" s="90"/>
      <c r="I135" s="86"/>
      <c r="J135" s="85">
        <f>IF($B135="","",ROUND($H135*$I135,2))</f>
      </c>
      <c r="K135" s="86"/>
      <c r="L135" s="79"/>
      <c r="M135" s="79"/>
      <c r="N135" s="80"/>
      <c r="O135" s="78">
        <f>IF($B135="",0,IF(COUNTIF('STOCKING STUFFERS'!$B$6:$B$155,$B135)&gt;1,1,0))</f>
      </c>
      <c r="P135" s="78">
        <f>IF(OR(N($J135)&gt;0,N($K135)&gt;0),IF($F135="",1,IF(COUNTIF('MASTER BUDGET'!$D$6:$D$25,$F135)=0,1,0)),0)</f>
      </c>
      <c r="Q135" s="78">
        <f>IF($C135="",0,IF(COUNTIF('PEOPLE + BUDGETS'!$B$6:$B$105,$C135)=0,1,0))</f>
      </c>
      <c r="R135" s="75"/>
    </row>
    <row r="136" ht="17" customHeight="1" spans="1:18" x14ac:dyDescent="0.25">
      <c r="A136" s="75"/>
      <c r="B136" s="79"/>
      <c r="C136" s="79"/>
      <c r="D136" s="78">
        <f>IF($B136="","",IF($C136="","",IFERROR(IF(INDEX('PEOPLE + BUDGETS'!$C$6:$C$105,MATCH($C136,'PEOPLE + BUDGETS'!$B$6:$B$105,0))="","",INDEX('PEOPLE + BUDGETS'!$C$6:$C$105,MATCH($C136,'PEOPLE + BUDGETS'!$B$6:$B$105,0))),"")))</f>
      </c>
      <c r="E136" s="80"/>
      <c r="F136" s="79"/>
      <c r="G136" s="79"/>
      <c r="H136" s="90"/>
      <c r="I136" s="86"/>
      <c r="J136" s="85">
        <f>IF($B136="","",ROUND($H136*$I136,2))</f>
      </c>
      <c r="K136" s="86"/>
      <c r="L136" s="79"/>
      <c r="M136" s="79"/>
      <c r="N136" s="80"/>
      <c r="O136" s="78">
        <f>IF($B136="",0,IF(COUNTIF('STOCKING STUFFERS'!$B$6:$B$155,$B136)&gt;1,1,0))</f>
      </c>
      <c r="P136" s="78">
        <f>IF(OR(N($J136)&gt;0,N($K136)&gt;0),IF($F136="",1,IF(COUNTIF('MASTER BUDGET'!$D$6:$D$25,$F136)=0,1,0)),0)</f>
      </c>
      <c r="Q136" s="78">
        <f>IF($C136="",0,IF(COUNTIF('PEOPLE + BUDGETS'!$B$6:$B$105,$C136)=0,1,0))</f>
      </c>
      <c r="R136" s="75"/>
    </row>
    <row r="137" ht="17" customHeight="1" spans="1:18" x14ac:dyDescent="0.25">
      <c r="A137" s="75"/>
      <c r="B137" s="79"/>
      <c r="C137" s="79"/>
      <c r="D137" s="78">
        <f>IF($B137="","",IF($C137="","",IFERROR(IF(INDEX('PEOPLE + BUDGETS'!$C$6:$C$105,MATCH($C137,'PEOPLE + BUDGETS'!$B$6:$B$105,0))="","",INDEX('PEOPLE + BUDGETS'!$C$6:$C$105,MATCH($C137,'PEOPLE + BUDGETS'!$B$6:$B$105,0))),"")))</f>
      </c>
      <c r="E137" s="80"/>
      <c r="F137" s="79"/>
      <c r="G137" s="79"/>
      <c r="H137" s="90"/>
      <c r="I137" s="86"/>
      <c r="J137" s="85">
        <f>IF($B137="","",ROUND($H137*$I137,2))</f>
      </c>
      <c r="K137" s="86"/>
      <c r="L137" s="79"/>
      <c r="M137" s="79"/>
      <c r="N137" s="80"/>
      <c r="O137" s="78">
        <f>IF($B137="",0,IF(COUNTIF('STOCKING STUFFERS'!$B$6:$B$155,$B137)&gt;1,1,0))</f>
      </c>
      <c r="P137" s="78">
        <f>IF(OR(N($J137)&gt;0,N($K137)&gt;0),IF($F137="",1,IF(COUNTIF('MASTER BUDGET'!$D$6:$D$25,$F137)=0,1,0)),0)</f>
      </c>
      <c r="Q137" s="78">
        <f>IF($C137="",0,IF(COUNTIF('PEOPLE + BUDGETS'!$B$6:$B$105,$C137)=0,1,0))</f>
      </c>
      <c r="R137" s="75"/>
    </row>
    <row r="138" ht="17" customHeight="1" spans="1:18" x14ac:dyDescent="0.25">
      <c r="A138" s="75"/>
      <c r="B138" s="79"/>
      <c r="C138" s="79"/>
      <c r="D138" s="78">
        <f>IF($B138="","",IF($C138="","",IFERROR(IF(INDEX('PEOPLE + BUDGETS'!$C$6:$C$105,MATCH($C138,'PEOPLE + BUDGETS'!$B$6:$B$105,0))="","",INDEX('PEOPLE + BUDGETS'!$C$6:$C$105,MATCH($C138,'PEOPLE + BUDGETS'!$B$6:$B$105,0))),"")))</f>
      </c>
      <c r="E138" s="80"/>
      <c r="F138" s="79"/>
      <c r="G138" s="79"/>
      <c r="H138" s="90"/>
      <c r="I138" s="86"/>
      <c r="J138" s="85">
        <f>IF($B138="","",ROUND($H138*$I138,2))</f>
      </c>
      <c r="K138" s="86"/>
      <c r="L138" s="79"/>
      <c r="M138" s="79"/>
      <c r="N138" s="80"/>
      <c r="O138" s="78">
        <f>IF($B138="",0,IF(COUNTIF('STOCKING STUFFERS'!$B$6:$B$155,$B138)&gt;1,1,0))</f>
      </c>
      <c r="P138" s="78">
        <f>IF(OR(N($J138)&gt;0,N($K138)&gt;0),IF($F138="",1,IF(COUNTIF('MASTER BUDGET'!$D$6:$D$25,$F138)=0,1,0)),0)</f>
      </c>
      <c r="Q138" s="78">
        <f>IF($C138="",0,IF(COUNTIF('PEOPLE + BUDGETS'!$B$6:$B$105,$C138)=0,1,0))</f>
      </c>
      <c r="R138" s="75"/>
    </row>
    <row r="139" ht="17" customHeight="1" spans="1:18" x14ac:dyDescent="0.25">
      <c r="A139" s="75"/>
      <c r="B139" s="79"/>
      <c r="C139" s="79"/>
      <c r="D139" s="78">
        <f>IF($B139="","",IF($C139="","",IFERROR(IF(INDEX('PEOPLE + BUDGETS'!$C$6:$C$105,MATCH($C139,'PEOPLE + BUDGETS'!$B$6:$B$105,0))="","",INDEX('PEOPLE + BUDGETS'!$C$6:$C$105,MATCH($C139,'PEOPLE + BUDGETS'!$B$6:$B$105,0))),"")))</f>
      </c>
      <c r="E139" s="80"/>
      <c r="F139" s="79"/>
      <c r="G139" s="79"/>
      <c r="H139" s="90"/>
      <c r="I139" s="86"/>
      <c r="J139" s="85">
        <f>IF($B139="","",ROUND($H139*$I139,2))</f>
      </c>
      <c r="K139" s="86"/>
      <c r="L139" s="79"/>
      <c r="M139" s="79"/>
      <c r="N139" s="80"/>
      <c r="O139" s="78">
        <f>IF($B139="",0,IF(COUNTIF('STOCKING STUFFERS'!$B$6:$B$155,$B139)&gt;1,1,0))</f>
      </c>
      <c r="P139" s="78">
        <f>IF(OR(N($J139)&gt;0,N($K139)&gt;0),IF($F139="",1,IF(COUNTIF('MASTER BUDGET'!$D$6:$D$25,$F139)=0,1,0)),0)</f>
      </c>
      <c r="Q139" s="78">
        <f>IF($C139="",0,IF(COUNTIF('PEOPLE + BUDGETS'!$B$6:$B$105,$C139)=0,1,0))</f>
      </c>
      <c r="R139" s="75"/>
    </row>
    <row r="140" ht="17" customHeight="1" spans="1:18" x14ac:dyDescent="0.25">
      <c r="A140" s="75"/>
      <c r="B140" s="79"/>
      <c r="C140" s="79"/>
      <c r="D140" s="78">
        <f>IF($B140="","",IF($C140="","",IFERROR(IF(INDEX('PEOPLE + BUDGETS'!$C$6:$C$105,MATCH($C140,'PEOPLE + BUDGETS'!$B$6:$B$105,0))="","",INDEX('PEOPLE + BUDGETS'!$C$6:$C$105,MATCH($C140,'PEOPLE + BUDGETS'!$B$6:$B$105,0))),"")))</f>
      </c>
      <c r="E140" s="80"/>
      <c r="F140" s="79"/>
      <c r="G140" s="79"/>
      <c r="H140" s="90"/>
      <c r="I140" s="86"/>
      <c r="J140" s="85">
        <f>IF($B140="","",ROUND($H140*$I140,2))</f>
      </c>
      <c r="K140" s="86"/>
      <c r="L140" s="79"/>
      <c r="M140" s="79"/>
      <c r="N140" s="80"/>
      <c r="O140" s="78">
        <f>IF($B140="",0,IF(COUNTIF('STOCKING STUFFERS'!$B$6:$B$155,$B140)&gt;1,1,0))</f>
      </c>
      <c r="P140" s="78">
        <f>IF(OR(N($J140)&gt;0,N($K140)&gt;0),IF($F140="",1,IF(COUNTIF('MASTER BUDGET'!$D$6:$D$25,$F140)=0,1,0)),0)</f>
      </c>
      <c r="Q140" s="78">
        <f>IF($C140="",0,IF(COUNTIF('PEOPLE + BUDGETS'!$B$6:$B$105,$C140)=0,1,0))</f>
      </c>
      <c r="R140" s="75"/>
    </row>
    <row r="141" ht="17" customHeight="1" spans="1:18" x14ac:dyDescent="0.25">
      <c r="A141" s="75"/>
      <c r="B141" s="79"/>
      <c r="C141" s="79"/>
      <c r="D141" s="78">
        <f>IF($B141="","",IF($C141="","",IFERROR(IF(INDEX('PEOPLE + BUDGETS'!$C$6:$C$105,MATCH($C141,'PEOPLE + BUDGETS'!$B$6:$B$105,0))="","",INDEX('PEOPLE + BUDGETS'!$C$6:$C$105,MATCH($C141,'PEOPLE + BUDGETS'!$B$6:$B$105,0))),"")))</f>
      </c>
      <c r="E141" s="80"/>
      <c r="F141" s="79"/>
      <c r="G141" s="79"/>
      <c r="H141" s="90"/>
      <c r="I141" s="86"/>
      <c r="J141" s="85">
        <f>IF($B141="","",ROUND($H141*$I141,2))</f>
      </c>
      <c r="K141" s="86"/>
      <c r="L141" s="79"/>
      <c r="M141" s="79"/>
      <c r="N141" s="80"/>
      <c r="O141" s="78">
        <f>IF($B141="",0,IF(COUNTIF('STOCKING STUFFERS'!$B$6:$B$155,$B141)&gt;1,1,0))</f>
      </c>
      <c r="P141" s="78">
        <f>IF(OR(N($J141)&gt;0,N($K141)&gt;0),IF($F141="",1,IF(COUNTIF('MASTER BUDGET'!$D$6:$D$25,$F141)=0,1,0)),0)</f>
      </c>
      <c r="Q141" s="78">
        <f>IF($C141="",0,IF(COUNTIF('PEOPLE + BUDGETS'!$B$6:$B$105,$C141)=0,1,0))</f>
      </c>
      <c r="R141" s="75"/>
    </row>
    <row r="142" ht="17" customHeight="1" spans="1:18" x14ac:dyDescent="0.25">
      <c r="A142" s="75"/>
      <c r="B142" s="79"/>
      <c r="C142" s="79"/>
      <c r="D142" s="78">
        <f>IF($B142="","",IF($C142="","",IFERROR(IF(INDEX('PEOPLE + BUDGETS'!$C$6:$C$105,MATCH($C142,'PEOPLE + BUDGETS'!$B$6:$B$105,0))="","",INDEX('PEOPLE + BUDGETS'!$C$6:$C$105,MATCH($C142,'PEOPLE + BUDGETS'!$B$6:$B$105,0))),"")))</f>
      </c>
      <c r="E142" s="80"/>
      <c r="F142" s="79"/>
      <c r="G142" s="79"/>
      <c r="H142" s="90"/>
      <c r="I142" s="86"/>
      <c r="J142" s="85">
        <f>IF($B142="","",ROUND($H142*$I142,2))</f>
      </c>
      <c r="K142" s="86"/>
      <c r="L142" s="79"/>
      <c r="M142" s="79"/>
      <c r="N142" s="80"/>
      <c r="O142" s="78">
        <f>IF($B142="",0,IF(COUNTIF('STOCKING STUFFERS'!$B$6:$B$155,$B142)&gt;1,1,0))</f>
      </c>
      <c r="P142" s="78">
        <f>IF(OR(N($J142)&gt;0,N($K142)&gt;0),IF($F142="",1,IF(COUNTIF('MASTER BUDGET'!$D$6:$D$25,$F142)=0,1,0)),0)</f>
      </c>
      <c r="Q142" s="78">
        <f>IF($C142="",0,IF(COUNTIF('PEOPLE + BUDGETS'!$B$6:$B$105,$C142)=0,1,0))</f>
      </c>
      <c r="R142" s="75"/>
    </row>
    <row r="143" ht="17" customHeight="1" spans="1:18" x14ac:dyDescent="0.25">
      <c r="A143" s="75"/>
      <c r="B143" s="79"/>
      <c r="C143" s="79"/>
      <c r="D143" s="78">
        <f>IF($B143="","",IF($C143="","",IFERROR(IF(INDEX('PEOPLE + BUDGETS'!$C$6:$C$105,MATCH($C143,'PEOPLE + BUDGETS'!$B$6:$B$105,0))="","",INDEX('PEOPLE + BUDGETS'!$C$6:$C$105,MATCH($C143,'PEOPLE + BUDGETS'!$B$6:$B$105,0))),"")))</f>
      </c>
      <c r="E143" s="80"/>
      <c r="F143" s="79"/>
      <c r="G143" s="79"/>
      <c r="H143" s="90"/>
      <c r="I143" s="86"/>
      <c r="J143" s="85">
        <f>IF($B143="","",ROUND($H143*$I143,2))</f>
      </c>
      <c r="K143" s="86"/>
      <c r="L143" s="79"/>
      <c r="M143" s="79"/>
      <c r="N143" s="80"/>
      <c r="O143" s="78">
        <f>IF($B143="",0,IF(COUNTIF('STOCKING STUFFERS'!$B$6:$B$155,$B143)&gt;1,1,0))</f>
      </c>
      <c r="P143" s="78">
        <f>IF(OR(N($J143)&gt;0,N($K143)&gt;0),IF($F143="",1,IF(COUNTIF('MASTER BUDGET'!$D$6:$D$25,$F143)=0,1,0)),0)</f>
      </c>
      <c r="Q143" s="78">
        <f>IF($C143="",0,IF(COUNTIF('PEOPLE + BUDGETS'!$B$6:$B$105,$C143)=0,1,0))</f>
      </c>
      <c r="R143" s="75"/>
    </row>
    <row r="144" ht="17" customHeight="1" spans="1:18" x14ac:dyDescent="0.25">
      <c r="A144" s="75"/>
      <c r="B144" s="79"/>
      <c r="C144" s="79"/>
      <c r="D144" s="78">
        <f>IF($B144="","",IF($C144="","",IFERROR(IF(INDEX('PEOPLE + BUDGETS'!$C$6:$C$105,MATCH($C144,'PEOPLE + BUDGETS'!$B$6:$B$105,0))="","",INDEX('PEOPLE + BUDGETS'!$C$6:$C$105,MATCH($C144,'PEOPLE + BUDGETS'!$B$6:$B$105,0))),"")))</f>
      </c>
      <c r="E144" s="80"/>
      <c r="F144" s="79"/>
      <c r="G144" s="79"/>
      <c r="H144" s="90"/>
      <c r="I144" s="86"/>
      <c r="J144" s="85">
        <f>IF($B144="","",ROUND($H144*$I144,2))</f>
      </c>
      <c r="K144" s="86"/>
      <c r="L144" s="79"/>
      <c r="M144" s="79"/>
      <c r="N144" s="80"/>
      <c r="O144" s="78">
        <f>IF($B144="",0,IF(COUNTIF('STOCKING STUFFERS'!$B$6:$B$155,$B144)&gt;1,1,0))</f>
      </c>
      <c r="P144" s="78">
        <f>IF(OR(N($J144)&gt;0,N($K144)&gt;0),IF($F144="",1,IF(COUNTIF('MASTER BUDGET'!$D$6:$D$25,$F144)=0,1,0)),0)</f>
      </c>
      <c r="Q144" s="78">
        <f>IF($C144="",0,IF(COUNTIF('PEOPLE + BUDGETS'!$B$6:$B$105,$C144)=0,1,0))</f>
      </c>
      <c r="R144" s="75"/>
    </row>
    <row r="145" ht="17" customHeight="1" spans="1:18" x14ac:dyDescent="0.25">
      <c r="A145" s="75"/>
      <c r="B145" s="79"/>
      <c r="C145" s="79"/>
      <c r="D145" s="78">
        <f>IF($B145="","",IF($C145="","",IFERROR(IF(INDEX('PEOPLE + BUDGETS'!$C$6:$C$105,MATCH($C145,'PEOPLE + BUDGETS'!$B$6:$B$105,0))="","",INDEX('PEOPLE + BUDGETS'!$C$6:$C$105,MATCH($C145,'PEOPLE + BUDGETS'!$B$6:$B$105,0))),"")))</f>
      </c>
      <c r="E145" s="80"/>
      <c r="F145" s="79"/>
      <c r="G145" s="79"/>
      <c r="H145" s="90"/>
      <c r="I145" s="86"/>
      <c r="J145" s="85">
        <f>IF($B145="","",ROUND($H145*$I145,2))</f>
      </c>
      <c r="K145" s="86"/>
      <c r="L145" s="79"/>
      <c r="M145" s="79"/>
      <c r="N145" s="80"/>
      <c r="O145" s="78">
        <f>IF($B145="",0,IF(COUNTIF('STOCKING STUFFERS'!$B$6:$B$155,$B145)&gt;1,1,0))</f>
      </c>
      <c r="P145" s="78">
        <f>IF(OR(N($J145)&gt;0,N($K145)&gt;0),IF($F145="",1,IF(COUNTIF('MASTER BUDGET'!$D$6:$D$25,$F145)=0,1,0)),0)</f>
      </c>
      <c r="Q145" s="78">
        <f>IF($C145="",0,IF(COUNTIF('PEOPLE + BUDGETS'!$B$6:$B$105,$C145)=0,1,0))</f>
      </c>
      <c r="R145" s="75"/>
    </row>
    <row r="146" ht="17" customHeight="1" spans="1:18" x14ac:dyDescent="0.25">
      <c r="A146" s="75"/>
      <c r="B146" s="79"/>
      <c r="C146" s="79"/>
      <c r="D146" s="78">
        <f>IF($B146="","",IF($C146="","",IFERROR(IF(INDEX('PEOPLE + BUDGETS'!$C$6:$C$105,MATCH($C146,'PEOPLE + BUDGETS'!$B$6:$B$105,0))="","",INDEX('PEOPLE + BUDGETS'!$C$6:$C$105,MATCH($C146,'PEOPLE + BUDGETS'!$B$6:$B$105,0))),"")))</f>
      </c>
      <c r="E146" s="80"/>
      <c r="F146" s="79"/>
      <c r="G146" s="79"/>
      <c r="H146" s="90"/>
      <c r="I146" s="86"/>
      <c r="J146" s="85">
        <f>IF($B146="","",ROUND($H146*$I146,2))</f>
      </c>
      <c r="K146" s="86"/>
      <c r="L146" s="79"/>
      <c r="M146" s="79"/>
      <c r="N146" s="80"/>
      <c r="O146" s="78">
        <f>IF($B146="",0,IF(COUNTIF('STOCKING STUFFERS'!$B$6:$B$155,$B146)&gt;1,1,0))</f>
      </c>
      <c r="P146" s="78">
        <f>IF(OR(N($J146)&gt;0,N($K146)&gt;0),IF($F146="",1,IF(COUNTIF('MASTER BUDGET'!$D$6:$D$25,$F146)=0,1,0)),0)</f>
      </c>
      <c r="Q146" s="78">
        <f>IF($C146="",0,IF(COUNTIF('PEOPLE + BUDGETS'!$B$6:$B$105,$C146)=0,1,0))</f>
      </c>
      <c r="R146" s="75"/>
    </row>
    <row r="147" ht="17" customHeight="1" spans="1:18" x14ac:dyDescent="0.25">
      <c r="A147" s="75"/>
      <c r="B147" s="79"/>
      <c r="C147" s="79"/>
      <c r="D147" s="78">
        <f>IF($B147="","",IF($C147="","",IFERROR(IF(INDEX('PEOPLE + BUDGETS'!$C$6:$C$105,MATCH($C147,'PEOPLE + BUDGETS'!$B$6:$B$105,0))="","",INDEX('PEOPLE + BUDGETS'!$C$6:$C$105,MATCH($C147,'PEOPLE + BUDGETS'!$B$6:$B$105,0))),"")))</f>
      </c>
      <c r="E147" s="80"/>
      <c r="F147" s="79"/>
      <c r="G147" s="79"/>
      <c r="H147" s="90"/>
      <c r="I147" s="86"/>
      <c r="J147" s="85">
        <f>IF($B147="","",ROUND($H147*$I147,2))</f>
      </c>
      <c r="K147" s="86"/>
      <c r="L147" s="79"/>
      <c r="M147" s="79"/>
      <c r="N147" s="80"/>
      <c r="O147" s="78">
        <f>IF($B147="",0,IF(COUNTIF('STOCKING STUFFERS'!$B$6:$B$155,$B147)&gt;1,1,0))</f>
      </c>
      <c r="P147" s="78">
        <f>IF(OR(N($J147)&gt;0,N($K147)&gt;0),IF($F147="",1,IF(COUNTIF('MASTER BUDGET'!$D$6:$D$25,$F147)=0,1,0)),0)</f>
      </c>
      <c r="Q147" s="78">
        <f>IF($C147="",0,IF(COUNTIF('PEOPLE + BUDGETS'!$B$6:$B$105,$C147)=0,1,0))</f>
      </c>
      <c r="R147" s="75"/>
    </row>
    <row r="148" ht="17" customHeight="1" spans="1:18" x14ac:dyDescent="0.25">
      <c r="A148" s="75"/>
      <c r="B148" s="79"/>
      <c r="C148" s="79"/>
      <c r="D148" s="78">
        <f>IF($B148="","",IF($C148="","",IFERROR(IF(INDEX('PEOPLE + BUDGETS'!$C$6:$C$105,MATCH($C148,'PEOPLE + BUDGETS'!$B$6:$B$105,0))="","",INDEX('PEOPLE + BUDGETS'!$C$6:$C$105,MATCH($C148,'PEOPLE + BUDGETS'!$B$6:$B$105,0))),"")))</f>
      </c>
      <c r="E148" s="80"/>
      <c r="F148" s="79"/>
      <c r="G148" s="79"/>
      <c r="H148" s="90"/>
      <c r="I148" s="86"/>
      <c r="J148" s="85">
        <f>IF($B148="","",ROUND($H148*$I148,2))</f>
      </c>
      <c r="K148" s="86"/>
      <c r="L148" s="79"/>
      <c r="M148" s="79"/>
      <c r="N148" s="80"/>
      <c r="O148" s="78">
        <f>IF($B148="",0,IF(COUNTIF('STOCKING STUFFERS'!$B$6:$B$155,$B148)&gt;1,1,0))</f>
      </c>
      <c r="P148" s="78">
        <f>IF(OR(N($J148)&gt;0,N($K148)&gt;0),IF($F148="",1,IF(COUNTIF('MASTER BUDGET'!$D$6:$D$25,$F148)=0,1,0)),0)</f>
      </c>
      <c r="Q148" s="78">
        <f>IF($C148="",0,IF(COUNTIF('PEOPLE + BUDGETS'!$B$6:$B$105,$C148)=0,1,0))</f>
      </c>
      <c r="R148" s="75"/>
    </row>
    <row r="149" ht="17" customHeight="1" spans="1:18" x14ac:dyDescent="0.25">
      <c r="A149" s="75"/>
      <c r="B149" s="79"/>
      <c r="C149" s="79"/>
      <c r="D149" s="78">
        <f>IF($B149="","",IF($C149="","",IFERROR(IF(INDEX('PEOPLE + BUDGETS'!$C$6:$C$105,MATCH($C149,'PEOPLE + BUDGETS'!$B$6:$B$105,0))="","",INDEX('PEOPLE + BUDGETS'!$C$6:$C$105,MATCH($C149,'PEOPLE + BUDGETS'!$B$6:$B$105,0))),"")))</f>
      </c>
      <c r="E149" s="80"/>
      <c r="F149" s="79"/>
      <c r="G149" s="79"/>
      <c r="H149" s="90"/>
      <c r="I149" s="86"/>
      <c r="J149" s="85">
        <f>IF($B149="","",ROUND($H149*$I149,2))</f>
      </c>
      <c r="K149" s="86"/>
      <c r="L149" s="79"/>
      <c r="M149" s="79"/>
      <c r="N149" s="80"/>
      <c r="O149" s="78">
        <f>IF($B149="",0,IF(COUNTIF('STOCKING STUFFERS'!$B$6:$B$155,$B149)&gt;1,1,0))</f>
      </c>
      <c r="P149" s="78">
        <f>IF(OR(N($J149)&gt;0,N($K149)&gt;0),IF($F149="",1,IF(COUNTIF('MASTER BUDGET'!$D$6:$D$25,$F149)=0,1,0)),0)</f>
      </c>
      <c r="Q149" s="78">
        <f>IF($C149="",0,IF(COUNTIF('PEOPLE + BUDGETS'!$B$6:$B$105,$C149)=0,1,0))</f>
      </c>
      <c r="R149" s="75"/>
    </row>
    <row r="150" ht="17" customHeight="1" spans="1:18" x14ac:dyDescent="0.25">
      <c r="A150" s="75"/>
      <c r="B150" s="79"/>
      <c r="C150" s="79"/>
      <c r="D150" s="78">
        <f>IF($B150="","",IF($C150="","",IFERROR(IF(INDEX('PEOPLE + BUDGETS'!$C$6:$C$105,MATCH($C150,'PEOPLE + BUDGETS'!$B$6:$B$105,0))="","",INDEX('PEOPLE + BUDGETS'!$C$6:$C$105,MATCH($C150,'PEOPLE + BUDGETS'!$B$6:$B$105,0))),"")))</f>
      </c>
      <c r="E150" s="80"/>
      <c r="F150" s="79"/>
      <c r="G150" s="79"/>
      <c r="H150" s="90"/>
      <c r="I150" s="86"/>
      <c r="J150" s="85">
        <f>IF($B150="","",ROUND($H150*$I150,2))</f>
      </c>
      <c r="K150" s="86"/>
      <c r="L150" s="79"/>
      <c r="M150" s="79"/>
      <c r="N150" s="80"/>
      <c r="O150" s="78">
        <f>IF($B150="",0,IF(COUNTIF('STOCKING STUFFERS'!$B$6:$B$155,$B150)&gt;1,1,0))</f>
      </c>
      <c r="P150" s="78">
        <f>IF(OR(N($J150)&gt;0,N($K150)&gt;0),IF($F150="",1,IF(COUNTIF('MASTER BUDGET'!$D$6:$D$25,$F150)=0,1,0)),0)</f>
      </c>
      <c r="Q150" s="78">
        <f>IF($C150="",0,IF(COUNTIF('PEOPLE + BUDGETS'!$B$6:$B$105,$C150)=0,1,0))</f>
      </c>
      <c r="R150" s="75"/>
    </row>
    <row r="151" ht="17" customHeight="1" spans="1:18" x14ac:dyDescent="0.25">
      <c r="A151" s="75"/>
      <c r="B151" s="79"/>
      <c r="C151" s="79"/>
      <c r="D151" s="78">
        <f>IF($B151="","",IF($C151="","",IFERROR(IF(INDEX('PEOPLE + BUDGETS'!$C$6:$C$105,MATCH($C151,'PEOPLE + BUDGETS'!$B$6:$B$105,0))="","",INDEX('PEOPLE + BUDGETS'!$C$6:$C$105,MATCH($C151,'PEOPLE + BUDGETS'!$B$6:$B$105,0))),"")))</f>
      </c>
      <c r="E151" s="80"/>
      <c r="F151" s="79"/>
      <c r="G151" s="79"/>
      <c r="H151" s="90"/>
      <c r="I151" s="86"/>
      <c r="J151" s="85">
        <f>IF($B151="","",ROUND($H151*$I151,2))</f>
      </c>
      <c r="K151" s="86"/>
      <c r="L151" s="79"/>
      <c r="M151" s="79"/>
      <c r="N151" s="80"/>
      <c r="O151" s="78">
        <f>IF($B151="",0,IF(COUNTIF('STOCKING STUFFERS'!$B$6:$B$155,$B151)&gt;1,1,0))</f>
      </c>
      <c r="P151" s="78">
        <f>IF(OR(N($J151)&gt;0,N($K151)&gt;0),IF($F151="",1,IF(COUNTIF('MASTER BUDGET'!$D$6:$D$25,$F151)=0,1,0)),0)</f>
      </c>
      <c r="Q151" s="78">
        <f>IF($C151="",0,IF(COUNTIF('PEOPLE + BUDGETS'!$B$6:$B$105,$C151)=0,1,0))</f>
      </c>
      <c r="R151" s="75"/>
    </row>
    <row r="152" ht="17" customHeight="1" spans="1:18" x14ac:dyDescent="0.25">
      <c r="A152" s="75"/>
      <c r="B152" s="79"/>
      <c r="C152" s="79"/>
      <c r="D152" s="78">
        <f>IF($B152="","",IF($C152="","",IFERROR(IF(INDEX('PEOPLE + BUDGETS'!$C$6:$C$105,MATCH($C152,'PEOPLE + BUDGETS'!$B$6:$B$105,0))="","",INDEX('PEOPLE + BUDGETS'!$C$6:$C$105,MATCH($C152,'PEOPLE + BUDGETS'!$B$6:$B$105,0))),"")))</f>
      </c>
      <c r="E152" s="80"/>
      <c r="F152" s="79"/>
      <c r="G152" s="79"/>
      <c r="H152" s="90"/>
      <c r="I152" s="86"/>
      <c r="J152" s="85">
        <f>IF($B152="","",ROUND($H152*$I152,2))</f>
      </c>
      <c r="K152" s="86"/>
      <c r="L152" s="79"/>
      <c r="M152" s="79"/>
      <c r="N152" s="80"/>
      <c r="O152" s="78">
        <f>IF($B152="",0,IF(COUNTIF('STOCKING STUFFERS'!$B$6:$B$155,$B152)&gt;1,1,0))</f>
      </c>
      <c r="P152" s="78">
        <f>IF(OR(N($J152)&gt;0,N($K152)&gt;0),IF($F152="",1,IF(COUNTIF('MASTER BUDGET'!$D$6:$D$25,$F152)=0,1,0)),0)</f>
      </c>
      <c r="Q152" s="78">
        <f>IF($C152="",0,IF(COUNTIF('PEOPLE + BUDGETS'!$B$6:$B$105,$C152)=0,1,0))</f>
      </c>
      <c r="R152" s="75"/>
    </row>
    <row r="153" ht="17" customHeight="1" spans="1:18" x14ac:dyDescent="0.25">
      <c r="A153" s="75"/>
      <c r="B153" s="79"/>
      <c r="C153" s="79"/>
      <c r="D153" s="78">
        <f>IF($B153="","",IF($C153="","",IFERROR(IF(INDEX('PEOPLE + BUDGETS'!$C$6:$C$105,MATCH($C153,'PEOPLE + BUDGETS'!$B$6:$B$105,0))="","",INDEX('PEOPLE + BUDGETS'!$C$6:$C$105,MATCH($C153,'PEOPLE + BUDGETS'!$B$6:$B$105,0))),"")))</f>
      </c>
      <c r="E153" s="80"/>
      <c r="F153" s="79"/>
      <c r="G153" s="79"/>
      <c r="H153" s="90"/>
      <c r="I153" s="86"/>
      <c r="J153" s="85">
        <f>IF($B153="","",ROUND($H153*$I153,2))</f>
      </c>
      <c r="K153" s="86"/>
      <c r="L153" s="79"/>
      <c r="M153" s="79"/>
      <c r="N153" s="80"/>
      <c r="O153" s="78">
        <f>IF($B153="",0,IF(COUNTIF('STOCKING STUFFERS'!$B$6:$B$155,$B153)&gt;1,1,0))</f>
      </c>
      <c r="P153" s="78">
        <f>IF(OR(N($J153)&gt;0,N($K153)&gt;0),IF($F153="",1,IF(COUNTIF('MASTER BUDGET'!$D$6:$D$25,$F153)=0,1,0)),0)</f>
      </c>
      <c r="Q153" s="78">
        <f>IF($C153="",0,IF(COUNTIF('PEOPLE + BUDGETS'!$B$6:$B$105,$C153)=0,1,0))</f>
      </c>
      <c r="R153" s="75"/>
    </row>
    <row r="154" ht="17" customHeight="1" spans="1:18" x14ac:dyDescent="0.25">
      <c r="A154" s="75"/>
      <c r="B154" s="79"/>
      <c r="C154" s="79"/>
      <c r="D154" s="78">
        <f>IF($B154="","",IF($C154="","",IFERROR(IF(INDEX('PEOPLE + BUDGETS'!$C$6:$C$105,MATCH($C154,'PEOPLE + BUDGETS'!$B$6:$B$105,0))="","",INDEX('PEOPLE + BUDGETS'!$C$6:$C$105,MATCH($C154,'PEOPLE + BUDGETS'!$B$6:$B$105,0))),"")))</f>
      </c>
      <c r="E154" s="80"/>
      <c r="F154" s="79"/>
      <c r="G154" s="79"/>
      <c r="H154" s="90"/>
      <c r="I154" s="86"/>
      <c r="J154" s="85">
        <f>IF($B154="","",ROUND($H154*$I154,2))</f>
      </c>
      <c r="K154" s="86"/>
      <c r="L154" s="79"/>
      <c r="M154" s="79"/>
      <c r="N154" s="80"/>
      <c r="O154" s="78">
        <f>IF($B154="",0,IF(COUNTIF('STOCKING STUFFERS'!$B$6:$B$155,$B154)&gt;1,1,0))</f>
      </c>
      <c r="P154" s="78">
        <f>IF(OR(N($J154)&gt;0,N($K154)&gt;0),IF($F154="",1,IF(COUNTIF('MASTER BUDGET'!$D$6:$D$25,$F154)=0,1,0)),0)</f>
      </c>
      <c r="Q154" s="78">
        <f>IF($C154="",0,IF(COUNTIF('PEOPLE + BUDGETS'!$B$6:$B$105,$C154)=0,1,0))</f>
      </c>
      <c r="R154" s="75"/>
    </row>
    <row r="155" ht="17" customHeight="1" spans="1:18" x14ac:dyDescent="0.25">
      <c r="A155" s="75"/>
      <c r="B155" s="79"/>
      <c r="C155" s="79"/>
      <c r="D155" s="78">
        <f>IF($B155="","",IF($C155="","",IFERROR(IF(INDEX('PEOPLE + BUDGETS'!$C$6:$C$105,MATCH($C155,'PEOPLE + BUDGETS'!$B$6:$B$105,0))="","",INDEX('PEOPLE + BUDGETS'!$C$6:$C$105,MATCH($C155,'PEOPLE + BUDGETS'!$B$6:$B$105,0))),"")))</f>
      </c>
      <c r="E155" s="80"/>
      <c r="F155" s="79"/>
      <c r="G155" s="79"/>
      <c r="H155" s="90"/>
      <c r="I155" s="86"/>
      <c r="J155" s="85">
        <f>IF($B155="","",ROUND($H155*$I155,2))</f>
      </c>
      <c r="K155" s="86"/>
      <c r="L155" s="79"/>
      <c r="M155" s="79"/>
      <c r="N155" s="80"/>
      <c r="O155" s="78">
        <f>IF($B155="",0,IF(COUNTIF('STOCKING STUFFERS'!$B$6:$B$155,$B155)&gt;1,1,0))</f>
      </c>
      <c r="P155" s="78">
        <f>IF(OR(N($J155)&gt;0,N($K155)&gt;0),IF($F155="",1,IF(COUNTIF('MASTER BUDGET'!$D$6:$D$25,$F155)=0,1,0)),0)</f>
      </c>
      <c r="Q155" s="78">
        <f>IF($C155="",0,IF(COUNTIF('PEOPLE + BUDGETS'!$B$6:$B$105,$C155)=0,1,0))</f>
      </c>
      <c r="R155" s="75"/>
    </row>
  </sheetData>
  <autoFilter ref="B5:Q155"/>
  <mergeCells count="1">
    <mergeCell ref="B1:C1"/>
  </mergeCells>
  <dataValidations count="6">
    <dataValidation type="list" allowBlank="1" showErrorMessage="1" errorStyle="warning" errorTitle="Not one of the usual values" error="This column normally uses a value from the BudgetCategory list on LISTS. You can keep what you typed, or add it to the list so it appears in the dropdown." sqref="F6:F155">
      <formula1>=List_BudgetCategory</formula1>
    </dataValidation>
    <dataValidation type="custom" allowBlank="1" showErrorMessage="1" errorStyle="warning" errorTitle="That looks like text" error="Type the number on its own — no currency symbol and no words. The column adds the symbol for you." sqref="H6:H155">
      <formula1>=OR(H6="",ISNUMBER(H6))</formula1>
    </dataValidation>
    <dataValidation type="custom" allowBlank="1" showErrorMessage="1" errorStyle="warning" errorTitle="That looks like text" error="Type the number on its own — no currency symbol and no words. The column adds the symbol for you." sqref="I6:I155">
      <formula1>=OR(I6="",ISNUMBER(I6))</formula1>
    </dataValidation>
    <dataValidation type="custom" allowBlank="1" showErrorMessage="1" errorStyle="warning" errorTitle="That looks like text" error="Type the number on its own — no currency symbol and no words. The column adds the symbol for you." sqref="K6:K155">
      <formula1>=OR(K6="",ISNUMBER(K6))</formula1>
    </dataValidation>
    <dataValidation type="list" allowBlank="1" showErrorMessage="1" errorStyle="warning" errorTitle="Not one of the usual values" error="This column normally uses a value from the GiftStatus list on LISTS. You can keep what you typed, or add it to the list so it appears in the dropdown." sqref="L6:L155">
      <formula1>=List_GiftStatus</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M6:M15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&amp;LSTOCKING STUFFERS&amp;C&amp;P of &amp;N&amp;RThe Christmas Season Master Command Center™</oddFooter>
  </headerFooter>
  <legacyDrawing r:id="rId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W157"/>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2" max="2" width="11" customWidth="1"/>
    <col min="3" max="3" width="20" customWidth="1"/>
    <col min="4" max="5" width="13" customWidth="1"/>
    <col min="6" max="6" width="11" customWidth="1"/>
    <col min="7" max="7" width="20" customWidth="1"/>
    <col min="8" max="8" width="32" customWidth="1"/>
    <col min="9" max="9" width="13" customWidth="1"/>
    <col min="10" max="10" width="28" customWidth="1"/>
    <col min="11" max="11" width="14" customWidth="1"/>
    <col min="12" max="12" width="13" customWidth="1"/>
    <col min="13" max="13" width="11" customWidth="1"/>
    <col min="14" max="14" width="15" customWidth="1"/>
    <col min="15" max="16" width="13" customWidth="1"/>
    <col min="17" max="17" width="11" customWidth="1"/>
    <col min="18" max="19" width="15" customWidth="1"/>
    <col min="20" max="20" width="34" customWidth="1"/>
    <col min="21" max="22" width="18" hidden="1" customWidth="1"/>
    <col min="23" max="23" width="2" customWidth="1"/>
  </cols>
  <sheetData>
    <row r="1" ht="21" customHeight="1" spans="1:23" x14ac:dyDescent="0.25">
      <c r="A1" s="62"/>
      <c r="B1" s="63" t="s">
        <v>8</v>
      </c>
      <c r="C1" s="63"/>
      <c r="D1" s="63" t="s">
        <v>9</v>
      </c>
      <c r="E1" s="63" t="s">
        <v>10</v>
      </c>
      <c r="F1" s="63" t="s">
        <v>11</v>
      </c>
      <c r="G1" s="63" t="s">
        <v>12</v>
      </c>
      <c r="H1" s="62"/>
      <c r="I1" s="62"/>
      <c r="J1" s="62"/>
      <c r="K1" s="62"/>
      <c r="L1" s="62"/>
      <c r="M1" s="62"/>
      <c r="N1" s="62"/>
      <c r="O1" s="62"/>
      <c r="P1" s="62"/>
      <c r="Q1" s="62"/>
      <c r="R1" s="62"/>
      <c r="S1" s="62"/>
      <c r="T1" s="62"/>
      <c r="U1" s="62"/>
      <c r="V1" s="62"/>
      <c r="W1" s="62"/>
    </row>
    <row r="2" ht="34" customHeight="1" spans="1:23" x14ac:dyDescent="0.25">
      <c r="A2" s="64"/>
      <c r="B2" s="65" t="s">
        <v>133</v>
      </c>
      <c r="C2" s="64"/>
      <c r="D2" s="64"/>
      <c r="E2" s="64"/>
      <c r="F2" s="64"/>
      <c r="G2" s="64"/>
      <c r="H2" s="64"/>
      <c r="I2" s="64"/>
      <c r="J2" s="64"/>
      <c r="K2" s="64"/>
      <c r="L2" s="64"/>
      <c r="M2" s="64"/>
      <c r="N2" s="64"/>
      <c r="O2" s="64"/>
      <c r="P2" s="64"/>
      <c r="Q2" s="64"/>
      <c r="R2" s="64"/>
      <c r="S2" s="64"/>
      <c r="T2" s="64"/>
      <c r="U2" s="64"/>
      <c r="V2" s="64"/>
      <c r="W2" s="64"/>
    </row>
    <row r="3" ht="18" customHeight="1" spans="1:23" x14ac:dyDescent="0.25">
      <c r="A3" s="64"/>
      <c r="B3" s="66" t="s">
        <v>364</v>
      </c>
      <c r="C3" s="64"/>
      <c r="D3" s="64"/>
      <c r="E3" s="64"/>
      <c r="F3" s="64"/>
      <c r="G3" s="64"/>
      <c r="H3" s="64"/>
      <c r="I3" s="64"/>
      <c r="J3" s="64"/>
      <c r="K3" s="64"/>
      <c r="L3" s="64"/>
      <c r="M3" s="64"/>
      <c r="N3" s="64"/>
      <c r="O3" s="64"/>
      <c r="P3" s="64"/>
      <c r="Q3" s="64"/>
      <c r="R3" s="64"/>
      <c r="S3" s="64"/>
      <c r="T3" s="64"/>
      <c r="U3" s="64"/>
      <c r="V3" s="64"/>
      <c r="W3" s="64"/>
    </row>
    <row r="4" ht="17" customHeight="1" spans="1:23" x14ac:dyDescent="0.25">
      <c r="A4" s="64"/>
      <c r="B4" s="67" t="s">
        <v>160</v>
      </c>
      <c r="C4" s="64"/>
      <c r="D4" s="64"/>
      <c r="E4" s="64"/>
      <c r="F4" s="64"/>
      <c r="G4" s="64"/>
      <c r="H4" s="64"/>
      <c r="I4" s="64"/>
      <c r="J4" s="64"/>
      <c r="K4" s="64"/>
      <c r="L4" s="64"/>
      <c r="M4" s="64"/>
      <c r="N4" s="64"/>
      <c r="O4" s="64"/>
      <c r="P4" s="64"/>
      <c r="Q4" s="64"/>
      <c r="R4" s="64"/>
      <c r="S4" s="64"/>
      <c r="T4" s="64"/>
      <c r="U4" s="64"/>
      <c r="V4" s="64"/>
      <c r="W4" s="64"/>
    </row>
    <row r="5" ht="32" customHeight="1" spans="1:23" x14ac:dyDescent="0.25">
      <c r="A5" s="73"/>
      <c r="B5" s="74" t="s">
        <v>312</v>
      </c>
      <c r="C5" s="74" t="s">
        <v>303</v>
      </c>
      <c r="D5" s="74" t="s">
        <v>365</v>
      </c>
      <c r="E5" s="74" t="s">
        <v>366</v>
      </c>
      <c r="F5" s="74" t="s">
        <v>197</v>
      </c>
      <c r="G5" s="74" t="s">
        <v>298</v>
      </c>
      <c r="H5" s="74" t="s">
        <v>367</v>
      </c>
      <c r="I5" s="74" t="s">
        <v>368</v>
      </c>
      <c r="J5" s="74" t="s">
        <v>369</v>
      </c>
      <c r="K5" s="74" t="s">
        <v>260</v>
      </c>
      <c r="L5" s="74" t="s">
        <v>370</v>
      </c>
      <c r="M5" s="74" t="s">
        <v>314</v>
      </c>
      <c r="N5" s="74" t="s">
        <v>371</v>
      </c>
      <c r="O5" s="74" t="s">
        <v>320</v>
      </c>
      <c r="P5" s="74" t="s">
        <v>372</v>
      </c>
      <c r="Q5" s="74" t="s">
        <v>373</v>
      </c>
      <c r="R5" s="74" t="s">
        <v>374</v>
      </c>
      <c r="S5" s="74" t="s">
        <v>375</v>
      </c>
      <c r="T5" s="74" t="s">
        <v>179</v>
      </c>
      <c r="U5" s="74" t="s">
        <v>180</v>
      </c>
      <c r="V5" s="74" t="s">
        <v>324</v>
      </c>
      <c r="W5" s="73"/>
    </row>
    <row r="6" ht="17" customHeight="1" spans="1:23" x14ac:dyDescent="0.25">
      <c r="A6" s="75"/>
      <c r="B6" s="76" t="s">
        <v>332</v>
      </c>
      <c r="C6" s="76" t="s">
        <v>330</v>
      </c>
      <c r="D6" s="81">
        <v>46340</v>
      </c>
      <c r="E6" s="81">
        <v>46354</v>
      </c>
      <c r="F6" s="76" t="s">
        <v>213</v>
      </c>
      <c r="G6" s="78">
        <f>IF($B6="","",IF($F6="","",IFERROR(IF(INDEX('PEOPLE + BUDGETS'!$C$6:$C$105,MATCH($F6,'PEOPLE + BUDGETS'!$B$6:$B$105,0))="","",INDEX('PEOPLE + BUDGETS'!$C$6:$C$105,MATCH($F6,'PEOPLE + BUDGETS'!$B$6:$B$105,0))),"")))</f>
      </c>
      <c r="H6" s="77" t="s">
        <v>376</v>
      </c>
      <c r="I6" s="84">
        <v>175.85</v>
      </c>
      <c r="J6" s="77" t="s">
        <v>377</v>
      </c>
      <c r="K6" s="76" t="s">
        <v>378</v>
      </c>
      <c r="L6" s="81">
        <v>46352</v>
      </c>
      <c r="M6" s="78">
        <f>IF($B6="","",IF(OR($K6="Arrived",$L6&lt;&gt;""),"Yes","No"))</f>
      </c>
      <c r="N6" s="76" t="s">
        <v>379</v>
      </c>
      <c r="O6" s="81">
        <v>46401</v>
      </c>
      <c r="P6" s="84"/>
      <c r="Q6" s="76" t="s">
        <v>194</v>
      </c>
      <c r="R6" s="78">
        <f>IF($B6="","",IF(OR($K6="Cancelled",$K6="Returned"),"CLOSED",IF($M6="Yes","ARRIVED",IF($E6="","MISSING DATE",IF($E6&lt;TODAY(),"LATE",IF(AND($J6="",$E6-TODAY()&lt;=Set_ShipWindow),"NO TRACKING","ON TRACK"))))))</f>
      </c>
      <c r="S6" s="78">
        <f>IF($B6="","",IF($O6="","—",IF($O6&lt;TODAY(),"CLOSED",IF($O6-TODAY()&lt;=7,"CLOSING SOON","OPEN"))))</f>
      </c>
      <c r="T6" s="77" t="s">
        <v>186</v>
      </c>
      <c r="U6" s="78">
        <f>IF($B6="",0,IF(COUNTIF('ONLINE ORDERS'!$B$6:$B$155,$B6)&gt;1,1,0))</f>
      </c>
      <c r="V6" s="78">
        <f>IF($F6="",0,IF(COUNTIF('PEOPLE + BUDGETS'!$B$6:$B$105,$F6)=0,1,0))</f>
      </c>
      <c r="W6" s="75"/>
    </row>
    <row r="7" ht="17" customHeight="1" spans="1:23" x14ac:dyDescent="0.25">
      <c r="A7" s="75"/>
      <c r="B7" s="76" t="s">
        <v>380</v>
      </c>
      <c r="C7" s="76" t="s">
        <v>339</v>
      </c>
      <c r="D7" s="81">
        <v>46356</v>
      </c>
      <c r="E7" s="81">
        <v>46364</v>
      </c>
      <c r="F7" s="76" t="s">
        <v>227</v>
      </c>
      <c r="G7" s="78">
        <f>IF($B7="","",IF($F7="","",IFERROR(IF(INDEX('PEOPLE + BUDGETS'!$C$6:$C$105,MATCH($F7,'PEOPLE + BUDGETS'!$B$6:$B$105,0))="","",INDEX('PEOPLE + BUDGETS'!$C$6:$C$105,MATCH($F7,'PEOPLE + BUDGETS'!$B$6:$B$105,0))),"")))</f>
      </c>
      <c r="H7" s="77" t="s">
        <v>381</v>
      </c>
      <c r="I7" s="84">
        <v>226</v>
      </c>
      <c r="J7" s="77"/>
      <c r="K7" s="76" t="s">
        <v>365</v>
      </c>
      <c r="L7" s="81"/>
      <c r="M7" s="78">
        <f>IF($B7="","",IF(OR($K7="Arrived",$L7&lt;&gt;""),"Yes","No"))</f>
      </c>
      <c r="N7" s="76" t="s">
        <v>379</v>
      </c>
      <c r="O7" s="81"/>
      <c r="P7" s="84"/>
      <c r="Q7" s="76" t="s">
        <v>194</v>
      </c>
      <c r="R7" s="78">
        <f>IF($B7="","",IF(OR($K7="Cancelled",$K7="Returned"),"CLOSED",IF($M7="Yes","ARRIVED",IF($E7="","MISSING DATE",IF($E7&lt;TODAY(),"LATE",IF(AND($J7="",$E7-TODAY()&lt;=Set_ShipWindow),"NO TRACKING","ON TRACK"))))))</f>
      </c>
      <c r="S7" s="78">
        <f>IF($B7="","",IF($O7="","—",IF($O7&lt;TODAY(),"CLOSED",IF($O7-TODAY()&lt;=7,"CLOSING SOON","OPEN"))))</f>
      </c>
      <c r="T7" s="77" t="s">
        <v>186</v>
      </c>
      <c r="U7" s="78">
        <f>IF($B7="",0,IF(COUNTIF('ONLINE ORDERS'!$B$6:$B$155,$B7)&gt;1,1,0))</f>
      </c>
      <c r="V7" s="78">
        <f>IF($F7="",0,IF(COUNTIF('PEOPLE + BUDGETS'!$B$6:$B$105,$F7)=0,1,0))</f>
      </c>
      <c r="W7" s="75"/>
    </row>
    <row r="8" ht="17" customHeight="1" spans="1:23" x14ac:dyDescent="0.25">
      <c r="A8" s="75"/>
      <c r="B8" s="76" t="s">
        <v>382</v>
      </c>
      <c r="C8" s="76" t="s">
        <v>383</v>
      </c>
      <c r="D8" s="81">
        <v>46344</v>
      </c>
      <c r="E8" s="81">
        <v>46356</v>
      </c>
      <c r="F8" s="76"/>
      <c r="G8" s="78">
        <f>IF($B8="","",IF($F8="","",IFERROR(IF(INDEX('PEOPLE + BUDGETS'!$C$6:$C$105,MATCH($F8,'PEOPLE + BUDGETS'!$B$6:$B$105,0))="","",INDEX('PEOPLE + BUDGETS'!$C$6:$C$105,MATCH($F8,'PEOPLE + BUDGETS'!$B$6:$B$105,0))),"")))</f>
      </c>
      <c r="H8" s="77" t="s">
        <v>384</v>
      </c>
      <c r="I8" s="84">
        <v>240</v>
      </c>
      <c r="J8" s="77" t="s">
        <v>385</v>
      </c>
      <c r="K8" s="76" t="s">
        <v>386</v>
      </c>
      <c r="L8" s="81"/>
      <c r="M8" s="78">
        <f>IF($B8="","",IF(OR($K8="Arrived",$L8&lt;&gt;""),"Yes","No"))</f>
      </c>
      <c r="N8" s="76" t="s">
        <v>387</v>
      </c>
      <c r="O8" s="81">
        <v>46386</v>
      </c>
      <c r="P8" s="84">
        <v>240</v>
      </c>
      <c r="Q8" s="76" t="s">
        <v>194</v>
      </c>
      <c r="R8" s="78">
        <f>IF($B8="","",IF(OR($K8="Cancelled",$K8="Returned"),"CLOSED",IF($M8="Yes","ARRIVED",IF($E8="","MISSING DATE",IF($E8&lt;TODAY(),"LATE",IF(AND($J8="",$E8-TODAY()&lt;=Set_ShipWindow),"NO TRACKING","ON TRACK"))))))</f>
      </c>
      <c r="S8" s="78">
        <f>IF($B8="","",IF($O8="","—",IF($O8&lt;TODAY(),"CLOSED",IF($O8-TODAY()&lt;=7,"CLOSING SOON","OPEN"))))</f>
      </c>
      <c r="T8" s="77" t="s">
        <v>186</v>
      </c>
      <c r="U8" s="78">
        <f>IF($B8="",0,IF(COUNTIF('ONLINE ORDERS'!$B$6:$B$155,$B8)&gt;1,1,0))</f>
      </c>
      <c r="V8" s="78">
        <f>IF($F8="",0,IF(COUNTIF('PEOPLE + BUDGETS'!$B$6:$B$105,$F8)=0,1,0))</f>
      </c>
      <c r="W8" s="75"/>
    </row>
    <row r="9" ht="17" customHeight="1" spans="1:23" x14ac:dyDescent="0.25">
      <c r="A9" s="75"/>
      <c r="B9" s="79"/>
      <c r="C9" s="79"/>
      <c r="D9" s="82"/>
      <c r="E9" s="82"/>
      <c r="F9" s="79"/>
      <c r="G9" s="78">
        <f>IF($B9="","",IF($F9="","",IFERROR(IF(INDEX('PEOPLE + BUDGETS'!$C$6:$C$105,MATCH($F9,'PEOPLE + BUDGETS'!$B$6:$B$105,0))="","",INDEX('PEOPLE + BUDGETS'!$C$6:$C$105,MATCH($F9,'PEOPLE + BUDGETS'!$B$6:$B$105,0))),"")))</f>
      </c>
      <c r="H9" s="80"/>
      <c r="I9" s="86"/>
      <c r="J9" s="80"/>
      <c r="K9" s="79"/>
      <c r="L9" s="82"/>
      <c r="M9" s="78">
        <f>IF($B9="","",IF(OR($K9="Arrived",$L9&lt;&gt;""),"Yes","No"))</f>
      </c>
      <c r="N9" s="79"/>
      <c r="O9" s="82"/>
      <c r="P9" s="86"/>
      <c r="Q9" s="79"/>
      <c r="R9" s="78">
        <f>IF($B9="","",IF(OR($K9="Cancelled",$K9="Returned"),"CLOSED",IF($M9="Yes","ARRIVED",IF($E9="","MISSING DATE",IF($E9&lt;TODAY(),"LATE",IF(AND($J9="",$E9-TODAY()&lt;=Set_ShipWindow),"NO TRACKING","ON TRACK"))))))</f>
      </c>
      <c r="S9" s="78">
        <f>IF($B9="","",IF($O9="","—",IF($O9&lt;TODAY(),"CLOSED",IF($O9-TODAY()&lt;=7,"CLOSING SOON","OPEN"))))</f>
      </c>
      <c r="T9" s="80"/>
      <c r="U9" s="78">
        <f>IF($B9="",0,IF(COUNTIF('ONLINE ORDERS'!$B$6:$B$155,$B9)&gt;1,1,0))</f>
      </c>
      <c r="V9" s="78">
        <f>IF($F9="",0,IF(COUNTIF('PEOPLE + BUDGETS'!$B$6:$B$105,$F9)=0,1,0))</f>
      </c>
      <c r="W9" s="75"/>
    </row>
    <row r="10" ht="17" customHeight="1" spans="1:23" x14ac:dyDescent="0.25">
      <c r="A10" s="75"/>
      <c r="B10" s="79"/>
      <c r="C10" s="79"/>
      <c r="D10" s="82"/>
      <c r="E10" s="82"/>
      <c r="F10" s="79"/>
      <c r="G10" s="78">
        <f>IF($B10="","",IF($F10="","",IFERROR(IF(INDEX('PEOPLE + BUDGETS'!$C$6:$C$105,MATCH($F10,'PEOPLE + BUDGETS'!$B$6:$B$105,0))="","",INDEX('PEOPLE + BUDGETS'!$C$6:$C$105,MATCH($F10,'PEOPLE + BUDGETS'!$B$6:$B$105,0))),"")))</f>
      </c>
      <c r="H10" s="80"/>
      <c r="I10" s="86"/>
      <c r="J10" s="80"/>
      <c r="K10" s="79"/>
      <c r="L10" s="82"/>
      <c r="M10" s="78">
        <f>IF($B10="","",IF(OR($K10="Arrived",$L10&lt;&gt;""),"Yes","No"))</f>
      </c>
      <c r="N10" s="79"/>
      <c r="O10" s="82"/>
      <c r="P10" s="86"/>
      <c r="Q10" s="79"/>
      <c r="R10" s="78">
        <f>IF($B10="","",IF(OR($K10="Cancelled",$K10="Returned"),"CLOSED",IF($M10="Yes","ARRIVED",IF($E10="","MISSING DATE",IF($E10&lt;TODAY(),"LATE",IF(AND($J10="",$E10-TODAY()&lt;=Set_ShipWindow),"NO TRACKING","ON TRACK"))))))</f>
      </c>
      <c r="S10" s="78">
        <f>IF($B10="","",IF($O10="","—",IF($O10&lt;TODAY(),"CLOSED",IF($O10-TODAY()&lt;=7,"CLOSING SOON","OPEN"))))</f>
      </c>
      <c r="T10" s="80"/>
      <c r="U10" s="78">
        <f>IF($B10="",0,IF(COUNTIF('ONLINE ORDERS'!$B$6:$B$155,$B10)&gt;1,1,0))</f>
      </c>
      <c r="V10" s="78">
        <f>IF($F10="",0,IF(COUNTIF('PEOPLE + BUDGETS'!$B$6:$B$105,$F10)=0,1,0))</f>
      </c>
      <c r="W10" s="75"/>
    </row>
    <row r="11" ht="17" customHeight="1" spans="1:23" x14ac:dyDescent="0.25">
      <c r="A11" s="75"/>
      <c r="B11" s="79"/>
      <c r="C11" s="79"/>
      <c r="D11" s="82"/>
      <c r="E11" s="82"/>
      <c r="F11" s="79"/>
      <c r="G11" s="78">
        <f>IF($B11="","",IF($F11="","",IFERROR(IF(INDEX('PEOPLE + BUDGETS'!$C$6:$C$105,MATCH($F11,'PEOPLE + BUDGETS'!$B$6:$B$105,0))="","",INDEX('PEOPLE + BUDGETS'!$C$6:$C$105,MATCH($F11,'PEOPLE + BUDGETS'!$B$6:$B$105,0))),"")))</f>
      </c>
      <c r="H11" s="80"/>
      <c r="I11" s="86"/>
      <c r="J11" s="80"/>
      <c r="K11" s="79"/>
      <c r="L11" s="82"/>
      <c r="M11" s="78">
        <f>IF($B11="","",IF(OR($K11="Arrived",$L11&lt;&gt;""),"Yes","No"))</f>
      </c>
      <c r="N11" s="79"/>
      <c r="O11" s="82"/>
      <c r="P11" s="86"/>
      <c r="Q11" s="79"/>
      <c r="R11" s="78">
        <f>IF($B11="","",IF(OR($K11="Cancelled",$K11="Returned"),"CLOSED",IF($M11="Yes","ARRIVED",IF($E11="","MISSING DATE",IF($E11&lt;TODAY(),"LATE",IF(AND($J11="",$E11-TODAY()&lt;=Set_ShipWindow),"NO TRACKING","ON TRACK"))))))</f>
      </c>
      <c r="S11" s="78">
        <f>IF($B11="","",IF($O11="","—",IF($O11&lt;TODAY(),"CLOSED",IF($O11-TODAY()&lt;=7,"CLOSING SOON","OPEN"))))</f>
      </c>
      <c r="T11" s="80"/>
      <c r="U11" s="78">
        <f>IF($B11="",0,IF(COUNTIF('ONLINE ORDERS'!$B$6:$B$155,$B11)&gt;1,1,0))</f>
      </c>
      <c r="V11" s="78">
        <f>IF($F11="",0,IF(COUNTIF('PEOPLE + BUDGETS'!$B$6:$B$105,$F11)=0,1,0))</f>
      </c>
      <c r="W11" s="75"/>
    </row>
    <row r="12" ht="17" customHeight="1" spans="1:23" x14ac:dyDescent="0.25">
      <c r="A12" s="75"/>
      <c r="B12" s="79"/>
      <c r="C12" s="79"/>
      <c r="D12" s="82"/>
      <c r="E12" s="82"/>
      <c r="F12" s="79"/>
      <c r="G12" s="78">
        <f>IF($B12="","",IF($F12="","",IFERROR(IF(INDEX('PEOPLE + BUDGETS'!$C$6:$C$105,MATCH($F12,'PEOPLE + BUDGETS'!$B$6:$B$105,0))="","",INDEX('PEOPLE + BUDGETS'!$C$6:$C$105,MATCH($F12,'PEOPLE + BUDGETS'!$B$6:$B$105,0))),"")))</f>
      </c>
      <c r="H12" s="80"/>
      <c r="I12" s="86"/>
      <c r="J12" s="80"/>
      <c r="K12" s="79"/>
      <c r="L12" s="82"/>
      <c r="M12" s="78">
        <f>IF($B12="","",IF(OR($K12="Arrived",$L12&lt;&gt;""),"Yes","No"))</f>
      </c>
      <c r="N12" s="79"/>
      <c r="O12" s="82"/>
      <c r="P12" s="86"/>
      <c r="Q12" s="79"/>
      <c r="R12" s="78">
        <f>IF($B12="","",IF(OR($K12="Cancelled",$K12="Returned"),"CLOSED",IF($M12="Yes","ARRIVED",IF($E12="","MISSING DATE",IF($E12&lt;TODAY(),"LATE",IF(AND($J12="",$E12-TODAY()&lt;=Set_ShipWindow),"NO TRACKING","ON TRACK"))))))</f>
      </c>
      <c r="S12" s="78">
        <f>IF($B12="","",IF($O12="","—",IF($O12&lt;TODAY(),"CLOSED",IF($O12-TODAY()&lt;=7,"CLOSING SOON","OPEN"))))</f>
      </c>
      <c r="T12" s="80"/>
      <c r="U12" s="78">
        <f>IF($B12="",0,IF(COUNTIF('ONLINE ORDERS'!$B$6:$B$155,$B12)&gt;1,1,0))</f>
      </c>
      <c r="V12" s="78">
        <f>IF($F12="",0,IF(COUNTIF('PEOPLE + BUDGETS'!$B$6:$B$105,$F12)=0,1,0))</f>
      </c>
      <c r="W12" s="75"/>
    </row>
    <row r="13" ht="17" customHeight="1" spans="1:23" x14ac:dyDescent="0.25">
      <c r="A13" s="75"/>
      <c r="B13" s="79"/>
      <c r="C13" s="79"/>
      <c r="D13" s="82"/>
      <c r="E13" s="82"/>
      <c r="F13" s="79"/>
      <c r="G13" s="78">
        <f>IF($B13="","",IF($F13="","",IFERROR(IF(INDEX('PEOPLE + BUDGETS'!$C$6:$C$105,MATCH($F13,'PEOPLE + BUDGETS'!$B$6:$B$105,0))="","",INDEX('PEOPLE + BUDGETS'!$C$6:$C$105,MATCH($F13,'PEOPLE + BUDGETS'!$B$6:$B$105,0))),"")))</f>
      </c>
      <c r="H13" s="80"/>
      <c r="I13" s="86"/>
      <c r="J13" s="80"/>
      <c r="K13" s="79"/>
      <c r="L13" s="82"/>
      <c r="M13" s="78">
        <f>IF($B13="","",IF(OR($K13="Arrived",$L13&lt;&gt;""),"Yes","No"))</f>
      </c>
      <c r="N13" s="79"/>
      <c r="O13" s="82"/>
      <c r="P13" s="86"/>
      <c r="Q13" s="79"/>
      <c r="R13" s="78">
        <f>IF($B13="","",IF(OR($K13="Cancelled",$K13="Returned"),"CLOSED",IF($M13="Yes","ARRIVED",IF($E13="","MISSING DATE",IF($E13&lt;TODAY(),"LATE",IF(AND($J13="",$E13-TODAY()&lt;=Set_ShipWindow),"NO TRACKING","ON TRACK"))))))</f>
      </c>
      <c r="S13" s="78">
        <f>IF($B13="","",IF($O13="","—",IF($O13&lt;TODAY(),"CLOSED",IF($O13-TODAY()&lt;=7,"CLOSING SOON","OPEN"))))</f>
      </c>
      <c r="T13" s="80"/>
      <c r="U13" s="78">
        <f>IF($B13="",0,IF(COUNTIF('ONLINE ORDERS'!$B$6:$B$155,$B13)&gt;1,1,0))</f>
      </c>
      <c r="V13" s="78">
        <f>IF($F13="",0,IF(COUNTIF('PEOPLE + BUDGETS'!$B$6:$B$105,$F13)=0,1,0))</f>
      </c>
      <c r="W13" s="75"/>
    </row>
    <row r="14" ht="17" customHeight="1" spans="1:23" x14ac:dyDescent="0.25">
      <c r="A14" s="75"/>
      <c r="B14" s="79"/>
      <c r="C14" s="79"/>
      <c r="D14" s="82"/>
      <c r="E14" s="82"/>
      <c r="F14" s="79"/>
      <c r="G14" s="78">
        <f>IF($B14="","",IF($F14="","",IFERROR(IF(INDEX('PEOPLE + BUDGETS'!$C$6:$C$105,MATCH($F14,'PEOPLE + BUDGETS'!$B$6:$B$105,0))="","",INDEX('PEOPLE + BUDGETS'!$C$6:$C$105,MATCH($F14,'PEOPLE + BUDGETS'!$B$6:$B$105,0))),"")))</f>
      </c>
      <c r="H14" s="80"/>
      <c r="I14" s="86"/>
      <c r="J14" s="80"/>
      <c r="K14" s="79"/>
      <c r="L14" s="82"/>
      <c r="M14" s="78">
        <f>IF($B14="","",IF(OR($K14="Arrived",$L14&lt;&gt;""),"Yes","No"))</f>
      </c>
      <c r="N14" s="79"/>
      <c r="O14" s="82"/>
      <c r="P14" s="86"/>
      <c r="Q14" s="79"/>
      <c r="R14" s="78">
        <f>IF($B14="","",IF(OR($K14="Cancelled",$K14="Returned"),"CLOSED",IF($M14="Yes","ARRIVED",IF($E14="","MISSING DATE",IF($E14&lt;TODAY(),"LATE",IF(AND($J14="",$E14-TODAY()&lt;=Set_ShipWindow),"NO TRACKING","ON TRACK"))))))</f>
      </c>
      <c r="S14" s="78">
        <f>IF($B14="","",IF($O14="","—",IF($O14&lt;TODAY(),"CLOSED",IF($O14-TODAY()&lt;=7,"CLOSING SOON","OPEN"))))</f>
      </c>
      <c r="T14" s="80"/>
      <c r="U14" s="78">
        <f>IF($B14="",0,IF(COUNTIF('ONLINE ORDERS'!$B$6:$B$155,$B14)&gt;1,1,0))</f>
      </c>
      <c r="V14" s="78">
        <f>IF($F14="",0,IF(COUNTIF('PEOPLE + BUDGETS'!$B$6:$B$105,$F14)=0,1,0))</f>
      </c>
      <c r="W14" s="75"/>
    </row>
    <row r="15" ht="17" customHeight="1" spans="1:23" x14ac:dyDescent="0.25">
      <c r="A15" s="75"/>
      <c r="B15" s="79"/>
      <c r="C15" s="79"/>
      <c r="D15" s="82"/>
      <c r="E15" s="82"/>
      <c r="F15" s="79"/>
      <c r="G15" s="78">
        <f>IF($B15="","",IF($F15="","",IFERROR(IF(INDEX('PEOPLE + BUDGETS'!$C$6:$C$105,MATCH($F15,'PEOPLE + BUDGETS'!$B$6:$B$105,0))="","",INDEX('PEOPLE + BUDGETS'!$C$6:$C$105,MATCH($F15,'PEOPLE + BUDGETS'!$B$6:$B$105,0))),"")))</f>
      </c>
      <c r="H15" s="80"/>
      <c r="I15" s="86"/>
      <c r="J15" s="80"/>
      <c r="K15" s="79"/>
      <c r="L15" s="82"/>
      <c r="M15" s="78">
        <f>IF($B15="","",IF(OR($K15="Arrived",$L15&lt;&gt;""),"Yes","No"))</f>
      </c>
      <c r="N15" s="79"/>
      <c r="O15" s="82"/>
      <c r="P15" s="86"/>
      <c r="Q15" s="79"/>
      <c r="R15" s="78">
        <f>IF($B15="","",IF(OR($K15="Cancelled",$K15="Returned"),"CLOSED",IF($M15="Yes","ARRIVED",IF($E15="","MISSING DATE",IF($E15&lt;TODAY(),"LATE",IF(AND($J15="",$E15-TODAY()&lt;=Set_ShipWindow),"NO TRACKING","ON TRACK"))))))</f>
      </c>
      <c r="S15" s="78">
        <f>IF($B15="","",IF($O15="","—",IF($O15&lt;TODAY(),"CLOSED",IF($O15-TODAY()&lt;=7,"CLOSING SOON","OPEN"))))</f>
      </c>
      <c r="T15" s="80"/>
      <c r="U15" s="78">
        <f>IF($B15="",0,IF(COUNTIF('ONLINE ORDERS'!$B$6:$B$155,$B15)&gt;1,1,0))</f>
      </c>
      <c r="V15" s="78">
        <f>IF($F15="",0,IF(COUNTIF('PEOPLE + BUDGETS'!$B$6:$B$105,$F15)=0,1,0))</f>
      </c>
      <c r="W15" s="75"/>
    </row>
    <row r="16" ht="17" customHeight="1" spans="1:23" x14ac:dyDescent="0.25">
      <c r="A16" s="75"/>
      <c r="B16" s="79"/>
      <c r="C16" s="79"/>
      <c r="D16" s="82"/>
      <c r="E16" s="82"/>
      <c r="F16" s="79"/>
      <c r="G16" s="78">
        <f>IF($B16="","",IF($F16="","",IFERROR(IF(INDEX('PEOPLE + BUDGETS'!$C$6:$C$105,MATCH($F16,'PEOPLE + BUDGETS'!$B$6:$B$105,0))="","",INDEX('PEOPLE + BUDGETS'!$C$6:$C$105,MATCH($F16,'PEOPLE + BUDGETS'!$B$6:$B$105,0))),"")))</f>
      </c>
      <c r="H16" s="80"/>
      <c r="I16" s="86"/>
      <c r="J16" s="80"/>
      <c r="K16" s="79"/>
      <c r="L16" s="82"/>
      <c r="M16" s="78">
        <f>IF($B16="","",IF(OR($K16="Arrived",$L16&lt;&gt;""),"Yes","No"))</f>
      </c>
      <c r="N16" s="79"/>
      <c r="O16" s="82"/>
      <c r="P16" s="86"/>
      <c r="Q16" s="79"/>
      <c r="R16" s="78">
        <f>IF($B16="","",IF(OR($K16="Cancelled",$K16="Returned"),"CLOSED",IF($M16="Yes","ARRIVED",IF($E16="","MISSING DATE",IF($E16&lt;TODAY(),"LATE",IF(AND($J16="",$E16-TODAY()&lt;=Set_ShipWindow),"NO TRACKING","ON TRACK"))))))</f>
      </c>
      <c r="S16" s="78">
        <f>IF($B16="","",IF($O16="","—",IF($O16&lt;TODAY(),"CLOSED",IF($O16-TODAY()&lt;=7,"CLOSING SOON","OPEN"))))</f>
      </c>
      <c r="T16" s="80"/>
      <c r="U16" s="78">
        <f>IF($B16="",0,IF(COUNTIF('ONLINE ORDERS'!$B$6:$B$155,$B16)&gt;1,1,0))</f>
      </c>
      <c r="V16" s="78">
        <f>IF($F16="",0,IF(COUNTIF('PEOPLE + BUDGETS'!$B$6:$B$105,$F16)=0,1,0))</f>
      </c>
      <c r="W16" s="75"/>
    </row>
    <row r="17" ht="17" customHeight="1" spans="1:23" x14ac:dyDescent="0.25">
      <c r="A17" s="75"/>
      <c r="B17" s="79"/>
      <c r="C17" s="79"/>
      <c r="D17" s="82"/>
      <c r="E17" s="82"/>
      <c r="F17" s="79"/>
      <c r="G17" s="78">
        <f>IF($B17="","",IF($F17="","",IFERROR(IF(INDEX('PEOPLE + BUDGETS'!$C$6:$C$105,MATCH($F17,'PEOPLE + BUDGETS'!$B$6:$B$105,0))="","",INDEX('PEOPLE + BUDGETS'!$C$6:$C$105,MATCH($F17,'PEOPLE + BUDGETS'!$B$6:$B$105,0))),"")))</f>
      </c>
      <c r="H17" s="80"/>
      <c r="I17" s="86"/>
      <c r="J17" s="80"/>
      <c r="K17" s="79"/>
      <c r="L17" s="82"/>
      <c r="M17" s="78">
        <f>IF($B17="","",IF(OR($K17="Arrived",$L17&lt;&gt;""),"Yes","No"))</f>
      </c>
      <c r="N17" s="79"/>
      <c r="O17" s="82"/>
      <c r="P17" s="86"/>
      <c r="Q17" s="79"/>
      <c r="R17" s="78">
        <f>IF($B17="","",IF(OR($K17="Cancelled",$K17="Returned"),"CLOSED",IF($M17="Yes","ARRIVED",IF($E17="","MISSING DATE",IF($E17&lt;TODAY(),"LATE",IF(AND($J17="",$E17-TODAY()&lt;=Set_ShipWindow),"NO TRACKING","ON TRACK"))))))</f>
      </c>
      <c r="S17" s="78">
        <f>IF($B17="","",IF($O17="","—",IF($O17&lt;TODAY(),"CLOSED",IF($O17-TODAY()&lt;=7,"CLOSING SOON","OPEN"))))</f>
      </c>
      <c r="T17" s="80"/>
      <c r="U17" s="78">
        <f>IF($B17="",0,IF(COUNTIF('ONLINE ORDERS'!$B$6:$B$155,$B17)&gt;1,1,0))</f>
      </c>
      <c r="V17" s="78">
        <f>IF($F17="",0,IF(COUNTIF('PEOPLE + BUDGETS'!$B$6:$B$105,$F17)=0,1,0))</f>
      </c>
      <c r="W17" s="75"/>
    </row>
    <row r="18" ht="17" customHeight="1" spans="1:23" x14ac:dyDescent="0.25">
      <c r="A18" s="75"/>
      <c r="B18" s="79"/>
      <c r="C18" s="79"/>
      <c r="D18" s="82"/>
      <c r="E18" s="82"/>
      <c r="F18" s="79"/>
      <c r="G18" s="78">
        <f>IF($B18="","",IF($F18="","",IFERROR(IF(INDEX('PEOPLE + BUDGETS'!$C$6:$C$105,MATCH($F18,'PEOPLE + BUDGETS'!$B$6:$B$105,0))="","",INDEX('PEOPLE + BUDGETS'!$C$6:$C$105,MATCH($F18,'PEOPLE + BUDGETS'!$B$6:$B$105,0))),"")))</f>
      </c>
      <c r="H18" s="80"/>
      <c r="I18" s="86"/>
      <c r="J18" s="80"/>
      <c r="K18" s="79"/>
      <c r="L18" s="82"/>
      <c r="M18" s="78">
        <f>IF($B18="","",IF(OR($K18="Arrived",$L18&lt;&gt;""),"Yes","No"))</f>
      </c>
      <c r="N18" s="79"/>
      <c r="O18" s="82"/>
      <c r="P18" s="86"/>
      <c r="Q18" s="79"/>
      <c r="R18" s="78">
        <f>IF($B18="","",IF(OR($K18="Cancelled",$K18="Returned"),"CLOSED",IF($M18="Yes","ARRIVED",IF($E18="","MISSING DATE",IF($E18&lt;TODAY(),"LATE",IF(AND($J18="",$E18-TODAY()&lt;=Set_ShipWindow),"NO TRACKING","ON TRACK"))))))</f>
      </c>
      <c r="S18" s="78">
        <f>IF($B18="","",IF($O18="","—",IF($O18&lt;TODAY(),"CLOSED",IF($O18-TODAY()&lt;=7,"CLOSING SOON","OPEN"))))</f>
      </c>
      <c r="T18" s="80"/>
      <c r="U18" s="78">
        <f>IF($B18="",0,IF(COUNTIF('ONLINE ORDERS'!$B$6:$B$155,$B18)&gt;1,1,0))</f>
      </c>
      <c r="V18" s="78">
        <f>IF($F18="",0,IF(COUNTIF('PEOPLE + BUDGETS'!$B$6:$B$105,$F18)=0,1,0))</f>
      </c>
      <c r="W18" s="75"/>
    </row>
    <row r="19" ht="17" customHeight="1" spans="1:23" x14ac:dyDescent="0.25">
      <c r="A19" s="75"/>
      <c r="B19" s="79"/>
      <c r="C19" s="79"/>
      <c r="D19" s="82"/>
      <c r="E19" s="82"/>
      <c r="F19" s="79"/>
      <c r="G19" s="78">
        <f>IF($B19="","",IF($F19="","",IFERROR(IF(INDEX('PEOPLE + BUDGETS'!$C$6:$C$105,MATCH($F19,'PEOPLE + BUDGETS'!$B$6:$B$105,0))="","",INDEX('PEOPLE + BUDGETS'!$C$6:$C$105,MATCH($F19,'PEOPLE + BUDGETS'!$B$6:$B$105,0))),"")))</f>
      </c>
      <c r="H19" s="80"/>
      <c r="I19" s="86"/>
      <c r="J19" s="80"/>
      <c r="K19" s="79"/>
      <c r="L19" s="82"/>
      <c r="M19" s="78">
        <f>IF($B19="","",IF(OR($K19="Arrived",$L19&lt;&gt;""),"Yes","No"))</f>
      </c>
      <c r="N19" s="79"/>
      <c r="O19" s="82"/>
      <c r="P19" s="86"/>
      <c r="Q19" s="79"/>
      <c r="R19" s="78">
        <f>IF($B19="","",IF(OR($K19="Cancelled",$K19="Returned"),"CLOSED",IF($M19="Yes","ARRIVED",IF($E19="","MISSING DATE",IF($E19&lt;TODAY(),"LATE",IF(AND($J19="",$E19-TODAY()&lt;=Set_ShipWindow),"NO TRACKING","ON TRACK"))))))</f>
      </c>
      <c r="S19" s="78">
        <f>IF($B19="","",IF($O19="","—",IF($O19&lt;TODAY(),"CLOSED",IF($O19-TODAY()&lt;=7,"CLOSING SOON","OPEN"))))</f>
      </c>
      <c r="T19" s="80"/>
      <c r="U19" s="78">
        <f>IF($B19="",0,IF(COUNTIF('ONLINE ORDERS'!$B$6:$B$155,$B19)&gt;1,1,0))</f>
      </c>
      <c r="V19" s="78">
        <f>IF($F19="",0,IF(COUNTIF('PEOPLE + BUDGETS'!$B$6:$B$105,$F19)=0,1,0))</f>
      </c>
      <c r="W19" s="75"/>
    </row>
    <row r="20" ht="17" customHeight="1" spans="1:23" x14ac:dyDescent="0.25">
      <c r="A20" s="75"/>
      <c r="B20" s="79"/>
      <c r="C20" s="79"/>
      <c r="D20" s="82"/>
      <c r="E20" s="82"/>
      <c r="F20" s="79"/>
      <c r="G20" s="78">
        <f>IF($B20="","",IF($F20="","",IFERROR(IF(INDEX('PEOPLE + BUDGETS'!$C$6:$C$105,MATCH($F20,'PEOPLE + BUDGETS'!$B$6:$B$105,0))="","",INDEX('PEOPLE + BUDGETS'!$C$6:$C$105,MATCH($F20,'PEOPLE + BUDGETS'!$B$6:$B$105,0))),"")))</f>
      </c>
      <c r="H20" s="80"/>
      <c r="I20" s="86"/>
      <c r="J20" s="80"/>
      <c r="K20" s="79"/>
      <c r="L20" s="82"/>
      <c r="M20" s="78">
        <f>IF($B20="","",IF(OR($K20="Arrived",$L20&lt;&gt;""),"Yes","No"))</f>
      </c>
      <c r="N20" s="79"/>
      <c r="O20" s="82"/>
      <c r="P20" s="86"/>
      <c r="Q20" s="79"/>
      <c r="R20" s="78">
        <f>IF($B20="","",IF(OR($K20="Cancelled",$K20="Returned"),"CLOSED",IF($M20="Yes","ARRIVED",IF($E20="","MISSING DATE",IF($E20&lt;TODAY(),"LATE",IF(AND($J20="",$E20-TODAY()&lt;=Set_ShipWindow),"NO TRACKING","ON TRACK"))))))</f>
      </c>
      <c r="S20" s="78">
        <f>IF($B20="","",IF($O20="","—",IF($O20&lt;TODAY(),"CLOSED",IF($O20-TODAY()&lt;=7,"CLOSING SOON","OPEN"))))</f>
      </c>
      <c r="T20" s="80"/>
      <c r="U20" s="78">
        <f>IF($B20="",0,IF(COUNTIF('ONLINE ORDERS'!$B$6:$B$155,$B20)&gt;1,1,0))</f>
      </c>
      <c r="V20" s="78">
        <f>IF($F20="",0,IF(COUNTIF('PEOPLE + BUDGETS'!$B$6:$B$105,$F20)=0,1,0))</f>
      </c>
      <c r="W20" s="75"/>
    </row>
    <row r="21" ht="17" customHeight="1" spans="1:23" x14ac:dyDescent="0.25">
      <c r="A21" s="75"/>
      <c r="B21" s="79"/>
      <c r="C21" s="79"/>
      <c r="D21" s="82"/>
      <c r="E21" s="82"/>
      <c r="F21" s="79"/>
      <c r="G21" s="78">
        <f>IF($B21="","",IF($F21="","",IFERROR(IF(INDEX('PEOPLE + BUDGETS'!$C$6:$C$105,MATCH($F21,'PEOPLE + BUDGETS'!$B$6:$B$105,0))="","",INDEX('PEOPLE + BUDGETS'!$C$6:$C$105,MATCH($F21,'PEOPLE + BUDGETS'!$B$6:$B$105,0))),"")))</f>
      </c>
      <c r="H21" s="80"/>
      <c r="I21" s="86"/>
      <c r="J21" s="80"/>
      <c r="K21" s="79"/>
      <c r="L21" s="82"/>
      <c r="M21" s="78">
        <f>IF($B21="","",IF(OR($K21="Arrived",$L21&lt;&gt;""),"Yes","No"))</f>
      </c>
      <c r="N21" s="79"/>
      <c r="O21" s="82"/>
      <c r="P21" s="86"/>
      <c r="Q21" s="79"/>
      <c r="R21" s="78">
        <f>IF($B21="","",IF(OR($K21="Cancelled",$K21="Returned"),"CLOSED",IF($M21="Yes","ARRIVED",IF($E21="","MISSING DATE",IF($E21&lt;TODAY(),"LATE",IF(AND($J21="",$E21-TODAY()&lt;=Set_ShipWindow),"NO TRACKING","ON TRACK"))))))</f>
      </c>
      <c r="S21" s="78">
        <f>IF($B21="","",IF($O21="","—",IF($O21&lt;TODAY(),"CLOSED",IF($O21-TODAY()&lt;=7,"CLOSING SOON","OPEN"))))</f>
      </c>
      <c r="T21" s="80"/>
      <c r="U21" s="78">
        <f>IF($B21="",0,IF(COUNTIF('ONLINE ORDERS'!$B$6:$B$155,$B21)&gt;1,1,0))</f>
      </c>
      <c r="V21" s="78">
        <f>IF($F21="",0,IF(COUNTIF('PEOPLE + BUDGETS'!$B$6:$B$105,$F21)=0,1,0))</f>
      </c>
      <c r="W21" s="75"/>
    </row>
    <row r="22" ht="17" customHeight="1" spans="1:23" x14ac:dyDescent="0.25">
      <c r="A22" s="75"/>
      <c r="B22" s="79"/>
      <c r="C22" s="79"/>
      <c r="D22" s="82"/>
      <c r="E22" s="82"/>
      <c r="F22" s="79"/>
      <c r="G22" s="78">
        <f>IF($B22="","",IF($F22="","",IFERROR(IF(INDEX('PEOPLE + BUDGETS'!$C$6:$C$105,MATCH($F22,'PEOPLE + BUDGETS'!$B$6:$B$105,0))="","",INDEX('PEOPLE + BUDGETS'!$C$6:$C$105,MATCH($F22,'PEOPLE + BUDGETS'!$B$6:$B$105,0))),"")))</f>
      </c>
      <c r="H22" s="80"/>
      <c r="I22" s="86"/>
      <c r="J22" s="80"/>
      <c r="K22" s="79"/>
      <c r="L22" s="82"/>
      <c r="M22" s="78">
        <f>IF($B22="","",IF(OR($K22="Arrived",$L22&lt;&gt;""),"Yes","No"))</f>
      </c>
      <c r="N22" s="79"/>
      <c r="O22" s="82"/>
      <c r="P22" s="86"/>
      <c r="Q22" s="79"/>
      <c r="R22" s="78">
        <f>IF($B22="","",IF(OR($K22="Cancelled",$K22="Returned"),"CLOSED",IF($M22="Yes","ARRIVED",IF($E22="","MISSING DATE",IF($E22&lt;TODAY(),"LATE",IF(AND($J22="",$E22-TODAY()&lt;=Set_ShipWindow),"NO TRACKING","ON TRACK"))))))</f>
      </c>
      <c r="S22" s="78">
        <f>IF($B22="","",IF($O22="","—",IF($O22&lt;TODAY(),"CLOSED",IF($O22-TODAY()&lt;=7,"CLOSING SOON","OPEN"))))</f>
      </c>
      <c r="T22" s="80"/>
      <c r="U22" s="78">
        <f>IF($B22="",0,IF(COUNTIF('ONLINE ORDERS'!$B$6:$B$155,$B22)&gt;1,1,0))</f>
      </c>
      <c r="V22" s="78">
        <f>IF($F22="",0,IF(COUNTIF('PEOPLE + BUDGETS'!$B$6:$B$105,$F22)=0,1,0))</f>
      </c>
      <c r="W22" s="75"/>
    </row>
    <row r="23" ht="17" customHeight="1" spans="1:23" x14ac:dyDescent="0.25">
      <c r="A23" s="75"/>
      <c r="B23" s="79"/>
      <c r="C23" s="79"/>
      <c r="D23" s="82"/>
      <c r="E23" s="82"/>
      <c r="F23" s="79"/>
      <c r="G23" s="78">
        <f>IF($B23="","",IF($F23="","",IFERROR(IF(INDEX('PEOPLE + BUDGETS'!$C$6:$C$105,MATCH($F23,'PEOPLE + BUDGETS'!$B$6:$B$105,0))="","",INDEX('PEOPLE + BUDGETS'!$C$6:$C$105,MATCH($F23,'PEOPLE + BUDGETS'!$B$6:$B$105,0))),"")))</f>
      </c>
      <c r="H23" s="80"/>
      <c r="I23" s="86"/>
      <c r="J23" s="80"/>
      <c r="K23" s="79"/>
      <c r="L23" s="82"/>
      <c r="M23" s="78">
        <f>IF($B23="","",IF(OR($K23="Arrived",$L23&lt;&gt;""),"Yes","No"))</f>
      </c>
      <c r="N23" s="79"/>
      <c r="O23" s="82"/>
      <c r="P23" s="86"/>
      <c r="Q23" s="79"/>
      <c r="R23" s="78">
        <f>IF($B23="","",IF(OR($K23="Cancelled",$K23="Returned"),"CLOSED",IF($M23="Yes","ARRIVED",IF($E23="","MISSING DATE",IF($E23&lt;TODAY(),"LATE",IF(AND($J23="",$E23-TODAY()&lt;=Set_ShipWindow),"NO TRACKING","ON TRACK"))))))</f>
      </c>
      <c r="S23" s="78">
        <f>IF($B23="","",IF($O23="","—",IF($O23&lt;TODAY(),"CLOSED",IF($O23-TODAY()&lt;=7,"CLOSING SOON","OPEN"))))</f>
      </c>
      <c r="T23" s="80"/>
      <c r="U23" s="78">
        <f>IF($B23="",0,IF(COUNTIF('ONLINE ORDERS'!$B$6:$B$155,$B23)&gt;1,1,0))</f>
      </c>
      <c r="V23" s="78">
        <f>IF($F23="",0,IF(COUNTIF('PEOPLE + BUDGETS'!$B$6:$B$105,$F23)=0,1,0))</f>
      </c>
      <c r="W23" s="75"/>
    </row>
    <row r="24" ht="17" customHeight="1" spans="1:23" x14ac:dyDescent="0.25">
      <c r="A24" s="75"/>
      <c r="B24" s="79"/>
      <c r="C24" s="79"/>
      <c r="D24" s="82"/>
      <c r="E24" s="82"/>
      <c r="F24" s="79"/>
      <c r="G24" s="78">
        <f>IF($B24="","",IF($F24="","",IFERROR(IF(INDEX('PEOPLE + BUDGETS'!$C$6:$C$105,MATCH($F24,'PEOPLE + BUDGETS'!$B$6:$B$105,0))="","",INDEX('PEOPLE + BUDGETS'!$C$6:$C$105,MATCH($F24,'PEOPLE + BUDGETS'!$B$6:$B$105,0))),"")))</f>
      </c>
      <c r="H24" s="80"/>
      <c r="I24" s="86"/>
      <c r="J24" s="80"/>
      <c r="K24" s="79"/>
      <c r="L24" s="82"/>
      <c r="M24" s="78">
        <f>IF($B24="","",IF(OR($K24="Arrived",$L24&lt;&gt;""),"Yes","No"))</f>
      </c>
      <c r="N24" s="79"/>
      <c r="O24" s="82"/>
      <c r="P24" s="86"/>
      <c r="Q24" s="79"/>
      <c r="R24" s="78">
        <f>IF($B24="","",IF(OR($K24="Cancelled",$K24="Returned"),"CLOSED",IF($M24="Yes","ARRIVED",IF($E24="","MISSING DATE",IF($E24&lt;TODAY(),"LATE",IF(AND($J24="",$E24-TODAY()&lt;=Set_ShipWindow),"NO TRACKING","ON TRACK"))))))</f>
      </c>
      <c r="S24" s="78">
        <f>IF($B24="","",IF($O24="","—",IF($O24&lt;TODAY(),"CLOSED",IF($O24-TODAY()&lt;=7,"CLOSING SOON","OPEN"))))</f>
      </c>
      <c r="T24" s="80"/>
      <c r="U24" s="78">
        <f>IF($B24="",0,IF(COUNTIF('ONLINE ORDERS'!$B$6:$B$155,$B24)&gt;1,1,0))</f>
      </c>
      <c r="V24" s="78">
        <f>IF($F24="",0,IF(COUNTIF('PEOPLE + BUDGETS'!$B$6:$B$105,$F24)=0,1,0))</f>
      </c>
      <c r="W24" s="75"/>
    </row>
    <row r="25" ht="17" customHeight="1" spans="1:23" x14ac:dyDescent="0.25">
      <c r="A25" s="75"/>
      <c r="B25" s="79"/>
      <c r="C25" s="79"/>
      <c r="D25" s="82"/>
      <c r="E25" s="82"/>
      <c r="F25" s="79"/>
      <c r="G25" s="78">
        <f>IF($B25="","",IF($F25="","",IFERROR(IF(INDEX('PEOPLE + BUDGETS'!$C$6:$C$105,MATCH($F25,'PEOPLE + BUDGETS'!$B$6:$B$105,0))="","",INDEX('PEOPLE + BUDGETS'!$C$6:$C$105,MATCH($F25,'PEOPLE + BUDGETS'!$B$6:$B$105,0))),"")))</f>
      </c>
      <c r="H25" s="80"/>
      <c r="I25" s="86"/>
      <c r="J25" s="80"/>
      <c r="K25" s="79"/>
      <c r="L25" s="82"/>
      <c r="M25" s="78">
        <f>IF($B25="","",IF(OR($K25="Arrived",$L25&lt;&gt;""),"Yes","No"))</f>
      </c>
      <c r="N25" s="79"/>
      <c r="O25" s="82"/>
      <c r="P25" s="86"/>
      <c r="Q25" s="79"/>
      <c r="R25" s="78">
        <f>IF($B25="","",IF(OR($K25="Cancelled",$K25="Returned"),"CLOSED",IF($M25="Yes","ARRIVED",IF($E25="","MISSING DATE",IF($E25&lt;TODAY(),"LATE",IF(AND($J25="",$E25-TODAY()&lt;=Set_ShipWindow),"NO TRACKING","ON TRACK"))))))</f>
      </c>
      <c r="S25" s="78">
        <f>IF($B25="","",IF($O25="","—",IF($O25&lt;TODAY(),"CLOSED",IF($O25-TODAY()&lt;=7,"CLOSING SOON","OPEN"))))</f>
      </c>
      <c r="T25" s="80"/>
      <c r="U25" s="78">
        <f>IF($B25="",0,IF(COUNTIF('ONLINE ORDERS'!$B$6:$B$155,$B25)&gt;1,1,0))</f>
      </c>
      <c r="V25" s="78">
        <f>IF($F25="",0,IF(COUNTIF('PEOPLE + BUDGETS'!$B$6:$B$105,$F25)=0,1,0))</f>
      </c>
      <c r="W25" s="75"/>
    </row>
    <row r="26" ht="17" customHeight="1" spans="1:23" x14ac:dyDescent="0.25">
      <c r="A26" s="75"/>
      <c r="B26" s="79"/>
      <c r="C26" s="79"/>
      <c r="D26" s="82"/>
      <c r="E26" s="82"/>
      <c r="F26" s="79"/>
      <c r="G26" s="78">
        <f>IF($B26="","",IF($F26="","",IFERROR(IF(INDEX('PEOPLE + BUDGETS'!$C$6:$C$105,MATCH($F26,'PEOPLE + BUDGETS'!$B$6:$B$105,0))="","",INDEX('PEOPLE + BUDGETS'!$C$6:$C$105,MATCH($F26,'PEOPLE + BUDGETS'!$B$6:$B$105,0))),"")))</f>
      </c>
      <c r="H26" s="80"/>
      <c r="I26" s="86"/>
      <c r="J26" s="80"/>
      <c r="K26" s="79"/>
      <c r="L26" s="82"/>
      <c r="M26" s="78">
        <f>IF($B26="","",IF(OR($K26="Arrived",$L26&lt;&gt;""),"Yes","No"))</f>
      </c>
      <c r="N26" s="79"/>
      <c r="O26" s="82"/>
      <c r="P26" s="86"/>
      <c r="Q26" s="79"/>
      <c r="R26" s="78">
        <f>IF($B26="","",IF(OR($K26="Cancelled",$K26="Returned"),"CLOSED",IF($M26="Yes","ARRIVED",IF($E26="","MISSING DATE",IF($E26&lt;TODAY(),"LATE",IF(AND($J26="",$E26-TODAY()&lt;=Set_ShipWindow),"NO TRACKING","ON TRACK"))))))</f>
      </c>
      <c r="S26" s="78">
        <f>IF($B26="","",IF($O26="","—",IF($O26&lt;TODAY(),"CLOSED",IF($O26-TODAY()&lt;=7,"CLOSING SOON","OPEN"))))</f>
      </c>
      <c r="T26" s="80"/>
      <c r="U26" s="78">
        <f>IF($B26="",0,IF(COUNTIF('ONLINE ORDERS'!$B$6:$B$155,$B26)&gt;1,1,0))</f>
      </c>
      <c r="V26" s="78">
        <f>IF($F26="",0,IF(COUNTIF('PEOPLE + BUDGETS'!$B$6:$B$105,$F26)=0,1,0))</f>
      </c>
      <c r="W26" s="75"/>
    </row>
    <row r="27" ht="17" customHeight="1" spans="1:23" x14ac:dyDescent="0.25">
      <c r="A27" s="75"/>
      <c r="B27" s="79"/>
      <c r="C27" s="79"/>
      <c r="D27" s="82"/>
      <c r="E27" s="82"/>
      <c r="F27" s="79"/>
      <c r="G27" s="78">
        <f>IF($B27="","",IF($F27="","",IFERROR(IF(INDEX('PEOPLE + BUDGETS'!$C$6:$C$105,MATCH($F27,'PEOPLE + BUDGETS'!$B$6:$B$105,0))="","",INDEX('PEOPLE + BUDGETS'!$C$6:$C$105,MATCH($F27,'PEOPLE + BUDGETS'!$B$6:$B$105,0))),"")))</f>
      </c>
      <c r="H27" s="80"/>
      <c r="I27" s="86"/>
      <c r="J27" s="80"/>
      <c r="K27" s="79"/>
      <c r="L27" s="82"/>
      <c r="M27" s="78">
        <f>IF($B27="","",IF(OR($K27="Arrived",$L27&lt;&gt;""),"Yes","No"))</f>
      </c>
      <c r="N27" s="79"/>
      <c r="O27" s="82"/>
      <c r="P27" s="86"/>
      <c r="Q27" s="79"/>
      <c r="R27" s="78">
        <f>IF($B27="","",IF(OR($K27="Cancelled",$K27="Returned"),"CLOSED",IF($M27="Yes","ARRIVED",IF($E27="","MISSING DATE",IF($E27&lt;TODAY(),"LATE",IF(AND($J27="",$E27-TODAY()&lt;=Set_ShipWindow),"NO TRACKING","ON TRACK"))))))</f>
      </c>
      <c r="S27" s="78">
        <f>IF($B27="","",IF($O27="","—",IF($O27&lt;TODAY(),"CLOSED",IF($O27-TODAY()&lt;=7,"CLOSING SOON","OPEN"))))</f>
      </c>
      <c r="T27" s="80"/>
      <c r="U27" s="78">
        <f>IF($B27="",0,IF(COUNTIF('ONLINE ORDERS'!$B$6:$B$155,$B27)&gt;1,1,0))</f>
      </c>
      <c r="V27" s="78">
        <f>IF($F27="",0,IF(COUNTIF('PEOPLE + BUDGETS'!$B$6:$B$105,$F27)=0,1,0))</f>
      </c>
      <c r="W27" s="75"/>
    </row>
    <row r="28" ht="17" customHeight="1" spans="1:23" x14ac:dyDescent="0.25">
      <c r="A28" s="75"/>
      <c r="B28" s="79"/>
      <c r="C28" s="79"/>
      <c r="D28" s="82"/>
      <c r="E28" s="82"/>
      <c r="F28" s="79"/>
      <c r="G28" s="78">
        <f>IF($B28="","",IF($F28="","",IFERROR(IF(INDEX('PEOPLE + BUDGETS'!$C$6:$C$105,MATCH($F28,'PEOPLE + BUDGETS'!$B$6:$B$105,0))="","",INDEX('PEOPLE + BUDGETS'!$C$6:$C$105,MATCH($F28,'PEOPLE + BUDGETS'!$B$6:$B$105,0))),"")))</f>
      </c>
      <c r="H28" s="80"/>
      <c r="I28" s="86"/>
      <c r="J28" s="80"/>
      <c r="K28" s="79"/>
      <c r="L28" s="82"/>
      <c r="M28" s="78">
        <f>IF($B28="","",IF(OR($K28="Arrived",$L28&lt;&gt;""),"Yes","No"))</f>
      </c>
      <c r="N28" s="79"/>
      <c r="O28" s="82"/>
      <c r="P28" s="86"/>
      <c r="Q28" s="79"/>
      <c r="R28" s="78">
        <f>IF($B28="","",IF(OR($K28="Cancelled",$K28="Returned"),"CLOSED",IF($M28="Yes","ARRIVED",IF($E28="","MISSING DATE",IF($E28&lt;TODAY(),"LATE",IF(AND($J28="",$E28-TODAY()&lt;=Set_ShipWindow),"NO TRACKING","ON TRACK"))))))</f>
      </c>
      <c r="S28" s="78">
        <f>IF($B28="","",IF($O28="","—",IF($O28&lt;TODAY(),"CLOSED",IF($O28-TODAY()&lt;=7,"CLOSING SOON","OPEN"))))</f>
      </c>
      <c r="T28" s="80"/>
      <c r="U28" s="78">
        <f>IF($B28="",0,IF(COUNTIF('ONLINE ORDERS'!$B$6:$B$155,$B28)&gt;1,1,0))</f>
      </c>
      <c r="V28" s="78">
        <f>IF($F28="",0,IF(COUNTIF('PEOPLE + BUDGETS'!$B$6:$B$105,$F28)=0,1,0))</f>
      </c>
      <c r="W28" s="75"/>
    </row>
    <row r="29" ht="17" customHeight="1" spans="1:23" x14ac:dyDescent="0.25">
      <c r="A29" s="75"/>
      <c r="B29" s="79"/>
      <c r="C29" s="79"/>
      <c r="D29" s="82"/>
      <c r="E29" s="82"/>
      <c r="F29" s="79"/>
      <c r="G29" s="78">
        <f>IF($B29="","",IF($F29="","",IFERROR(IF(INDEX('PEOPLE + BUDGETS'!$C$6:$C$105,MATCH($F29,'PEOPLE + BUDGETS'!$B$6:$B$105,0))="","",INDEX('PEOPLE + BUDGETS'!$C$6:$C$105,MATCH($F29,'PEOPLE + BUDGETS'!$B$6:$B$105,0))),"")))</f>
      </c>
      <c r="H29" s="80"/>
      <c r="I29" s="86"/>
      <c r="J29" s="80"/>
      <c r="K29" s="79"/>
      <c r="L29" s="82"/>
      <c r="M29" s="78">
        <f>IF($B29="","",IF(OR($K29="Arrived",$L29&lt;&gt;""),"Yes","No"))</f>
      </c>
      <c r="N29" s="79"/>
      <c r="O29" s="82"/>
      <c r="P29" s="86"/>
      <c r="Q29" s="79"/>
      <c r="R29" s="78">
        <f>IF($B29="","",IF(OR($K29="Cancelled",$K29="Returned"),"CLOSED",IF($M29="Yes","ARRIVED",IF($E29="","MISSING DATE",IF($E29&lt;TODAY(),"LATE",IF(AND($J29="",$E29-TODAY()&lt;=Set_ShipWindow),"NO TRACKING","ON TRACK"))))))</f>
      </c>
      <c r="S29" s="78">
        <f>IF($B29="","",IF($O29="","—",IF($O29&lt;TODAY(),"CLOSED",IF($O29-TODAY()&lt;=7,"CLOSING SOON","OPEN"))))</f>
      </c>
      <c r="T29" s="80"/>
      <c r="U29" s="78">
        <f>IF($B29="",0,IF(COUNTIF('ONLINE ORDERS'!$B$6:$B$155,$B29)&gt;1,1,0))</f>
      </c>
      <c r="V29" s="78">
        <f>IF($F29="",0,IF(COUNTIF('PEOPLE + BUDGETS'!$B$6:$B$105,$F29)=0,1,0))</f>
      </c>
      <c r="W29" s="75"/>
    </row>
    <row r="30" ht="17" customHeight="1" spans="1:23" x14ac:dyDescent="0.25">
      <c r="A30" s="75"/>
      <c r="B30" s="79"/>
      <c r="C30" s="79"/>
      <c r="D30" s="82"/>
      <c r="E30" s="82"/>
      <c r="F30" s="79"/>
      <c r="G30" s="78">
        <f>IF($B30="","",IF($F30="","",IFERROR(IF(INDEX('PEOPLE + BUDGETS'!$C$6:$C$105,MATCH($F30,'PEOPLE + BUDGETS'!$B$6:$B$105,0))="","",INDEX('PEOPLE + BUDGETS'!$C$6:$C$105,MATCH($F30,'PEOPLE + BUDGETS'!$B$6:$B$105,0))),"")))</f>
      </c>
      <c r="H30" s="80"/>
      <c r="I30" s="86"/>
      <c r="J30" s="80"/>
      <c r="K30" s="79"/>
      <c r="L30" s="82"/>
      <c r="M30" s="78">
        <f>IF($B30="","",IF(OR($K30="Arrived",$L30&lt;&gt;""),"Yes","No"))</f>
      </c>
      <c r="N30" s="79"/>
      <c r="O30" s="82"/>
      <c r="P30" s="86"/>
      <c r="Q30" s="79"/>
      <c r="R30" s="78">
        <f>IF($B30="","",IF(OR($K30="Cancelled",$K30="Returned"),"CLOSED",IF($M30="Yes","ARRIVED",IF($E30="","MISSING DATE",IF($E30&lt;TODAY(),"LATE",IF(AND($J30="",$E30-TODAY()&lt;=Set_ShipWindow),"NO TRACKING","ON TRACK"))))))</f>
      </c>
      <c r="S30" s="78">
        <f>IF($B30="","",IF($O30="","—",IF($O30&lt;TODAY(),"CLOSED",IF($O30-TODAY()&lt;=7,"CLOSING SOON","OPEN"))))</f>
      </c>
      <c r="T30" s="80"/>
      <c r="U30" s="78">
        <f>IF($B30="",0,IF(COUNTIF('ONLINE ORDERS'!$B$6:$B$155,$B30)&gt;1,1,0))</f>
      </c>
      <c r="V30" s="78">
        <f>IF($F30="",0,IF(COUNTIF('PEOPLE + BUDGETS'!$B$6:$B$105,$F30)=0,1,0))</f>
      </c>
      <c r="W30" s="75"/>
    </row>
    <row r="31" ht="17" customHeight="1" spans="1:23" x14ac:dyDescent="0.25">
      <c r="A31" s="75"/>
      <c r="B31" s="79"/>
      <c r="C31" s="79"/>
      <c r="D31" s="82"/>
      <c r="E31" s="82"/>
      <c r="F31" s="79"/>
      <c r="G31" s="78">
        <f>IF($B31="","",IF($F31="","",IFERROR(IF(INDEX('PEOPLE + BUDGETS'!$C$6:$C$105,MATCH($F31,'PEOPLE + BUDGETS'!$B$6:$B$105,0))="","",INDEX('PEOPLE + BUDGETS'!$C$6:$C$105,MATCH($F31,'PEOPLE + BUDGETS'!$B$6:$B$105,0))),"")))</f>
      </c>
      <c r="H31" s="80"/>
      <c r="I31" s="86"/>
      <c r="J31" s="80"/>
      <c r="K31" s="79"/>
      <c r="L31" s="82"/>
      <c r="M31" s="78">
        <f>IF($B31="","",IF(OR($K31="Arrived",$L31&lt;&gt;""),"Yes","No"))</f>
      </c>
      <c r="N31" s="79"/>
      <c r="O31" s="82"/>
      <c r="P31" s="86"/>
      <c r="Q31" s="79"/>
      <c r="R31" s="78">
        <f>IF($B31="","",IF(OR($K31="Cancelled",$K31="Returned"),"CLOSED",IF($M31="Yes","ARRIVED",IF($E31="","MISSING DATE",IF($E31&lt;TODAY(),"LATE",IF(AND($J31="",$E31-TODAY()&lt;=Set_ShipWindow),"NO TRACKING","ON TRACK"))))))</f>
      </c>
      <c r="S31" s="78">
        <f>IF($B31="","",IF($O31="","—",IF($O31&lt;TODAY(),"CLOSED",IF($O31-TODAY()&lt;=7,"CLOSING SOON","OPEN"))))</f>
      </c>
      <c r="T31" s="80"/>
      <c r="U31" s="78">
        <f>IF($B31="",0,IF(COUNTIF('ONLINE ORDERS'!$B$6:$B$155,$B31)&gt;1,1,0))</f>
      </c>
      <c r="V31" s="78">
        <f>IF($F31="",0,IF(COUNTIF('PEOPLE + BUDGETS'!$B$6:$B$105,$F31)=0,1,0))</f>
      </c>
      <c r="W31" s="75"/>
    </row>
    <row r="32" ht="17" customHeight="1" spans="1:23" x14ac:dyDescent="0.25">
      <c r="A32" s="75"/>
      <c r="B32" s="79"/>
      <c r="C32" s="79"/>
      <c r="D32" s="82"/>
      <c r="E32" s="82"/>
      <c r="F32" s="79"/>
      <c r="G32" s="78">
        <f>IF($B32="","",IF($F32="","",IFERROR(IF(INDEX('PEOPLE + BUDGETS'!$C$6:$C$105,MATCH($F32,'PEOPLE + BUDGETS'!$B$6:$B$105,0))="","",INDEX('PEOPLE + BUDGETS'!$C$6:$C$105,MATCH($F32,'PEOPLE + BUDGETS'!$B$6:$B$105,0))),"")))</f>
      </c>
      <c r="H32" s="80"/>
      <c r="I32" s="86"/>
      <c r="J32" s="80"/>
      <c r="K32" s="79"/>
      <c r="L32" s="82"/>
      <c r="M32" s="78">
        <f>IF($B32="","",IF(OR($K32="Arrived",$L32&lt;&gt;""),"Yes","No"))</f>
      </c>
      <c r="N32" s="79"/>
      <c r="O32" s="82"/>
      <c r="P32" s="86"/>
      <c r="Q32" s="79"/>
      <c r="R32" s="78">
        <f>IF($B32="","",IF(OR($K32="Cancelled",$K32="Returned"),"CLOSED",IF($M32="Yes","ARRIVED",IF($E32="","MISSING DATE",IF($E32&lt;TODAY(),"LATE",IF(AND($J32="",$E32-TODAY()&lt;=Set_ShipWindow),"NO TRACKING","ON TRACK"))))))</f>
      </c>
      <c r="S32" s="78">
        <f>IF($B32="","",IF($O32="","—",IF($O32&lt;TODAY(),"CLOSED",IF($O32-TODAY()&lt;=7,"CLOSING SOON","OPEN"))))</f>
      </c>
      <c r="T32" s="80"/>
      <c r="U32" s="78">
        <f>IF($B32="",0,IF(COUNTIF('ONLINE ORDERS'!$B$6:$B$155,$B32)&gt;1,1,0))</f>
      </c>
      <c r="V32" s="78">
        <f>IF($F32="",0,IF(COUNTIF('PEOPLE + BUDGETS'!$B$6:$B$105,$F32)=0,1,0))</f>
      </c>
      <c r="W32" s="75"/>
    </row>
    <row r="33" ht="17" customHeight="1" spans="1:23" x14ac:dyDescent="0.25">
      <c r="A33" s="75"/>
      <c r="B33" s="79"/>
      <c r="C33" s="79"/>
      <c r="D33" s="82"/>
      <c r="E33" s="82"/>
      <c r="F33" s="79"/>
      <c r="G33" s="78">
        <f>IF($B33="","",IF($F33="","",IFERROR(IF(INDEX('PEOPLE + BUDGETS'!$C$6:$C$105,MATCH($F33,'PEOPLE + BUDGETS'!$B$6:$B$105,0))="","",INDEX('PEOPLE + BUDGETS'!$C$6:$C$105,MATCH($F33,'PEOPLE + BUDGETS'!$B$6:$B$105,0))),"")))</f>
      </c>
      <c r="H33" s="80"/>
      <c r="I33" s="86"/>
      <c r="J33" s="80"/>
      <c r="K33" s="79"/>
      <c r="L33" s="82"/>
      <c r="M33" s="78">
        <f>IF($B33="","",IF(OR($K33="Arrived",$L33&lt;&gt;""),"Yes","No"))</f>
      </c>
      <c r="N33" s="79"/>
      <c r="O33" s="82"/>
      <c r="P33" s="86"/>
      <c r="Q33" s="79"/>
      <c r="R33" s="78">
        <f>IF($B33="","",IF(OR($K33="Cancelled",$K33="Returned"),"CLOSED",IF($M33="Yes","ARRIVED",IF($E33="","MISSING DATE",IF($E33&lt;TODAY(),"LATE",IF(AND($J33="",$E33-TODAY()&lt;=Set_ShipWindow),"NO TRACKING","ON TRACK"))))))</f>
      </c>
      <c r="S33" s="78">
        <f>IF($B33="","",IF($O33="","—",IF($O33&lt;TODAY(),"CLOSED",IF($O33-TODAY()&lt;=7,"CLOSING SOON","OPEN"))))</f>
      </c>
      <c r="T33" s="80"/>
      <c r="U33" s="78">
        <f>IF($B33="",0,IF(COUNTIF('ONLINE ORDERS'!$B$6:$B$155,$B33)&gt;1,1,0))</f>
      </c>
      <c r="V33" s="78">
        <f>IF($F33="",0,IF(COUNTIF('PEOPLE + BUDGETS'!$B$6:$B$105,$F33)=0,1,0))</f>
      </c>
      <c r="W33" s="75"/>
    </row>
    <row r="34" ht="17" customHeight="1" spans="1:23" x14ac:dyDescent="0.25">
      <c r="A34" s="75"/>
      <c r="B34" s="79"/>
      <c r="C34" s="79"/>
      <c r="D34" s="82"/>
      <c r="E34" s="82"/>
      <c r="F34" s="79"/>
      <c r="G34" s="78">
        <f>IF($B34="","",IF($F34="","",IFERROR(IF(INDEX('PEOPLE + BUDGETS'!$C$6:$C$105,MATCH($F34,'PEOPLE + BUDGETS'!$B$6:$B$105,0))="","",INDEX('PEOPLE + BUDGETS'!$C$6:$C$105,MATCH($F34,'PEOPLE + BUDGETS'!$B$6:$B$105,0))),"")))</f>
      </c>
      <c r="H34" s="80"/>
      <c r="I34" s="86"/>
      <c r="J34" s="80"/>
      <c r="K34" s="79"/>
      <c r="L34" s="82"/>
      <c r="M34" s="78">
        <f>IF($B34="","",IF(OR($K34="Arrived",$L34&lt;&gt;""),"Yes","No"))</f>
      </c>
      <c r="N34" s="79"/>
      <c r="O34" s="82"/>
      <c r="P34" s="86"/>
      <c r="Q34" s="79"/>
      <c r="R34" s="78">
        <f>IF($B34="","",IF(OR($K34="Cancelled",$K34="Returned"),"CLOSED",IF($M34="Yes","ARRIVED",IF($E34="","MISSING DATE",IF($E34&lt;TODAY(),"LATE",IF(AND($J34="",$E34-TODAY()&lt;=Set_ShipWindow),"NO TRACKING","ON TRACK"))))))</f>
      </c>
      <c r="S34" s="78">
        <f>IF($B34="","",IF($O34="","—",IF($O34&lt;TODAY(),"CLOSED",IF($O34-TODAY()&lt;=7,"CLOSING SOON","OPEN"))))</f>
      </c>
      <c r="T34" s="80"/>
      <c r="U34" s="78">
        <f>IF($B34="",0,IF(COUNTIF('ONLINE ORDERS'!$B$6:$B$155,$B34)&gt;1,1,0))</f>
      </c>
      <c r="V34" s="78">
        <f>IF($F34="",0,IF(COUNTIF('PEOPLE + BUDGETS'!$B$6:$B$105,$F34)=0,1,0))</f>
      </c>
      <c r="W34" s="75"/>
    </row>
    <row r="35" ht="17" customHeight="1" spans="1:23" x14ac:dyDescent="0.25">
      <c r="A35" s="75"/>
      <c r="B35" s="79"/>
      <c r="C35" s="79"/>
      <c r="D35" s="82"/>
      <c r="E35" s="82"/>
      <c r="F35" s="79"/>
      <c r="G35" s="78">
        <f>IF($B35="","",IF($F35="","",IFERROR(IF(INDEX('PEOPLE + BUDGETS'!$C$6:$C$105,MATCH($F35,'PEOPLE + BUDGETS'!$B$6:$B$105,0))="","",INDEX('PEOPLE + BUDGETS'!$C$6:$C$105,MATCH($F35,'PEOPLE + BUDGETS'!$B$6:$B$105,0))),"")))</f>
      </c>
      <c r="H35" s="80"/>
      <c r="I35" s="86"/>
      <c r="J35" s="80"/>
      <c r="K35" s="79"/>
      <c r="L35" s="82"/>
      <c r="M35" s="78">
        <f>IF($B35="","",IF(OR($K35="Arrived",$L35&lt;&gt;""),"Yes","No"))</f>
      </c>
      <c r="N35" s="79"/>
      <c r="O35" s="82"/>
      <c r="P35" s="86"/>
      <c r="Q35" s="79"/>
      <c r="R35" s="78">
        <f>IF($B35="","",IF(OR($K35="Cancelled",$K35="Returned"),"CLOSED",IF($M35="Yes","ARRIVED",IF($E35="","MISSING DATE",IF($E35&lt;TODAY(),"LATE",IF(AND($J35="",$E35-TODAY()&lt;=Set_ShipWindow),"NO TRACKING","ON TRACK"))))))</f>
      </c>
      <c r="S35" s="78">
        <f>IF($B35="","",IF($O35="","—",IF($O35&lt;TODAY(),"CLOSED",IF($O35-TODAY()&lt;=7,"CLOSING SOON","OPEN"))))</f>
      </c>
      <c r="T35" s="80"/>
      <c r="U35" s="78">
        <f>IF($B35="",0,IF(COUNTIF('ONLINE ORDERS'!$B$6:$B$155,$B35)&gt;1,1,0))</f>
      </c>
      <c r="V35" s="78">
        <f>IF($F35="",0,IF(COUNTIF('PEOPLE + BUDGETS'!$B$6:$B$105,$F35)=0,1,0))</f>
      </c>
      <c r="W35" s="75"/>
    </row>
    <row r="36" ht="17" customHeight="1" spans="1:23" x14ac:dyDescent="0.25">
      <c r="A36" s="75"/>
      <c r="B36" s="79"/>
      <c r="C36" s="79"/>
      <c r="D36" s="82"/>
      <c r="E36" s="82"/>
      <c r="F36" s="79"/>
      <c r="G36" s="78">
        <f>IF($B36="","",IF($F36="","",IFERROR(IF(INDEX('PEOPLE + BUDGETS'!$C$6:$C$105,MATCH($F36,'PEOPLE + BUDGETS'!$B$6:$B$105,0))="","",INDEX('PEOPLE + BUDGETS'!$C$6:$C$105,MATCH($F36,'PEOPLE + BUDGETS'!$B$6:$B$105,0))),"")))</f>
      </c>
      <c r="H36" s="80"/>
      <c r="I36" s="86"/>
      <c r="J36" s="80"/>
      <c r="K36" s="79"/>
      <c r="L36" s="82"/>
      <c r="M36" s="78">
        <f>IF($B36="","",IF(OR($K36="Arrived",$L36&lt;&gt;""),"Yes","No"))</f>
      </c>
      <c r="N36" s="79"/>
      <c r="O36" s="82"/>
      <c r="P36" s="86"/>
      <c r="Q36" s="79"/>
      <c r="R36" s="78">
        <f>IF($B36="","",IF(OR($K36="Cancelled",$K36="Returned"),"CLOSED",IF($M36="Yes","ARRIVED",IF($E36="","MISSING DATE",IF($E36&lt;TODAY(),"LATE",IF(AND($J36="",$E36-TODAY()&lt;=Set_ShipWindow),"NO TRACKING","ON TRACK"))))))</f>
      </c>
      <c r="S36" s="78">
        <f>IF($B36="","",IF($O36="","—",IF($O36&lt;TODAY(),"CLOSED",IF($O36-TODAY()&lt;=7,"CLOSING SOON","OPEN"))))</f>
      </c>
      <c r="T36" s="80"/>
      <c r="U36" s="78">
        <f>IF($B36="",0,IF(COUNTIF('ONLINE ORDERS'!$B$6:$B$155,$B36)&gt;1,1,0))</f>
      </c>
      <c r="V36" s="78">
        <f>IF($F36="",0,IF(COUNTIF('PEOPLE + BUDGETS'!$B$6:$B$105,$F36)=0,1,0))</f>
      </c>
      <c r="W36" s="75"/>
    </row>
    <row r="37" ht="17" customHeight="1" spans="1:23" x14ac:dyDescent="0.25">
      <c r="A37" s="75"/>
      <c r="B37" s="79"/>
      <c r="C37" s="79"/>
      <c r="D37" s="82"/>
      <c r="E37" s="82"/>
      <c r="F37" s="79"/>
      <c r="G37" s="78">
        <f>IF($B37="","",IF($F37="","",IFERROR(IF(INDEX('PEOPLE + BUDGETS'!$C$6:$C$105,MATCH($F37,'PEOPLE + BUDGETS'!$B$6:$B$105,0))="","",INDEX('PEOPLE + BUDGETS'!$C$6:$C$105,MATCH($F37,'PEOPLE + BUDGETS'!$B$6:$B$105,0))),"")))</f>
      </c>
      <c r="H37" s="80"/>
      <c r="I37" s="86"/>
      <c r="J37" s="80"/>
      <c r="K37" s="79"/>
      <c r="L37" s="82"/>
      <c r="M37" s="78">
        <f>IF($B37="","",IF(OR($K37="Arrived",$L37&lt;&gt;""),"Yes","No"))</f>
      </c>
      <c r="N37" s="79"/>
      <c r="O37" s="82"/>
      <c r="P37" s="86"/>
      <c r="Q37" s="79"/>
      <c r="R37" s="78">
        <f>IF($B37="","",IF(OR($K37="Cancelled",$K37="Returned"),"CLOSED",IF($M37="Yes","ARRIVED",IF($E37="","MISSING DATE",IF($E37&lt;TODAY(),"LATE",IF(AND($J37="",$E37-TODAY()&lt;=Set_ShipWindow),"NO TRACKING","ON TRACK"))))))</f>
      </c>
      <c r="S37" s="78">
        <f>IF($B37="","",IF($O37="","—",IF($O37&lt;TODAY(),"CLOSED",IF($O37-TODAY()&lt;=7,"CLOSING SOON","OPEN"))))</f>
      </c>
      <c r="T37" s="80"/>
      <c r="U37" s="78">
        <f>IF($B37="",0,IF(COUNTIF('ONLINE ORDERS'!$B$6:$B$155,$B37)&gt;1,1,0))</f>
      </c>
      <c r="V37" s="78">
        <f>IF($F37="",0,IF(COUNTIF('PEOPLE + BUDGETS'!$B$6:$B$105,$F37)=0,1,0))</f>
      </c>
      <c r="W37" s="75"/>
    </row>
    <row r="38" ht="17" customHeight="1" spans="1:23" x14ac:dyDescent="0.25">
      <c r="A38" s="75"/>
      <c r="B38" s="79"/>
      <c r="C38" s="79"/>
      <c r="D38" s="82"/>
      <c r="E38" s="82"/>
      <c r="F38" s="79"/>
      <c r="G38" s="78">
        <f>IF($B38="","",IF($F38="","",IFERROR(IF(INDEX('PEOPLE + BUDGETS'!$C$6:$C$105,MATCH($F38,'PEOPLE + BUDGETS'!$B$6:$B$105,0))="","",INDEX('PEOPLE + BUDGETS'!$C$6:$C$105,MATCH($F38,'PEOPLE + BUDGETS'!$B$6:$B$105,0))),"")))</f>
      </c>
      <c r="H38" s="80"/>
      <c r="I38" s="86"/>
      <c r="J38" s="80"/>
      <c r="K38" s="79"/>
      <c r="L38" s="82"/>
      <c r="M38" s="78">
        <f>IF($B38="","",IF(OR($K38="Arrived",$L38&lt;&gt;""),"Yes","No"))</f>
      </c>
      <c r="N38" s="79"/>
      <c r="O38" s="82"/>
      <c r="P38" s="86"/>
      <c r="Q38" s="79"/>
      <c r="R38" s="78">
        <f>IF($B38="","",IF(OR($K38="Cancelled",$K38="Returned"),"CLOSED",IF($M38="Yes","ARRIVED",IF($E38="","MISSING DATE",IF($E38&lt;TODAY(),"LATE",IF(AND($J38="",$E38-TODAY()&lt;=Set_ShipWindow),"NO TRACKING","ON TRACK"))))))</f>
      </c>
      <c r="S38" s="78">
        <f>IF($B38="","",IF($O38="","—",IF($O38&lt;TODAY(),"CLOSED",IF($O38-TODAY()&lt;=7,"CLOSING SOON","OPEN"))))</f>
      </c>
      <c r="T38" s="80"/>
      <c r="U38" s="78">
        <f>IF($B38="",0,IF(COUNTIF('ONLINE ORDERS'!$B$6:$B$155,$B38)&gt;1,1,0))</f>
      </c>
      <c r="V38" s="78">
        <f>IF($F38="",0,IF(COUNTIF('PEOPLE + BUDGETS'!$B$6:$B$105,$F38)=0,1,0))</f>
      </c>
      <c r="W38" s="75"/>
    </row>
    <row r="39" ht="17" customHeight="1" spans="1:23" x14ac:dyDescent="0.25">
      <c r="A39" s="75"/>
      <c r="B39" s="79"/>
      <c r="C39" s="79"/>
      <c r="D39" s="82"/>
      <c r="E39" s="82"/>
      <c r="F39" s="79"/>
      <c r="G39" s="78">
        <f>IF($B39="","",IF($F39="","",IFERROR(IF(INDEX('PEOPLE + BUDGETS'!$C$6:$C$105,MATCH($F39,'PEOPLE + BUDGETS'!$B$6:$B$105,0))="","",INDEX('PEOPLE + BUDGETS'!$C$6:$C$105,MATCH($F39,'PEOPLE + BUDGETS'!$B$6:$B$105,0))),"")))</f>
      </c>
      <c r="H39" s="80"/>
      <c r="I39" s="86"/>
      <c r="J39" s="80"/>
      <c r="K39" s="79"/>
      <c r="L39" s="82"/>
      <c r="M39" s="78">
        <f>IF($B39="","",IF(OR($K39="Arrived",$L39&lt;&gt;""),"Yes","No"))</f>
      </c>
      <c r="N39" s="79"/>
      <c r="O39" s="82"/>
      <c r="P39" s="86"/>
      <c r="Q39" s="79"/>
      <c r="R39" s="78">
        <f>IF($B39="","",IF(OR($K39="Cancelled",$K39="Returned"),"CLOSED",IF($M39="Yes","ARRIVED",IF($E39="","MISSING DATE",IF($E39&lt;TODAY(),"LATE",IF(AND($J39="",$E39-TODAY()&lt;=Set_ShipWindow),"NO TRACKING","ON TRACK"))))))</f>
      </c>
      <c r="S39" s="78">
        <f>IF($B39="","",IF($O39="","—",IF($O39&lt;TODAY(),"CLOSED",IF($O39-TODAY()&lt;=7,"CLOSING SOON","OPEN"))))</f>
      </c>
      <c r="T39" s="80"/>
      <c r="U39" s="78">
        <f>IF($B39="",0,IF(COUNTIF('ONLINE ORDERS'!$B$6:$B$155,$B39)&gt;1,1,0))</f>
      </c>
      <c r="V39" s="78">
        <f>IF($F39="",0,IF(COUNTIF('PEOPLE + BUDGETS'!$B$6:$B$105,$F39)=0,1,0))</f>
      </c>
      <c r="W39" s="75"/>
    </row>
    <row r="40" ht="17" customHeight="1" spans="1:23" x14ac:dyDescent="0.25">
      <c r="A40" s="75"/>
      <c r="B40" s="79"/>
      <c r="C40" s="79"/>
      <c r="D40" s="82"/>
      <c r="E40" s="82"/>
      <c r="F40" s="79"/>
      <c r="G40" s="78">
        <f>IF($B40="","",IF($F40="","",IFERROR(IF(INDEX('PEOPLE + BUDGETS'!$C$6:$C$105,MATCH($F40,'PEOPLE + BUDGETS'!$B$6:$B$105,0))="","",INDEX('PEOPLE + BUDGETS'!$C$6:$C$105,MATCH($F40,'PEOPLE + BUDGETS'!$B$6:$B$105,0))),"")))</f>
      </c>
      <c r="H40" s="80"/>
      <c r="I40" s="86"/>
      <c r="J40" s="80"/>
      <c r="K40" s="79"/>
      <c r="L40" s="82"/>
      <c r="M40" s="78">
        <f>IF($B40="","",IF(OR($K40="Arrived",$L40&lt;&gt;""),"Yes","No"))</f>
      </c>
      <c r="N40" s="79"/>
      <c r="O40" s="82"/>
      <c r="P40" s="86"/>
      <c r="Q40" s="79"/>
      <c r="R40" s="78">
        <f>IF($B40="","",IF(OR($K40="Cancelled",$K40="Returned"),"CLOSED",IF($M40="Yes","ARRIVED",IF($E40="","MISSING DATE",IF($E40&lt;TODAY(),"LATE",IF(AND($J40="",$E40-TODAY()&lt;=Set_ShipWindow),"NO TRACKING","ON TRACK"))))))</f>
      </c>
      <c r="S40" s="78">
        <f>IF($B40="","",IF($O40="","—",IF($O40&lt;TODAY(),"CLOSED",IF($O40-TODAY()&lt;=7,"CLOSING SOON","OPEN"))))</f>
      </c>
      <c r="T40" s="80"/>
      <c r="U40" s="78">
        <f>IF($B40="",0,IF(COUNTIF('ONLINE ORDERS'!$B$6:$B$155,$B40)&gt;1,1,0))</f>
      </c>
      <c r="V40" s="78">
        <f>IF($F40="",0,IF(COUNTIF('PEOPLE + BUDGETS'!$B$6:$B$105,$F40)=0,1,0))</f>
      </c>
      <c r="W40" s="75"/>
    </row>
    <row r="41" ht="17" customHeight="1" spans="1:23" x14ac:dyDescent="0.25">
      <c r="A41" s="75"/>
      <c r="B41" s="79"/>
      <c r="C41" s="79"/>
      <c r="D41" s="82"/>
      <c r="E41" s="82"/>
      <c r="F41" s="79"/>
      <c r="G41" s="78">
        <f>IF($B41="","",IF($F41="","",IFERROR(IF(INDEX('PEOPLE + BUDGETS'!$C$6:$C$105,MATCH($F41,'PEOPLE + BUDGETS'!$B$6:$B$105,0))="","",INDEX('PEOPLE + BUDGETS'!$C$6:$C$105,MATCH($F41,'PEOPLE + BUDGETS'!$B$6:$B$105,0))),"")))</f>
      </c>
      <c r="H41" s="80"/>
      <c r="I41" s="86"/>
      <c r="J41" s="80"/>
      <c r="K41" s="79"/>
      <c r="L41" s="82"/>
      <c r="M41" s="78">
        <f>IF($B41="","",IF(OR($K41="Arrived",$L41&lt;&gt;""),"Yes","No"))</f>
      </c>
      <c r="N41" s="79"/>
      <c r="O41" s="82"/>
      <c r="P41" s="86"/>
      <c r="Q41" s="79"/>
      <c r="R41" s="78">
        <f>IF($B41="","",IF(OR($K41="Cancelled",$K41="Returned"),"CLOSED",IF($M41="Yes","ARRIVED",IF($E41="","MISSING DATE",IF($E41&lt;TODAY(),"LATE",IF(AND($J41="",$E41-TODAY()&lt;=Set_ShipWindow),"NO TRACKING","ON TRACK"))))))</f>
      </c>
      <c r="S41" s="78">
        <f>IF($B41="","",IF($O41="","—",IF($O41&lt;TODAY(),"CLOSED",IF($O41-TODAY()&lt;=7,"CLOSING SOON","OPEN"))))</f>
      </c>
      <c r="T41" s="80"/>
      <c r="U41" s="78">
        <f>IF($B41="",0,IF(COUNTIF('ONLINE ORDERS'!$B$6:$B$155,$B41)&gt;1,1,0))</f>
      </c>
      <c r="V41" s="78">
        <f>IF($F41="",0,IF(COUNTIF('PEOPLE + BUDGETS'!$B$6:$B$105,$F41)=0,1,0))</f>
      </c>
      <c r="W41" s="75"/>
    </row>
    <row r="42" ht="17" customHeight="1" spans="1:23" x14ac:dyDescent="0.25">
      <c r="A42" s="75"/>
      <c r="B42" s="79"/>
      <c r="C42" s="79"/>
      <c r="D42" s="82"/>
      <c r="E42" s="82"/>
      <c r="F42" s="79"/>
      <c r="G42" s="78">
        <f>IF($B42="","",IF($F42="","",IFERROR(IF(INDEX('PEOPLE + BUDGETS'!$C$6:$C$105,MATCH($F42,'PEOPLE + BUDGETS'!$B$6:$B$105,0))="","",INDEX('PEOPLE + BUDGETS'!$C$6:$C$105,MATCH($F42,'PEOPLE + BUDGETS'!$B$6:$B$105,0))),"")))</f>
      </c>
      <c r="H42" s="80"/>
      <c r="I42" s="86"/>
      <c r="J42" s="80"/>
      <c r="K42" s="79"/>
      <c r="L42" s="82"/>
      <c r="M42" s="78">
        <f>IF($B42="","",IF(OR($K42="Arrived",$L42&lt;&gt;""),"Yes","No"))</f>
      </c>
      <c r="N42" s="79"/>
      <c r="O42" s="82"/>
      <c r="P42" s="86"/>
      <c r="Q42" s="79"/>
      <c r="R42" s="78">
        <f>IF($B42="","",IF(OR($K42="Cancelled",$K42="Returned"),"CLOSED",IF($M42="Yes","ARRIVED",IF($E42="","MISSING DATE",IF($E42&lt;TODAY(),"LATE",IF(AND($J42="",$E42-TODAY()&lt;=Set_ShipWindow),"NO TRACKING","ON TRACK"))))))</f>
      </c>
      <c r="S42" s="78">
        <f>IF($B42="","",IF($O42="","—",IF($O42&lt;TODAY(),"CLOSED",IF($O42-TODAY()&lt;=7,"CLOSING SOON","OPEN"))))</f>
      </c>
      <c r="T42" s="80"/>
      <c r="U42" s="78">
        <f>IF($B42="",0,IF(COUNTIF('ONLINE ORDERS'!$B$6:$B$155,$B42)&gt;1,1,0))</f>
      </c>
      <c r="V42" s="78">
        <f>IF($F42="",0,IF(COUNTIF('PEOPLE + BUDGETS'!$B$6:$B$105,$F42)=0,1,0))</f>
      </c>
      <c r="W42" s="75"/>
    </row>
    <row r="43" ht="17" customHeight="1" spans="1:23" x14ac:dyDescent="0.25">
      <c r="A43" s="75"/>
      <c r="B43" s="79"/>
      <c r="C43" s="79"/>
      <c r="D43" s="82"/>
      <c r="E43" s="82"/>
      <c r="F43" s="79"/>
      <c r="G43" s="78">
        <f>IF($B43="","",IF($F43="","",IFERROR(IF(INDEX('PEOPLE + BUDGETS'!$C$6:$C$105,MATCH($F43,'PEOPLE + BUDGETS'!$B$6:$B$105,0))="","",INDEX('PEOPLE + BUDGETS'!$C$6:$C$105,MATCH($F43,'PEOPLE + BUDGETS'!$B$6:$B$105,0))),"")))</f>
      </c>
      <c r="H43" s="80"/>
      <c r="I43" s="86"/>
      <c r="J43" s="80"/>
      <c r="K43" s="79"/>
      <c r="L43" s="82"/>
      <c r="M43" s="78">
        <f>IF($B43="","",IF(OR($K43="Arrived",$L43&lt;&gt;""),"Yes","No"))</f>
      </c>
      <c r="N43" s="79"/>
      <c r="O43" s="82"/>
      <c r="P43" s="86"/>
      <c r="Q43" s="79"/>
      <c r="R43" s="78">
        <f>IF($B43="","",IF(OR($K43="Cancelled",$K43="Returned"),"CLOSED",IF($M43="Yes","ARRIVED",IF($E43="","MISSING DATE",IF($E43&lt;TODAY(),"LATE",IF(AND($J43="",$E43-TODAY()&lt;=Set_ShipWindow),"NO TRACKING","ON TRACK"))))))</f>
      </c>
      <c r="S43" s="78">
        <f>IF($B43="","",IF($O43="","—",IF($O43&lt;TODAY(),"CLOSED",IF($O43-TODAY()&lt;=7,"CLOSING SOON","OPEN"))))</f>
      </c>
      <c r="T43" s="80"/>
      <c r="U43" s="78">
        <f>IF($B43="",0,IF(COUNTIF('ONLINE ORDERS'!$B$6:$B$155,$B43)&gt;1,1,0))</f>
      </c>
      <c r="V43" s="78">
        <f>IF($F43="",0,IF(COUNTIF('PEOPLE + BUDGETS'!$B$6:$B$105,$F43)=0,1,0))</f>
      </c>
      <c r="W43" s="75"/>
    </row>
    <row r="44" ht="17" customHeight="1" spans="1:23" x14ac:dyDescent="0.25">
      <c r="A44" s="75"/>
      <c r="B44" s="79"/>
      <c r="C44" s="79"/>
      <c r="D44" s="82"/>
      <c r="E44" s="82"/>
      <c r="F44" s="79"/>
      <c r="G44" s="78">
        <f>IF($B44="","",IF($F44="","",IFERROR(IF(INDEX('PEOPLE + BUDGETS'!$C$6:$C$105,MATCH($F44,'PEOPLE + BUDGETS'!$B$6:$B$105,0))="","",INDEX('PEOPLE + BUDGETS'!$C$6:$C$105,MATCH($F44,'PEOPLE + BUDGETS'!$B$6:$B$105,0))),"")))</f>
      </c>
      <c r="H44" s="80"/>
      <c r="I44" s="86"/>
      <c r="J44" s="80"/>
      <c r="K44" s="79"/>
      <c r="L44" s="82"/>
      <c r="M44" s="78">
        <f>IF($B44="","",IF(OR($K44="Arrived",$L44&lt;&gt;""),"Yes","No"))</f>
      </c>
      <c r="N44" s="79"/>
      <c r="O44" s="82"/>
      <c r="P44" s="86"/>
      <c r="Q44" s="79"/>
      <c r="R44" s="78">
        <f>IF($B44="","",IF(OR($K44="Cancelled",$K44="Returned"),"CLOSED",IF($M44="Yes","ARRIVED",IF($E44="","MISSING DATE",IF($E44&lt;TODAY(),"LATE",IF(AND($J44="",$E44-TODAY()&lt;=Set_ShipWindow),"NO TRACKING","ON TRACK"))))))</f>
      </c>
      <c r="S44" s="78">
        <f>IF($B44="","",IF($O44="","—",IF($O44&lt;TODAY(),"CLOSED",IF($O44-TODAY()&lt;=7,"CLOSING SOON","OPEN"))))</f>
      </c>
      <c r="T44" s="80"/>
      <c r="U44" s="78">
        <f>IF($B44="",0,IF(COUNTIF('ONLINE ORDERS'!$B$6:$B$155,$B44)&gt;1,1,0))</f>
      </c>
      <c r="V44" s="78">
        <f>IF($F44="",0,IF(COUNTIF('PEOPLE + BUDGETS'!$B$6:$B$105,$F44)=0,1,0))</f>
      </c>
      <c r="W44" s="75"/>
    </row>
    <row r="45" ht="17" customHeight="1" spans="1:23" x14ac:dyDescent="0.25">
      <c r="A45" s="75"/>
      <c r="B45" s="79"/>
      <c r="C45" s="79"/>
      <c r="D45" s="82"/>
      <c r="E45" s="82"/>
      <c r="F45" s="79"/>
      <c r="G45" s="78">
        <f>IF($B45="","",IF($F45="","",IFERROR(IF(INDEX('PEOPLE + BUDGETS'!$C$6:$C$105,MATCH($F45,'PEOPLE + BUDGETS'!$B$6:$B$105,0))="","",INDEX('PEOPLE + BUDGETS'!$C$6:$C$105,MATCH($F45,'PEOPLE + BUDGETS'!$B$6:$B$105,0))),"")))</f>
      </c>
      <c r="H45" s="80"/>
      <c r="I45" s="86"/>
      <c r="J45" s="80"/>
      <c r="K45" s="79"/>
      <c r="L45" s="82"/>
      <c r="M45" s="78">
        <f>IF($B45="","",IF(OR($K45="Arrived",$L45&lt;&gt;""),"Yes","No"))</f>
      </c>
      <c r="N45" s="79"/>
      <c r="O45" s="82"/>
      <c r="P45" s="86"/>
      <c r="Q45" s="79"/>
      <c r="R45" s="78">
        <f>IF($B45="","",IF(OR($K45="Cancelled",$K45="Returned"),"CLOSED",IF($M45="Yes","ARRIVED",IF($E45="","MISSING DATE",IF($E45&lt;TODAY(),"LATE",IF(AND($J45="",$E45-TODAY()&lt;=Set_ShipWindow),"NO TRACKING","ON TRACK"))))))</f>
      </c>
      <c r="S45" s="78">
        <f>IF($B45="","",IF($O45="","—",IF($O45&lt;TODAY(),"CLOSED",IF($O45-TODAY()&lt;=7,"CLOSING SOON","OPEN"))))</f>
      </c>
      <c r="T45" s="80"/>
      <c r="U45" s="78">
        <f>IF($B45="",0,IF(COUNTIF('ONLINE ORDERS'!$B$6:$B$155,$B45)&gt;1,1,0))</f>
      </c>
      <c r="V45" s="78">
        <f>IF($F45="",0,IF(COUNTIF('PEOPLE + BUDGETS'!$B$6:$B$105,$F45)=0,1,0))</f>
      </c>
      <c r="W45" s="75"/>
    </row>
    <row r="46" ht="17" customHeight="1" spans="1:23" x14ac:dyDescent="0.25">
      <c r="A46" s="75"/>
      <c r="B46" s="79"/>
      <c r="C46" s="79"/>
      <c r="D46" s="82"/>
      <c r="E46" s="82"/>
      <c r="F46" s="79"/>
      <c r="G46" s="78">
        <f>IF($B46="","",IF($F46="","",IFERROR(IF(INDEX('PEOPLE + BUDGETS'!$C$6:$C$105,MATCH($F46,'PEOPLE + BUDGETS'!$B$6:$B$105,0))="","",INDEX('PEOPLE + BUDGETS'!$C$6:$C$105,MATCH($F46,'PEOPLE + BUDGETS'!$B$6:$B$105,0))),"")))</f>
      </c>
      <c r="H46" s="80"/>
      <c r="I46" s="86"/>
      <c r="J46" s="80"/>
      <c r="K46" s="79"/>
      <c r="L46" s="82"/>
      <c r="M46" s="78">
        <f>IF($B46="","",IF(OR($K46="Arrived",$L46&lt;&gt;""),"Yes","No"))</f>
      </c>
      <c r="N46" s="79"/>
      <c r="O46" s="82"/>
      <c r="P46" s="86"/>
      <c r="Q46" s="79"/>
      <c r="R46" s="78">
        <f>IF($B46="","",IF(OR($K46="Cancelled",$K46="Returned"),"CLOSED",IF($M46="Yes","ARRIVED",IF($E46="","MISSING DATE",IF($E46&lt;TODAY(),"LATE",IF(AND($J46="",$E46-TODAY()&lt;=Set_ShipWindow),"NO TRACKING","ON TRACK"))))))</f>
      </c>
      <c r="S46" s="78">
        <f>IF($B46="","",IF($O46="","—",IF($O46&lt;TODAY(),"CLOSED",IF($O46-TODAY()&lt;=7,"CLOSING SOON","OPEN"))))</f>
      </c>
      <c r="T46" s="80"/>
      <c r="U46" s="78">
        <f>IF($B46="",0,IF(COUNTIF('ONLINE ORDERS'!$B$6:$B$155,$B46)&gt;1,1,0))</f>
      </c>
      <c r="V46" s="78">
        <f>IF($F46="",0,IF(COUNTIF('PEOPLE + BUDGETS'!$B$6:$B$105,$F46)=0,1,0))</f>
      </c>
      <c r="W46" s="75"/>
    </row>
    <row r="47" ht="17" customHeight="1" spans="1:23" x14ac:dyDescent="0.25">
      <c r="A47" s="75"/>
      <c r="B47" s="79"/>
      <c r="C47" s="79"/>
      <c r="D47" s="82"/>
      <c r="E47" s="82"/>
      <c r="F47" s="79"/>
      <c r="G47" s="78">
        <f>IF($B47="","",IF($F47="","",IFERROR(IF(INDEX('PEOPLE + BUDGETS'!$C$6:$C$105,MATCH($F47,'PEOPLE + BUDGETS'!$B$6:$B$105,0))="","",INDEX('PEOPLE + BUDGETS'!$C$6:$C$105,MATCH($F47,'PEOPLE + BUDGETS'!$B$6:$B$105,0))),"")))</f>
      </c>
      <c r="H47" s="80"/>
      <c r="I47" s="86"/>
      <c r="J47" s="80"/>
      <c r="K47" s="79"/>
      <c r="L47" s="82"/>
      <c r="M47" s="78">
        <f>IF($B47="","",IF(OR($K47="Arrived",$L47&lt;&gt;""),"Yes","No"))</f>
      </c>
      <c r="N47" s="79"/>
      <c r="O47" s="82"/>
      <c r="P47" s="86"/>
      <c r="Q47" s="79"/>
      <c r="R47" s="78">
        <f>IF($B47="","",IF(OR($K47="Cancelled",$K47="Returned"),"CLOSED",IF($M47="Yes","ARRIVED",IF($E47="","MISSING DATE",IF($E47&lt;TODAY(),"LATE",IF(AND($J47="",$E47-TODAY()&lt;=Set_ShipWindow),"NO TRACKING","ON TRACK"))))))</f>
      </c>
      <c r="S47" s="78">
        <f>IF($B47="","",IF($O47="","—",IF($O47&lt;TODAY(),"CLOSED",IF($O47-TODAY()&lt;=7,"CLOSING SOON","OPEN"))))</f>
      </c>
      <c r="T47" s="80"/>
      <c r="U47" s="78">
        <f>IF($B47="",0,IF(COUNTIF('ONLINE ORDERS'!$B$6:$B$155,$B47)&gt;1,1,0))</f>
      </c>
      <c r="V47" s="78">
        <f>IF($F47="",0,IF(COUNTIF('PEOPLE + BUDGETS'!$B$6:$B$105,$F47)=0,1,0))</f>
      </c>
      <c r="W47" s="75"/>
    </row>
    <row r="48" ht="17" customHeight="1" spans="1:23" x14ac:dyDescent="0.25">
      <c r="A48" s="75"/>
      <c r="B48" s="79"/>
      <c r="C48" s="79"/>
      <c r="D48" s="82"/>
      <c r="E48" s="82"/>
      <c r="F48" s="79"/>
      <c r="G48" s="78">
        <f>IF($B48="","",IF($F48="","",IFERROR(IF(INDEX('PEOPLE + BUDGETS'!$C$6:$C$105,MATCH($F48,'PEOPLE + BUDGETS'!$B$6:$B$105,0))="","",INDEX('PEOPLE + BUDGETS'!$C$6:$C$105,MATCH($F48,'PEOPLE + BUDGETS'!$B$6:$B$105,0))),"")))</f>
      </c>
      <c r="H48" s="80"/>
      <c r="I48" s="86"/>
      <c r="J48" s="80"/>
      <c r="K48" s="79"/>
      <c r="L48" s="82"/>
      <c r="M48" s="78">
        <f>IF($B48="","",IF(OR($K48="Arrived",$L48&lt;&gt;""),"Yes","No"))</f>
      </c>
      <c r="N48" s="79"/>
      <c r="O48" s="82"/>
      <c r="P48" s="86"/>
      <c r="Q48" s="79"/>
      <c r="R48" s="78">
        <f>IF($B48="","",IF(OR($K48="Cancelled",$K48="Returned"),"CLOSED",IF($M48="Yes","ARRIVED",IF($E48="","MISSING DATE",IF($E48&lt;TODAY(),"LATE",IF(AND($J48="",$E48-TODAY()&lt;=Set_ShipWindow),"NO TRACKING","ON TRACK"))))))</f>
      </c>
      <c r="S48" s="78">
        <f>IF($B48="","",IF($O48="","—",IF($O48&lt;TODAY(),"CLOSED",IF($O48-TODAY()&lt;=7,"CLOSING SOON","OPEN"))))</f>
      </c>
      <c r="T48" s="80"/>
      <c r="U48" s="78">
        <f>IF($B48="",0,IF(COUNTIF('ONLINE ORDERS'!$B$6:$B$155,$B48)&gt;1,1,0))</f>
      </c>
      <c r="V48" s="78">
        <f>IF($F48="",0,IF(COUNTIF('PEOPLE + BUDGETS'!$B$6:$B$105,$F48)=0,1,0))</f>
      </c>
      <c r="W48" s="75"/>
    </row>
    <row r="49" ht="17" customHeight="1" spans="1:23" x14ac:dyDescent="0.25">
      <c r="A49" s="75"/>
      <c r="B49" s="79"/>
      <c r="C49" s="79"/>
      <c r="D49" s="82"/>
      <c r="E49" s="82"/>
      <c r="F49" s="79"/>
      <c r="G49" s="78">
        <f>IF($B49="","",IF($F49="","",IFERROR(IF(INDEX('PEOPLE + BUDGETS'!$C$6:$C$105,MATCH($F49,'PEOPLE + BUDGETS'!$B$6:$B$105,0))="","",INDEX('PEOPLE + BUDGETS'!$C$6:$C$105,MATCH($F49,'PEOPLE + BUDGETS'!$B$6:$B$105,0))),"")))</f>
      </c>
      <c r="H49" s="80"/>
      <c r="I49" s="86"/>
      <c r="J49" s="80"/>
      <c r="K49" s="79"/>
      <c r="L49" s="82"/>
      <c r="M49" s="78">
        <f>IF($B49="","",IF(OR($K49="Arrived",$L49&lt;&gt;""),"Yes","No"))</f>
      </c>
      <c r="N49" s="79"/>
      <c r="O49" s="82"/>
      <c r="P49" s="86"/>
      <c r="Q49" s="79"/>
      <c r="R49" s="78">
        <f>IF($B49="","",IF(OR($K49="Cancelled",$K49="Returned"),"CLOSED",IF($M49="Yes","ARRIVED",IF($E49="","MISSING DATE",IF($E49&lt;TODAY(),"LATE",IF(AND($J49="",$E49-TODAY()&lt;=Set_ShipWindow),"NO TRACKING","ON TRACK"))))))</f>
      </c>
      <c r="S49" s="78">
        <f>IF($B49="","",IF($O49="","—",IF($O49&lt;TODAY(),"CLOSED",IF($O49-TODAY()&lt;=7,"CLOSING SOON","OPEN"))))</f>
      </c>
      <c r="T49" s="80"/>
      <c r="U49" s="78">
        <f>IF($B49="",0,IF(COUNTIF('ONLINE ORDERS'!$B$6:$B$155,$B49)&gt;1,1,0))</f>
      </c>
      <c r="V49" s="78">
        <f>IF($F49="",0,IF(COUNTIF('PEOPLE + BUDGETS'!$B$6:$B$105,$F49)=0,1,0))</f>
      </c>
      <c r="W49" s="75"/>
    </row>
    <row r="50" ht="17" customHeight="1" spans="1:23" x14ac:dyDescent="0.25">
      <c r="A50" s="75"/>
      <c r="B50" s="79"/>
      <c r="C50" s="79"/>
      <c r="D50" s="82"/>
      <c r="E50" s="82"/>
      <c r="F50" s="79"/>
      <c r="G50" s="78">
        <f>IF($B50="","",IF($F50="","",IFERROR(IF(INDEX('PEOPLE + BUDGETS'!$C$6:$C$105,MATCH($F50,'PEOPLE + BUDGETS'!$B$6:$B$105,0))="","",INDEX('PEOPLE + BUDGETS'!$C$6:$C$105,MATCH($F50,'PEOPLE + BUDGETS'!$B$6:$B$105,0))),"")))</f>
      </c>
      <c r="H50" s="80"/>
      <c r="I50" s="86"/>
      <c r="J50" s="80"/>
      <c r="K50" s="79"/>
      <c r="L50" s="82"/>
      <c r="M50" s="78">
        <f>IF($B50="","",IF(OR($K50="Arrived",$L50&lt;&gt;""),"Yes","No"))</f>
      </c>
      <c r="N50" s="79"/>
      <c r="O50" s="82"/>
      <c r="P50" s="86"/>
      <c r="Q50" s="79"/>
      <c r="R50" s="78">
        <f>IF($B50="","",IF(OR($K50="Cancelled",$K50="Returned"),"CLOSED",IF($M50="Yes","ARRIVED",IF($E50="","MISSING DATE",IF($E50&lt;TODAY(),"LATE",IF(AND($J50="",$E50-TODAY()&lt;=Set_ShipWindow),"NO TRACKING","ON TRACK"))))))</f>
      </c>
      <c r="S50" s="78">
        <f>IF($B50="","",IF($O50="","—",IF($O50&lt;TODAY(),"CLOSED",IF($O50-TODAY()&lt;=7,"CLOSING SOON","OPEN"))))</f>
      </c>
      <c r="T50" s="80"/>
      <c r="U50" s="78">
        <f>IF($B50="",0,IF(COUNTIF('ONLINE ORDERS'!$B$6:$B$155,$B50)&gt;1,1,0))</f>
      </c>
      <c r="V50" s="78">
        <f>IF($F50="",0,IF(COUNTIF('PEOPLE + BUDGETS'!$B$6:$B$105,$F50)=0,1,0))</f>
      </c>
      <c r="W50" s="75"/>
    </row>
    <row r="51" ht="17" customHeight="1" spans="1:23" x14ac:dyDescent="0.25">
      <c r="A51" s="75"/>
      <c r="B51" s="79"/>
      <c r="C51" s="79"/>
      <c r="D51" s="82"/>
      <c r="E51" s="82"/>
      <c r="F51" s="79"/>
      <c r="G51" s="78">
        <f>IF($B51="","",IF($F51="","",IFERROR(IF(INDEX('PEOPLE + BUDGETS'!$C$6:$C$105,MATCH($F51,'PEOPLE + BUDGETS'!$B$6:$B$105,0))="","",INDEX('PEOPLE + BUDGETS'!$C$6:$C$105,MATCH($F51,'PEOPLE + BUDGETS'!$B$6:$B$105,0))),"")))</f>
      </c>
      <c r="H51" s="80"/>
      <c r="I51" s="86"/>
      <c r="J51" s="80"/>
      <c r="K51" s="79"/>
      <c r="L51" s="82"/>
      <c r="M51" s="78">
        <f>IF($B51="","",IF(OR($K51="Arrived",$L51&lt;&gt;""),"Yes","No"))</f>
      </c>
      <c r="N51" s="79"/>
      <c r="O51" s="82"/>
      <c r="P51" s="86"/>
      <c r="Q51" s="79"/>
      <c r="R51" s="78">
        <f>IF($B51="","",IF(OR($K51="Cancelled",$K51="Returned"),"CLOSED",IF($M51="Yes","ARRIVED",IF($E51="","MISSING DATE",IF($E51&lt;TODAY(),"LATE",IF(AND($J51="",$E51-TODAY()&lt;=Set_ShipWindow),"NO TRACKING","ON TRACK"))))))</f>
      </c>
      <c r="S51" s="78">
        <f>IF($B51="","",IF($O51="","—",IF($O51&lt;TODAY(),"CLOSED",IF($O51-TODAY()&lt;=7,"CLOSING SOON","OPEN"))))</f>
      </c>
      <c r="T51" s="80"/>
      <c r="U51" s="78">
        <f>IF($B51="",0,IF(COUNTIF('ONLINE ORDERS'!$B$6:$B$155,$B51)&gt;1,1,0))</f>
      </c>
      <c r="V51" s="78">
        <f>IF($F51="",0,IF(COUNTIF('PEOPLE + BUDGETS'!$B$6:$B$105,$F51)=0,1,0))</f>
      </c>
      <c r="W51" s="75"/>
    </row>
    <row r="52" ht="17" customHeight="1" spans="1:23" x14ac:dyDescent="0.25">
      <c r="A52" s="75"/>
      <c r="B52" s="79"/>
      <c r="C52" s="79"/>
      <c r="D52" s="82"/>
      <c r="E52" s="82"/>
      <c r="F52" s="79"/>
      <c r="G52" s="78">
        <f>IF($B52="","",IF($F52="","",IFERROR(IF(INDEX('PEOPLE + BUDGETS'!$C$6:$C$105,MATCH($F52,'PEOPLE + BUDGETS'!$B$6:$B$105,0))="","",INDEX('PEOPLE + BUDGETS'!$C$6:$C$105,MATCH($F52,'PEOPLE + BUDGETS'!$B$6:$B$105,0))),"")))</f>
      </c>
      <c r="H52" s="80"/>
      <c r="I52" s="86"/>
      <c r="J52" s="80"/>
      <c r="K52" s="79"/>
      <c r="L52" s="82"/>
      <c r="M52" s="78">
        <f>IF($B52="","",IF(OR($K52="Arrived",$L52&lt;&gt;""),"Yes","No"))</f>
      </c>
      <c r="N52" s="79"/>
      <c r="O52" s="82"/>
      <c r="P52" s="86"/>
      <c r="Q52" s="79"/>
      <c r="R52" s="78">
        <f>IF($B52="","",IF(OR($K52="Cancelled",$K52="Returned"),"CLOSED",IF($M52="Yes","ARRIVED",IF($E52="","MISSING DATE",IF($E52&lt;TODAY(),"LATE",IF(AND($J52="",$E52-TODAY()&lt;=Set_ShipWindow),"NO TRACKING","ON TRACK"))))))</f>
      </c>
      <c r="S52" s="78">
        <f>IF($B52="","",IF($O52="","—",IF($O52&lt;TODAY(),"CLOSED",IF($O52-TODAY()&lt;=7,"CLOSING SOON","OPEN"))))</f>
      </c>
      <c r="T52" s="80"/>
      <c r="U52" s="78">
        <f>IF($B52="",0,IF(COUNTIF('ONLINE ORDERS'!$B$6:$B$155,$B52)&gt;1,1,0))</f>
      </c>
      <c r="V52" s="78">
        <f>IF($F52="",0,IF(COUNTIF('PEOPLE + BUDGETS'!$B$6:$B$105,$F52)=0,1,0))</f>
      </c>
      <c r="W52" s="75"/>
    </row>
    <row r="53" ht="17" customHeight="1" spans="1:23" x14ac:dyDescent="0.25">
      <c r="A53" s="75"/>
      <c r="B53" s="79"/>
      <c r="C53" s="79"/>
      <c r="D53" s="82"/>
      <c r="E53" s="82"/>
      <c r="F53" s="79"/>
      <c r="G53" s="78">
        <f>IF($B53="","",IF($F53="","",IFERROR(IF(INDEX('PEOPLE + BUDGETS'!$C$6:$C$105,MATCH($F53,'PEOPLE + BUDGETS'!$B$6:$B$105,0))="","",INDEX('PEOPLE + BUDGETS'!$C$6:$C$105,MATCH($F53,'PEOPLE + BUDGETS'!$B$6:$B$105,0))),"")))</f>
      </c>
      <c r="H53" s="80"/>
      <c r="I53" s="86"/>
      <c r="J53" s="80"/>
      <c r="K53" s="79"/>
      <c r="L53" s="82"/>
      <c r="M53" s="78">
        <f>IF($B53="","",IF(OR($K53="Arrived",$L53&lt;&gt;""),"Yes","No"))</f>
      </c>
      <c r="N53" s="79"/>
      <c r="O53" s="82"/>
      <c r="P53" s="86"/>
      <c r="Q53" s="79"/>
      <c r="R53" s="78">
        <f>IF($B53="","",IF(OR($K53="Cancelled",$K53="Returned"),"CLOSED",IF($M53="Yes","ARRIVED",IF($E53="","MISSING DATE",IF($E53&lt;TODAY(),"LATE",IF(AND($J53="",$E53-TODAY()&lt;=Set_ShipWindow),"NO TRACKING","ON TRACK"))))))</f>
      </c>
      <c r="S53" s="78">
        <f>IF($B53="","",IF($O53="","—",IF($O53&lt;TODAY(),"CLOSED",IF($O53-TODAY()&lt;=7,"CLOSING SOON","OPEN"))))</f>
      </c>
      <c r="T53" s="80"/>
      <c r="U53" s="78">
        <f>IF($B53="",0,IF(COUNTIF('ONLINE ORDERS'!$B$6:$B$155,$B53)&gt;1,1,0))</f>
      </c>
      <c r="V53" s="78">
        <f>IF($F53="",0,IF(COUNTIF('PEOPLE + BUDGETS'!$B$6:$B$105,$F53)=0,1,0))</f>
      </c>
      <c r="W53" s="75"/>
    </row>
    <row r="54" ht="17" customHeight="1" spans="1:23" x14ac:dyDescent="0.25">
      <c r="A54" s="75"/>
      <c r="B54" s="79"/>
      <c r="C54" s="79"/>
      <c r="D54" s="82"/>
      <c r="E54" s="82"/>
      <c r="F54" s="79"/>
      <c r="G54" s="78">
        <f>IF($B54="","",IF($F54="","",IFERROR(IF(INDEX('PEOPLE + BUDGETS'!$C$6:$C$105,MATCH($F54,'PEOPLE + BUDGETS'!$B$6:$B$105,0))="","",INDEX('PEOPLE + BUDGETS'!$C$6:$C$105,MATCH($F54,'PEOPLE + BUDGETS'!$B$6:$B$105,0))),"")))</f>
      </c>
      <c r="H54" s="80"/>
      <c r="I54" s="86"/>
      <c r="J54" s="80"/>
      <c r="K54" s="79"/>
      <c r="L54" s="82"/>
      <c r="M54" s="78">
        <f>IF($B54="","",IF(OR($K54="Arrived",$L54&lt;&gt;""),"Yes","No"))</f>
      </c>
      <c r="N54" s="79"/>
      <c r="O54" s="82"/>
      <c r="P54" s="86"/>
      <c r="Q54" s="79"/>
      <c r="R54" s="78">
        <f>IF($B54="","",IF(OR($K54="Cancelled",$K54="Returned"),"CLOSED",IF($M54="Yes","ARRIVED",IF($E54="","MISSING DATE",IF($E54&lt;TODAY(),"LATE",IF(AND($J54="",$E54-TODAY()&lt;=Set_ShipWindow),"NO TRACKING","ON TRACK"))))))</f>
      </c>
      <c r="S54" s="78">
        <f>IF($B54="","",IF($O54="","—",IF($O54&lt;TODAY(),"CLOSED",IF($O54-TODAY()&lt;=7,"CLOSING SOON","OPEN"))))</f>
      </c>
      <c r="T54" s="80"/>
      <c r="U54" s="78">
        <f>IF($B54="",0,IF(COUNTIF('ONLINE ORDERS'!$B$6:$B$155,$B54)&gt;1,1,0))</f>
      </c>
      <c r="V54" s="78">
        <f>IF($F54="",0,IF(COUNTIF('PEOPLE + BUDGETS'!$B$6:$B$105,$F54)=0,1,0))</f>
      </c>
      <c r="W54" s="75"/>
    </row>
    <row r="55" ht="17" customHeight="1" spans="1:23" x14ac:dyDescent="0.25">
      <c r="A55" s="75"/>
      <c r="B55" s="79"/>
      <c r="C55" s="79"/>
      <c r="D55" s="82"/>
      <c r="E55" s="82"/>
      <c r="F55" s="79"/>
      <c r="G55" s="78">
        <f>IF($B55="","",IF($F55="","",IFERROR(IF(INDEX('PEOPLE + BUDGETS'!$C$6:$C$105,MATCH($F55,'PEOPLE + BUDGETS'!$B$6:$B$105,0))="","",INDEX('PEOPLE + BUDGETS'!$C$6:$C$105,MATCH($F55,'PEOPLE + BUDGETS'!$B$6:$B$105,0))),"")))</f>
      </c>
      <c r="H55" s="80"/>
      <c r="I55" s="86"/>
      <c r="J55" s="80"/>
      <c r="K55" s="79"/>
      <c r="L55" s="82"/>
      <c r="M55" s="78">
        <f>IF($B55="","",IF(OR($K55="Arrived",$L55&lt;&gt;""),"Yes","No"))</f>
      </c>
      <c r="N55" s="79"/>
      <c r="O55" s="82"/>
      <c r="P55" s="86"/>
      <c r="Q55" s="79"/>
      <c r="R55" s="78">
        <f>IF($B55="","",IF(OR($K55="Cancelled",$K55="Returned"),"CLOSED",IF($M55="Yes","ARRIVED",IF($E55="","MISSING DATE",IF($E55&lt;TODAY(),"LATE",IF(AND($J55="",$E55-TODAY()&lt;=Set_ShipWindow),"NO TRACKING","ON TRACK"))))))</f>
      </c>
      <c r="S55" s="78">
        <f>IF($B55="","",IF($O55="","—",IF($O55&lt;TODAY(),"CLOSED",IF($O55-TODAY()&lt;=7,"CLOSING SOON","OPEN"))))</f>
      </c>
      <c r="T55" s="80"/>
      <c r="U55" s="78">
        <f>IF($B55="",0,IF(COUNTIF('ONLINE ORDERS'!$B$6:$B$155,$B55)&gt;1,1,0))</f>
      </c>
      <c r="V55" s="78">
        <f>IF($F55="",0,IF(COUNTIF('PEOPLE + BUDGETS'!$B$6:$B$105,$F55)=0,1,0))</f>
      </c>
      <c r="W55" s="75"/>
    </row>
    <row r="56" ht="17" customHeight="1" spans="1:23" x14ac:dyDescent="0.25">
      <c r="A56" s="75"/>
      <c r="B56" s="79"/>
      <c r="C56" s="79"/>
      <c r="D56" s="82"/>
      <c r="E56" s="82"/>
      <c r="F56" s="79"/>
      <c r="G56" s="78">
        <f>IF($B56="","",IF($F56="","",IFERROR(IF(INDEX('PEOPLE + BUDGETS'!$C$6:$C$105,MATCH($F56,'PEOPLE + BUDGETS'!$B$6:$B$105,0))="","",INDEX('PEOPLE + BUDGETS'!$C$6:$C$105,MATCH($F56,'PEOPLE + BUDGETS'!$B$6:$B$105,0))),"")))</f>
      </c>
      <c r="H56" s="80"/>
      <c r="I56" s="86"/>
      <c r="J56" s="80"/>
      <c r="K56" s="79"/>
      <c r="L56" s="82"/>
      <c r="M56" s="78">
        <f>IF($B56="","",IF(OR($K56="Arrived",$L56&lt;&gt;""),"Yes","No"))</f>
      </c>
      <c r="N56" s="79"/>
      <c r="O56" s="82"/>
      <c r="P56" s="86"/>
      <c r="Q56" s="79"/>
      <c r="R56" s="78">
        <f>IF($B56="","",IF(OR($K56="Cancelled",$K56="Returned"),"CLOSED",IF($M56="Yes","ARRIVED",IF($E56="","MISSING DATE",IF($E56&lt;TODAY(),"LATE",IF(AND($J56="",$E56-TODAY()&lt;=Set_ShipWindow),"NO TRACKING","ON TRACK"))))))</f>
      </c>
      <c r="S56" s="78">
        <f>IF($B56="","",IF($O56="","—",IF($O56&lt;TODAY(),"CLOSED",IF($O56-TODAY()&lt;=7,"CLOSING SOON","OPEN"))))</f>
      </c>
      <c r="T56" s="80"/>
      <c r="U56" s="78">
        <f>IF($B56="",0,IF(COUNTIF('ONLINE ORDERS'!$B$6:$B$155,$B56)&gt;1,1,0))</f>
      </c>
      <c r="V56" s="78">
        <f>IF($F56="",0,IF(COUNTIF('PEOPLE + BUDGETS'!$B$6:$B$105,$F56)=0,1,0))</f>
      </c>
      <c r="W56" s="75"/>
    </row>
    <row r="57" ht="17" customHeight="1" spans="1:23" x14ac:dyDescent="0.25">
      <c r="A57" s="75"/>
      <c r="B57" s="79"/>
      <c r="C57" s="79"/>
      <c r="D57" s="82"/>
      <c r="E57" s="82"/>
      <c r="F57" s="79"/>
      <c r="G57" s="78">
        <f>IF($B57="","",IF($F57="","",IFERROR(IF(INDEX('PEOPLE + BUDGETS'!$C$6:$C$105,MATCH($F57,'PEOPLE + BUDGETS'!$B$6:$B$105,0))="","",INDEX('PEOPLE + BUDGETS'!$C$6:$C$105,MATCH($F57,'PEOPLE + BUDGETS'!$B$6:$B$105,0))),"")))</f>
      </c>
      <c r="H57" s="80"/>
      <c r="I57" s="86"/>
      <c r="J57" s="80"/>
      <c r="K57" s="79"/>
      <c r="L57" s="82"/>
      <c r="M57" s="78">
        <f>IF($B57="","",IF(OR($K57="Arrived",$L57&lt;&gt;""),"Yes","No"))</f>
      </c>
      <c r="N57" s="79"/>
      <c r="O57" s="82"/>
      <c r="P57" s="86"/>
      <c r="Q57" s="79"/>
      <c r="R57" s="78">
        <f>IF($B57="","",IF(OR($K57="Cancelled",$K57="Returned"),"CLOSED",IF($M57="Yes","ARRIVED",IF($E57="","MISSING DATE",IF($E57&lt;TODAY(),"LATE",IF(AND($J57="",$E57-TODAY()&lt;=Set_ShipWindow),"NO TRACKING","ON TRACK"))))))</f>
      </c>
      <c r="S57" s="78">
        <f>IF($B57="","",IF($O57="","—",IF($O57&lt;TODAY(),"CLOSED",IF($O57-TODAY()&lt;=7,"CLOSING SOON","OPEN"))))</f>
      </c>
      <c r="T57" s="80"/>
      <c r="U57" s="78">
        <f>IF($B57="",0,IF(COUNTIF('ONLINE ORDERS'!$B$6:$B$155,$B57)&gt;1,1,0))</f>
      </c>
      <c r="V57" s="78">
        <f>IF($F57="",0,IF(COUNTIF('PEOPLE + BUDGETS'!$B$6:$B$105,$F57)=0,1,0))</f>
      </c>
      <c r="W57" s="75"/>
    </row>
    <row r="58" ht="17" customHeight="1" spans="1:23" x14ac:dyDescent="0.25">
      <c r="A58" s="75"/>
      <c r="B58" s="79"/>
      <c r="C58" s="79"/>
      <c r="D58" s="82"/>
      <c r="E58" s="82"/>
      <c r="F58" s="79"/>
      <c r="G58" s="78">
        <f>IF($B58="","",IF($F58="","",IFERROR(IF(INDEX('PEOPLE + BUDGETS'!$C$6:$C$105,MATCH($F58,'PEOPLE + BUDGETS'!$B$6:$B$105,0))="","",INDEX('PEOPLE + BUDGETS'!$C$6:$C$105,MATCH($F58,'PEOPLE + BUDGETS'!$B$6:$B$105,0))),"")))</f>
      </c>
      <c r="H58" s="80"/>
      <c r="I58" s="86"/>
      <c r="J58" s="80"/>
      <c r="K58" s="79"/>
      <c r="L58" s="82"/>
      <c r="M58" s="78">
        <f>IF($B58="","",IF(OR($K58="Arrived",$L58&lt;&gt;""),"Yes","No"))</f>
      </c>
      <c r="N58" s="79"/>
      <c r="O58" s="82"/>
      <c r="P58" s="86"/>
      <c r="Q58" s="79"/>
      <c r="R58" s="78">
        <f>IF($B58="","",IF(OR($K58="Cancelled",$K58="Returned"),"CLOSED",IF($M58="Yes","ARRIVED",IF($E58="","MISSING DATE",IF($E58&lt;TODAY(),"LATE",IF(AND($J58="",$E58-TODAY()&lt;=Set_ShipWindow),"NO TRACKING","ON TRACK"))))))</f>
      </c>
      <c r="S58" s="78">
        <f>IF($B58="","",IF($O58="","—",IF($O58&lt;TODAY(),"CLOSED",IF($O58-TODAY()&lt;=7,"CLOSING SOON","OPEN"))))</f>
      </c>
      <c r="T58" s="80"/>
      <c r="U58" s="78">
        <f>IF($B58="",0,IF(COUNTIF('ONLINE ORDERS'!$B$6:$B$155,$B58)&gt;1,1,0))</f>
      </c>
      <c r="V58" s="78">
        <f>IF($F58="",0,IF(COUNTIF('PEOPLE + BUDGETS'!$B$6:$B$105,$F58)=0,1,0))</f>
      </c>
      <c r="W58" s="75"/>
    </row>
    <row r="59" ht="17" customHeight="1" spans="1:23" x14ac:dyDescent="0.25">
      <c r="A59" s="75"/>
      <c r="B59" s="79"/>
      <c r="C59" s="79"/>
      <c r="D59" s="82"/>
      <c r="E59" s="82"/>
      <c r="F59" s="79"/>
      <c r="G59" s="78">
        <f>IF($B59="","",IF($F59="","",IFERROR(IF(INDEX('PEOPLE + BUDGETS'!$C$6:$C$105,MATCH($F59,'PEOPLE + BUDGETS'!$B$6:$B$105,0))="","",INDEX('PEOPLE + BUDGETS'!$C$6:$C$105,MATCH($F59,'PEOPLE + BUDGETS'!$B$6:$B$105,0))),"")))</f>
      </c>
      <c r="H59" s="80"/>
      <c r="I59" s="86"/>
      <c r="J59" s="80"/>
      <c r="K59" s="79"/>
      <c r="L59" s="82"/>
      <c r="M59" s="78">
        <f>IF($B59="","",IF(OR($K59="Arrived",$L59&lt;&gt;""),"Yes","No"))</f>
      </c>
      <c r="N59" s="79"/>
      <c r="O59" s="82"/>
      <c r="P59" s="86"/>
      <c r="Q59" s="79"/>
      <c r="R59" s="78">
        <f>IF($B59="","",IF(OR($K59="Cancelled",$K59="Returned"),"CLOSED",IF($M59="Yes","ARRIVED",IF($E59="","MISSING DATE",IF($E59&lt;TODAY(),"LATE",IF(AND($J59="",$E59-TODAY()&lt;=Set_ShipWindow),"NO TRACKING","ON TRACK"))))))</f>
      </c>
      <c r="S59" s="78">
        <f>IF($B59="","",IF($O59="","—",IF($O59&lt;TODAY(),"CLOSED",IF($O59-TODAY()&lt;=7,"CLOSING SOON","OPEN"))))</f>
      </c>
      <c r="T59" s="80"/>
      <c r="U59" s="78">
        <f>IF($B59="",0,IF(COUNTIF('ONLINE ORDERS'!$B$6:$B$155,$B59)&gt;1,1,0))</f>
      </c>
      <c r="V59" s="78">
        <f>IF($F59="",0,IF(COUNTIF('PEOPLE + BUDGETS'!$B$6:$B$105,$F59)=0,1,0))</f>
      </c>
      <c r="W59" s="75"/>
    </row>
    <row r="60" ht="17" customHeight="1" spans="1:23" x14ac:dyDescent="0.25">
      <c r="A60" s="75"/>
      <c r="B60" s="79"/>
      <c r="C60" s="79"/>
      <c r="D60" s="82"/>
      <c r="E60" s="82"/>
      <c r="F60" s="79"/>
      <c r="G60" s="78">
        <f>IF($B60="","",IF($F60="","",IFERROR(IF(INDEX('PEOPLE + BUDGETS'!$C$6:$C$105,MATCH($F60,'PEOPLE + BUDGETS'!$B$6:$B$105,0))="","",INDEX('PEOPLE + BUDGETS'!$C$6:$C$105,MATCH($F60,'PEOPLE + BUDGETS'!$B$6:$B$105,0))),"")))</f>
      </c>
      <c r="H60" s="80"/>
      <c r="I60" s="86"/>
      <c r="J60" s="80"/>
      <c r="K60" s="79"/>
      <c r="L60" s="82"/>
      <c r="M60" s="78">
        <f>IF($B60="","",IF(OR($K60="Arrived",$L60&lt;&gt;""),"Yes","No"))</f>
      </c>
      <c r="N60" s="79"/>
      <c r="O60" s="82"/>
      <c r="P60" s="86"/>
      <c r="Q60" s="79"/>
      <c r="R60" s="78">
        <f>IF($B60="","",IF(OR($K60="Cancelled",$K60="Returned"),"CLOSED",IF($M60="Yes","ARRIVED",IF($E60="","MISSING DATE",IF($E60&lt;TODAY(),"LATE",IF(AND($J60="",$E60-TODAY()&lt;=Set_ShipWindow),"NO TRACKING","ON TRACK"))))))</f>
      </c>
      <c r="S60" s="78">
        <f>IF($B60="","",IF($O60="","—",IF($O60&lt;TODAY(),"CLOSED",IF($O60-TODAY()&lt;=7,"CLOSING SOON","OPEN"))))</f>
      </c>
      <c r="T60" s="80"/>
      <c r="U60" s="78">
        <f>IF($B60="",0,IF(COUNTIF('ONLINE ORDERS'!$B$6:$B$155,$B60)&gt;1,1,0))</f>
      </c>
      <c r="V60" s="78">
        <f>IF($F60="",0,IF(COUNTIF('PEOPLE + BUDGETS'!$B$6:$B$105,$F60)=0,1,0))</f>
      </c>
      <c r="W60" s="75"/>
    </row>
    <row r="61" ht="17" customHeight="1" spans="1:23" x14ac:dyDescent="0.25">
      <c r="A61" s="75"/>
      <c r="B61" s="79"/>
      <c r="C61" s="79"/>
      <c r="D61" s="82"/>
      <c r="E61" s="82"/>
      <c r="F61" s="79"/>
      <c r="G61" s="78">
        <f>IF($B61="","",IF($F61="","",IFERROR(IF(INDEX('PEOPLE + BUDGETS'!$C$6:$C$105,MATCH($F61,'PEOPLE + BUDGETS'!$B$6:$B$105,0))="","",INDEX('PEOPLE + BUDGETS'!$C$6:$C$105,MATCH($F61,'PEOPLE + BUDGETS'!$B$6:$B$105,0))),"")))</f>
      </c>
      <c r="H61" s="80"/>
      <c r="I61" s="86"/>
      <c r="J61" s="80"/>
      <c r="K61" s="79"/>
      <c r="L61" s="82"/>
      <c r="M61" s="78">
        <f>IF($B61="","",IF(OR($K61="Arrived",$L61&lt;&gt;""),"Yes","No"))</f>
      </c>
      <c r="N61" s="79"/>
      <c r="O61" s="82"/>
      <c r="P61" s="86"/>
      <c r="Q61" s="79"/>
      <c r="R61" s="78">
        <f>IF($B61="","",IF(OR($K61="Cancelled",$K61="Returned"),"CLOSED",IF($M61="Yes","ARRIVED",IF($E61="","MISSING DATE",IF($E61&lt;TODAY(),"LATE",IF(AND($J61="",$E61-TODAY()&lt;=Set_ShipWindow),"NO TRACKING","ON TRACK"))))))</f>
      </c>
      <c r="S61" s="78">
        <f>IF($B61="","",IF($O61="","—",IF($O61&lt;TODAY(),"CLOSED",IF($O61-TODAY()&lt;=7,"CLOSING SOON","OPEN"))))</f>
      </c>
      <c r="T61" s="80"/>
      <c r="U61" s="78">
        <f>IF($B61="",0,IF(COUNTIF('ONLINE ORDERS'!$B$6:$B$155,$B61)&gt;1,1,0))</f>
      </c>
      <c r="V61" s="78">
        <f>IF($F61="",0,IF(COUNTIF('PEOPLE + BUDGETS'!$B$6:$B$105,$F61)=0,1,0))</f>
      </c>
      <c r="W61" s="75"/>
    </row>
    <row r="62" ht="17" customHeight="1" spans="1:23" x14ac:dyDescent="0.25">
      <c r="A62" s="75"/>
      <c r="B62" s="79"/>
      <c r="C62" s="79"/>
      <c r="D62" s="82"/>
      <c r="E62" s="82"/>
      <c r="F62" s="79"/>
      <c r="G62" s="78">
        <f>IF($B62="","",IF($F62="","",IFERROR(IF(INDEX('PEOPLE + BUDGETS'!$C$6:$C$105,MATCH($F62,'PEOPLE + BUDGETS'!$B$6:$B$105,0))="","",INDEX('PEOPLE + BUDGETS'!$C$6:$C$105,MATCH($F62,'PEOPLE + BUDGETS'!$B$6:$B$105,0))),"")))</f>
      </c>
      <c r="H62" s="80"/>
      <c r="I62" s="86"/>
      <c r="J62" s="80"/>
      <c r="K62" s="79"/>
      <c r="L62" s="82"/>
      <c r="M62" s="78">
        <f>IF($B62="","",IF(OR($K62="Arrived",$L62&lt;&gt;""),"Yes","No"))</f>
      </c>
      <c r="N62" s="79"/>
      <c r="O62" s="82"/>
      <c r="P62" s="86"/>
      <c r="Q62" s="79"/>
      <c r="R62" s="78">
        <f>IF($B62="","",IF(OR($K62="Cancelled",$K62="Returned"),"CLOSED",IF($M62="Yes","ARRIVED",IF($E62="","MISSING DATE",IF($E62&lt;TODAY(),"LATE",IF(AND($J62="",$E62-TODAY()&lt;=Set_ShipWindow),"NO TRACKING","ON TRACK"))))))</f>
      </c>
      <c r="S62" s="78">
        <f>IF($B62="","",IF($O62="","—",IF($O62&lt;TODAY(),"CLOSED",IF($O62-TODAY()&lt;=7,"CLOSING SOON","OPEN"))))</f>
      </c>
      <c r="T62" s="80"/>
      <c r="U62" s="78">
        <f>IF($B62="",0,IF(COUNTIF('ONLINE ORDERS'!$B$6:$B$155,$B62)&gt;1,1,0))</f>
      </c>
      <c r="V62" s="78">
        <f>IF($F62="",0,IF(COUNTIF('PEOPLE + BUDGETS'!$B$6:$B$105,$F62)=0,1,0))</f>
      </c>
      <c r="W62" s="75"/>
    </row>
    <row r="63" ht="17" customHeight="1" spans="1:23" x14ac:dyDescent="0.25">
      <c r="A63" s="75"/>
      <c r="B63" s="79"/>
      <c r="C63" s="79"/>
      <c r="D63" s="82"/>
      <c r="E63" s="82"/>
      <c r="F63" s="79"/>
      <c r="G63" s="78">
        <f>IF($B63="","",IF($F63="","",IFERROR(IF(INDEX('PEOPLE + BUDGETS'!$C$6:$C$105,MATCH($F63,'PEOPLE + BUDGETS'!$B$6:$B$105,0))="","",INDEX('PEOPLE + BUDGETS'!$C$6:$C$105,MATCH($F63,'PEOPLE + BUDGETS'!$B$6:$B$105,0))),"")))</f>
      </c>
      <c r="H63" s="80"/>
      <c r="I63" s="86"/>
      <c r="J63" s="80"/>
      <c r="K63" s="79"/>
      <c r="L63" s="82"/>
      <c r="M63" s="78">
        <f>IF($B63="","",IF(OR($K63="Arrived",$L63&lt;&gt;""),"Yes","No"))</f>
      </c>
      <c r="N63" s="79"/>
      <c r="O63" s="82"/>
      <c r="P63" s="86"/>
      <c r="Q63" s="79"/>
      <c r="R63" s="78">
        <f>IF($B63="","",IF(OR($K63="Cancelled",$K63="Returned"),"CLOSED",IF($M63="Yes","ARRIVED",IF($E63="","MISSING DATE",IF($E63&lt;TODAY(),"LATE",IF(AND($J63="",$E63-TODAY()&lt;=Set_ShipWindow),"NO TRACKING","ON TRACK"))))))</f>
      </c>
      <c r="S63" s="78">
        <f>IF($B63="","",IF($O63="","—",IF($O63&lt;TODAY(),"CLOSED",IF($O63-TODAY()&lt;=7,"CLOSING SOON","OPEN"))))</f>
      </c>
      <c r="T63" s="80"/>
      <c r="U63" s="78">
        <f>IF($B63="",0,IF(COUNTIF('ONLINE ORDERS'!$B$6:$B$155,$B63)&gt;1,1,0))</f>
      </c>
      <c r="V63" s="78">
        <f>IF($F63="",0,IF(COUNTIF('PEOPLE + BUDGETS'!$B$6:$B$105,$F63)=0,1,0))</f>
      </c>
      <c r="W63" s="75"/>
    </row>
    <row r="64" ht="17" customHeight="1" spans="1:23" x14ac:dyDescent="0.25">
      <c r="A64" s="75"/>
      <c r="B64" s="79"/>
      <c r="C64" s="79"/>
      <c r="D64" s="82"/>
      <c r="E64" s="82"/>
      <c r="F64" s="79"/>
      <c r="G64" s="78">
        <f>IF($B64="","",IF($F64="","",IFERROR(IF(INDEX('PEOPLE + BUDGETS'!$C$6:$C$105,MATCH($F64,'PEOPLE + BUDGETS'!$B$6:$B$105,0))="","",INDEX('PEOPLE + BUDGETS'!$C$6:$C$105,MATCH($F64,'PEOPLE + BUDGETS'!$B$6:$B$105,0))),"")))</f>
      </c>
      <c r="H64" s="80"/>
      <c r="I64" s="86"/>
      <c r="J64" s="80"/>
      <c r="K64" s="79"/>
      <c r="L64" s="82"/>
      <c r="M64" s="78">
        <f>IF($B64="","",IF(OR($K64="Arrived",$L64&lt;&gt;""),"Yes","No"))</f>
      </c>
      <c r="N64" s="79"/>
      <c r="O64" s="82"/>
      <c r="P64" s="86"/>
      <c r="Q64" s="79"/>
      <c r="R64" s="78">
        <f>IF($B64="","",IF(OR($K64="Cancelled",$K64="Returned"),"CLOSED",IF($M64="Yes","ARRIVED",IF($E64="","MISSING DATE",IF($E64&lt;TODAY(),"LATE",IF(AND($J64="",$E64-TODAY()&lt;=Set_ShipWindow),"NO TRACKING","ON TRACK"))))))</f>
      </c>
      <c r="S64" s="78">
        <f>IF($B64="","",IF($O64="","—",IF($O64&lt;TODAY(),"CLOSED",IF($O64-TODAY()&lt;=7,"CLOSING SOON","OPEN"))))</f>
      </c>
      <c r="T64" s="80"/>
      <c r="U64" s="78">
        <f>IF($B64="",0,IF(COUNTIF('ONLINE ORDERS'!$B$6:$B$155,$B64)&gt;1,1,0))</f>
      </c>
      <c r="V64" s="78">
        <f>IF($F64="",0,IF(COUNTIF('PEOPLE + BUDGETS'!$B$6:$B$105,$F64)=0,1,0))</f>
      </c>
      <c r="W64" s="75"/>
    </row>
    <row r="65" ht="17" customHeight="1" spans="1:23" x14ac:dyDescent="0.25">
      <c r="A65" s="75"/>
      <c r="B65" s="79"/>
      <c r="C65" s="79"/>
      <c r="D65" s="82"/>
      <c r="E65" s="82"/>
      <c r="F65" s="79"/>
      <c r="G65" s="78">
        <f>IF($B65="","",IF($F65="","",IFERROR(IF(INDEX('PEOPLE + BUDGETS'!$C$6:$C$105,MATCH($F65,'PEOPLE + BUDGETS'!$B$6:$B$105,0))="","",INDEX('PEOPLE + BUDGETS'!$C$6:$C$105,MATCH($F65,'PEOPLE + BUDGETS'!$B$6:$B$105,0))),"")))</f>
      </c>
      <c r="H65" s="80"/>
      <c r="I65" s="86"/>
      <c r="J65" s="80"/>
      <c r="K65" s="79"/>
      <c r="L65" s="82"/>
      <c r="M65" s="78">
        <f>IF($B65="","",IF(OR($K65="Arrived",$L65&lt;&gt;""),"Yes","No"))</f>
      </c>
      <c r="N65" s="79"/>
      <c r="O65" s="82"/>
      <c r="P65" s="86"/>
      <c r="Q65" s="79"/>
      <c r="R65" s="78">
        <f>IF($B65="","",IF(OR($K65="Cancelled",$K65="Returned"),"CLOSED",IF($M65="Yes","ARRIVED",IF($E65="","MISSING DATE",IF($E65&lt;TODAY(),"LATE",IF(AND($J65="",$E65-TODAY()&lt;=Set_ShipWindow),"NO TRACKING","ON TRACK"))))))</f>
      </c>
      <c r="S65" s="78">
        <f>IF($B65="","",IF($O65="","—",IF($O65&lt;TODAY(),"CLOSED",IF($O65-TODAY()&lt;=7,"CLOSING SOON","OPEN"))))</f>
      </c>
      <c r="T65" s="80"/>
      <c r="U65" s="78">
        <f>IF($B65="",0,IF(COUNTIF('ONLINE ORDERS'!$B$6:$B$155,$B65)&gt;1,1,0))</f>
      </c>
      <c r="V65" s="78">
        <f>IF($F65="",0,IF(COUNTIF('PEOPLE + BUDGETS'!$B$6:$B$105,$F65)=0,1,0))</f>
      </c>
      <c r="W65" s="75"/>
    </row>
    <row r="66" ht="17" customHeight="1" spans="1:23" x14ac:dyDescent="0.25">
      <c r="A66" s="75"/>
      <c r="B66" s="79"/>
      <c r="C66" s="79"/>
      <c r="D66" s="82"/>
      <c r="E66" s="82"/>
      <c r="F66" s="79"/>
      <c r="G66" s="78">
        <f>IF($B66="","",IF($F66="","",IFERROR(IF(INDEX('PEOPLE + BUDGETS'!$C$6:$C$105,MATCH($F66,'PEOPLE + BUDGETS'!$B$6:$B$105,0))="","",INDEX('PEOPLE + BUDGETS'!$C$6:$C$105,MATCH($F66,'PEOPLE + BUDGETS'!$B$6:$B$105,0))),"")))</f>
      </c>
      <c r="H66" s="80"/>
      <c r="I66" s="86"/>
      <c r="J66" s="80"/>
      <c r="K66" s="79"/>
      <c r="L66" s="82"/>
      <c r="M66" s="78">
        <f>IF($B66="","",IF(OR($K66="Arrived",$L66&lt;&gt;""),"Yes","No"))</f>
      </c>
      <c r="N66" s="79"/>
      <c r="O66" s="82"/>
      <c r="P66" s="86"/>
      <c r="Q66" s="79"/>
      <c r="R66" s="78">
        <f>IF($B66="","",IF(OR($K66="Cancelled",$K66="Returned"),"CLOSED",IF($M66="Yes","ARRIVED",IF($E66="","MISSING DATE",IF($E66&lt;TODAY(),"LATE",IF(AND($J66="",$E66-TODAY()&lt;=Set_ShipWindow),"NO TRACKING","ON TRACK"))))))</f>
      </c>
      <c r="S66" s="78">
        <f>IF($B66="","",IF($O66="","—",IF($O66&lt;TODAY(),"CLOSED",IF($O66-TODAY()&lt;=7,"CLOSING SOON","OPEN"))))</f>
      </c>
      <c r="T66" s="80"/>
      <c r="U66" s="78">
        <f>IF($B66="",0,IF(COUNTIF('ONLINE ORDERS'!$B$6:$B$155,$B66)&gt;1,1,0))</f>
      </c>
      <c r="V66" s="78">
        <f>IF($F66="",0,IF(COUNTIF('PEOPLE + BUDGETS'!$B$6:$B$105,$F66)=0,1,0))</f>
      </c>
      <c r="W66" s="75"/>
    </row>
    <row r="67" ht="17" customHeight="1" spans="1:23" x14ac:dyDescent="0.25">
      <c r="A67" s="75"/>
      <c r="B67" s="79"/>
      <c r="C67" s="79"/>
      <c r="D67" s="82"/>
      <c r="E67" s="82"/>
      <c r="F67" s="79"/>
      <c r="G67" s="78">
        <f>IF($B67="","",IF($F67="","",IFERROR(IF(INDEX('PEOPLE + BUDGETS'!$C$6:$C$105,MATCH($F67,'PEOPLE + BUDGETS'!$B$6:$B$105,0))="","",INDEX('PEOPLE + BUDGETS'!$C$6:$C$105,MATCH($F67,'PEOPLE + BUDGETS'!$B$6:$B$105,0))),"")))</f>
      </c>
      <c r="H67" s="80"/>
      <c r="I67" s="86"/>
      <c r="J67" s="80"/>
      <c r="K67" s="79"/>
      <c r="L67" s="82"/>
      <c r="M67" s="78">
        <f>IF($B67="","",IF(OR($K67="Arrived",$L67&lt;&gt;""),"Yes","No"))</f>
      </c>
      <c r="N67" s="79"/>
      <c r="O67" s="82"/>
      <c r="P67" s="86"/>
      <c r="Q67" s="79"/>
      <c r="R67" s="78">
        <f>IF($B67="","",IF(OR($K67="Cancelled",$K67="Returned"),"CLOSED",IF($M67="Yes","ARRIVED",IF($E67="","MISSING DATE",IF($E67&lt;TODAY(),"LATE",IF(AND($J67="",$E67-TODAY()&lt;=Set_ShipWindow),"NO TRACKING","ON TRACK"))))))</f>
      </c>
      <c r="S67" s="78">
        <f>IF($B67="","",IF($O67="","—",IF($O67&lt;TODAY(),"CLOSED",IF($O67-TODAY()&lt;=7,"CLOSING SOON","OPEN"))))</f>
      </c>
      <c r="T67" s="80"/>
      <c r="U67" s="78">
        <f>IF($B67="",0,IF(COUNTIF('ONLINE ORDERS'!$B$6:$B$155,$B67)&gt;1,1,0))</f>
      </c>
      <c r="V67" s="78">
        <f>IF($F67="",0,IF(COUNTIF('PEOPLE + BUDGETS'!$B$6:$B$105,$F67)=0,1,0))</f>
      </c>
      <c r="W67" s="75"/>
    </row>
    <row r="68" ht="17" customHeight="1" spans="1:23" x14ac:dyDescent="0.25">
      <c r="A68" s="75"/>
      <c r="B68" s="79"/>
      <c r="C68" s="79"/>
      <c r="D68" s="82"/>
      <c r="E68" s="82"/>
      <c r="F68" s="79"/>
      <c r="G68" s="78">
        <f>IF($B68="","",IF($F68="","",IFERROR(IF(INDEX('PEOPLE + BUDGETS'!$C$6:$C$105,MATCH($F68,'PEOPLE + BUDGETS'!$B$6:$B$105,0))="","",INDEX('PEOPLE + BUDGETS'!$C$6:$C$105,MATCH($F68,'PEOPLE + BUDGETS'!$B$6:$B$105,0))),"")))</f>
      </c>
      <c r="H68" s="80"/>
      <c r="I68" s="86"/>
      <c r="J68" s="80"/>
      <c r="K68" s="79"/>
      <c r="L68" s="82"/>
      <c r="M68" s="78">
        <f>IF($B68="","",IF(OR($K68="Arrived",$L68&lt;&gt;""),"Yes","No"))</f>
      </c>
      <c r="N68" s="79"/>
      <c r="O68" s="82"/>
      <c r="P68" s="86"/>
      <c r="Q68" s="79"/>
      <c r="R68" s="78">
        <f>IF($B68="","",IF(OR($K68="Cancelled",$K68="Returned"),"CLOSED",IF($M68="Yes","ARRIVED",IF($E68="","MISSING DATE",IF($E68&lt;TODAY(),"LATE",IF(AND($J68="",$E68-TODAY()&lt;=Set_ShipWindow),"NO TRACKING","ON TRACK"))))))</f>
      </c>
      <c r="S68" s="78">
        <f>IF($B68="","",IF($O68="","—",IF($O68&lt;TODAY(),"CLOSED",IF($O68-TODAY()&lt;=7,"CLOSING SOON","OPEN"))))</f>
      </c>
      <c r="T68" s="80"/>
      <c r="U68" s="78">
        <f>IF($B68="",0,IF(COUNTIF('ONLINE ORDERS'!$B$6:$B$155,$B68)&gt;1,1,0))</f>
      </c>
      <c r="V68" s="78">
        <f>IF($F68="",0,IF(COUNTIF('PEOPLE + BUDGETS'!$B$6:$B$105,$F68)=0,1,0))</f>
      </c>
      <c r="W68" s="75"/>
    </row>
    <row r="69" ht="17" customHeight="1" spans="1:23" x14ac:dyDescent="0.25">
      <c r="A69" s="75"/>
      <c r="B69" s="79"/>
      <c r="C69" s="79"/>
      <c r="D69" s="82"/>
      <c r="E69" s="82"/>
      <c r="F69" s="79"/>
      <c r="G69" s="78">
        <f>IF($B69="","",IF($F69="","",IFERROR(IF(INDEX('PEOPLE + BUDGETS'!$C$6:$C$105,MATCH($F69,'PEOPLE + BUDGETS'!$B$6:$B$105,0))="","",INDEX('PEOPLE + BUDGETS'!$C$6:$C$105,MATCH($F69,'PEOPLE + BUDGETS'!$B$6:$B$105,0))),"")))</f>
      </c>
      <c r="H69" s="80"/>
      <c r="I69" s="86"/>
      <c r="J69" s="80"/>
      <c r="K69" s="79"/>
      <c r="L69" s="82"/>
      <c r="M69" s="78">
        <f>IF($B69="","",IF(OR($K69="Arrived",$L69&lt;&gt;""),"Yes","No"))</f>
      </c>
      <c r="N69" s="79"/>
      <c r="O69" s="82"/>
      <c r="P69" s="86"/>
      <c r="Q69" s="79"/>
      <c r="R69" s="78">
        <f>IF($B69="","",IF(OR($K69="Cancelled",$K69="Returned"),"CLOSED",IF($M69="Yes","ARRIVED",IF($E69="","MISSING DATE",IF($E69&lt;TODAY(),"LATE",IF(AND($J69="",$E69-TODAY()&lt;=Set_ShipWindow),"NO TRACKING","ON TRACK"))))))</f>
      </c>
      <c r="S69" s="78">
        <f>IF($B69="","",IF($O69="","—",IF($O69&lt;TODAY(),"CLOSED",IF($O69-TODAY()&lt;=7,"CLOSING SOON","OPEN"))))</f>
      </c>
      <c r="T69" s="80"/>
      <c r="U69" s="78">
        <f>IF($B69="",0,IF(COUNTIF('ONLINE ORDERS'!$B$6:$B$155,$B69)&gt;1,1,0))</f>
      </c>
      <c r="V69" s="78">
        <f>IF($F69="",0,IF(COUNTIF('PEOPLE + BUDGETS'!$B$6:$B$105,$F69)=0,1,0))</f>
      </c>
      <c r="W69" s="75"/>
    </row>
    <row r="70" ht="17" customHeight="1" spans="1:23" x14ac:dyDescent="0.25">
      <c r="A70" s="75"/>
      <c r="B70" s="79"/>
      <c r="C70" s="79"/>
      <c r="D70" s="82"/>
      <c r="E70" s="82"/>
      <c r="F70" s="79"/>
      <c r="G70" s="78">
        <f>IF($B70="","",IF($F70="","",IFERROR(IF(INDEX('PEOPLE + BUDGETS'!$C$6:$C$105,MATCH($F70,'PEOPLE + BUDGETS'!$B$6:$B$105,0))="","",INDEX('PEOPLE + BUDGETS'!$C$6:$C$105,MATCH($F70,'PEOPLE + BUDGETS'!$B$6:$B$105,0))),"")))</f>
      </c>
      <c r="H70" s="80"/>
      <c r="I70" s="86"/>
      <c r="J70" s="80"/>
      <c r="K70" s="79"/>
      <c r="L70" s="82"/>
      <c r="M70" s="78">
        <f>IF($B70="","",IF(OR($K70="Arrived",$L70&lt;&gt;""),"Yes","No"))</f>
      </c>
      <c r="N70" s="79"/>
      <c r="O70" s="82"/>
      <c r="P70" s="86"/>
      <c r="Q70" s="79"/>
      <c r="R70" s="78">
        <f>IF($B70="","",IF(OR($K70="Cancelled",$K70="Returned"),"CLOSED",IF($M70="Yes","ARRIVED",IF($E70="","MISSING DATE",IF($E70&lt;TODAY(),"LATE",IF(AND($J70="",$E70-TODAY()&lt;=Set_ShipWindow),"NO TRACKING","ON TRACK"))))))</f>
      </c>
      <c r="S70" s="78">
        <f>IF($B70="","",IF($O70="","—",IF($O70&lt;TODAY(),"CLOSED",IF($O70-TODAY()&lt;=7,"CLOSING SOON","OPEN"))))</f>
      </c>
      <c r="T70" s="80"/>
      <c r="U70" s="78">
        <f>IF($B70="",0,IF(COUNTIF('ONLINE ORDERS'!$B$6:$B$155,$B70)&gt;1,1,0))</f>
      </c>
      <c r="V70" s="78">
        <f>IF($F70="",0,IF(COUNTIF('PEOPLE + BUDGETS'!$B$6:$B$105,$F70)=0,1,0))</f>
      </c>
      <c r="W70" s="75"/>
    </row>
    <row r="71" ht="17" customHeight="1" spans="1:23" x14ac:dyDescent="0.25">
      <c r="A71" s="75"/>
      <c r="B71" s="79"/>
      <c r="C71" s="79"/>
      <c r="D71" s="82"/>
      <c r="E71" s="82"/>
      <c r="F71" s="79"/>
      <c r="G71" s="78">
        <f>IF($B71="","",IF($F71="","",IFERROR(IF(INDEX('PEOPLE + BUDGETS'!$C$6:$C$105,MATCH($F71,'PEOPLE + BUDGETS'!$B$6:$B$105,0))="","",INDEX('PEOPLE + BUDGETS'!$C$6:$C$105,MATCH($F71,'PEOPLE + BUDGETS'!$B$6:$B$105,0))),"")))</f>
      </c>
      <c r="H71" s="80"/>
      <c r="I71" s="86"/>
      <c r="J71" s="80"/>
      <c r="K71" s="79"/>
      <c r="L71" s="82"/>
      <c r="M71" s="78">
        <f>IF($B71="","",IF(OR($K71="Arrived",$L71&lt;&gt;""),"Yes","No"))</f>
      </c>
      <c r="N71" s="79"/>
      <c r="O71" s="82"/>
      <c r="P71" s="86"/>
      <c r="Q71" s="79"/>
      <c r="R71" s="78">
        <f>IF($B71="","",IF(OR($K71="Cancelled",$K71="Returned"),"CLOSED",IF($M71="Yes","ARRIVED",IF($E71="","MISSING DATE",IF($E71&lt;TODAY(),"LATE",IF(AND($J71="",$E71-TODAY()&lt;=Set_ShipWindow),"NO TRACKING","ON TRACK"))))))</f>
      </c>
      <c r="S71" s="78">
        <f>IF($B71="","",IF($O71="","—",IF($O71&lt;TODAY(),"CLOSED",IF($O71-TODAY()&lt;=7,"CLOSING SOON","OPEN"))))</f>
      </c>
      <c r="T71" s="80"/>
      <c r="U71" s="78">
        <f>IF($B71="",0,IF(COUNTIF('ONLINE ORDERS'!$B$6:$B$155,$B71)&gt;1,1,0))</f>
      </c>
      <c r="V71" s="78">
        <f>IF($F71="",0,IF(COUNTIF('PEOPLE + BUDGETS'!$B$6:$B$105,$F71)=0,1,0))</f>
      </c>
      <c r="W71" s="75"/>
    </row>
    <row r="72" ht="17" customHeight="1" spans="1:23" x14ac:dyDescent="0.25">
      <c r="A72" s="75"/>
      <c r="B72" s="79"/>
      <c r="C72" s="79"/>
      <c r="D72" s="82"/>
      <c r="E72" s="82"/>
      <c r="F72" s="79"/>
      <c r="G72" s="78">
        <f>IF($B72="","",IF($F72="","",IFERROR(IF(INDEX('PEOPLE + BUDGETS'!$C$6:$C$105,MATCH($F72,'PEOPLE + BUDGETS'!$B$6:$B$105,0))="","",INDEX('PEOPLE + BUDGETS'!$C$6:$C$105,MATCH($F72,'PEOPLE + BUDGETS'!$B$6:$B$105,0))),"")))</f>
      </c>
      <c r="H72" s="80"/>
      <c r="I72" s="86"/>
      <c r="J72" s="80"/>
      <c r="K72" s="79"/>
      <c r="L72" s="82"/>
      <c r="M72" s="78">
        <f>IF($B72="","",IF(OR($K72="Arrived",$L72&lt;&gt;""),"Yes","No"))</f>
      </c>
      <c r="N72" s="79"/>
      <c r="O72" s="82"/>
      <c r="P72" s="86"/>
      <c r="Q72" s="79"/>
      <c r="R72" s="78">
        <f>IF($B72="","",IF(OR($K72="Cancelled",$K72="Returned"),"CLOSED",IF($M72="Yes","ARRIVED",IF($E72="","MISSING DATE",IF($E72&lt;TODAY(),"LATE",IF(AND($J72="",$E72-TODAY()&lt;=Set_ShipWindow),"NO TRACKING","ON TRACK"))))))</f>
      </c>
      <c r="S72" s="78">
        <f>IF($B72="","",IF($O72="","—",IF($O72&lt;TODAY(),"CLOSED",IF($O72-TODAY()&lt;=7,"CLOSING SOON","OPEN"))))</f>
      </c>
      <c r="T72" s="80"/>
      <c r="U72" s="78">
        <f>IF($B72="",0,IF(COUNTIF('ONLINE ORDERS'!$B$6:$B$155,$B72)&gt;1,1,0))</f>
      </c>
      <c r="V72" s="78">
        <f>IF($F72="",0,IF(COUNTIF('PEOPLE + BUDGETS'!$B$6:$B$105,$F72)=0,1,0))</f>
      </c>
      <c r="W72" s="75"/>
    </row>
    <row r="73" ht="17" customHeight="1" spans="1:23" x14ac:dyDescent="0.25">
      <c r="A73" s="75"/>
      <c r="B73" s="79"/>
      <c r="C73" s="79"/>
      <c r="D73" s="82"/>
      <c r="E73" s="82"/>
      <c r="F73" s="79"/>
      <c r="G73" s="78">
        <f>IF($B73="","",IF($F73="","",IFERROR(IF(INDEX('PEOPLE + BUDGETS'!$C$6:$C$105,MATCH($F73,'PEOPLE + BUDGETS'!$B$6:$B$105,0))="","",INDEX('PEOPLE + BUDGETS'!$C$6:$C$105,MATCH($F73,'PEOPLE + BUDGETS'!$B$6:$B$105,0))),"")))</f>
      </c>
      <c r="H73" s="80"/>
      <c r="I73" s="86"/>
      <c r="J73" s="80"/>
      <c r="K73" s="79"/>
      <c r="L73" s="82"/>
      <c r="M73" s="78">
        <f>IF($B73="","",IF(OR($K73="Arrived",$L73&lt;&gt;""),"Yes","No"))</f>
      </c>
      <c r="N73" s="79"/>
      <c r="O73" s="82"/>
      <c r="P73" s="86"/>
      <c r="Q73" s="79"/>
      <c r="R73" s="78">
        <f>IF($B73="","",IF(OR($K73="Cancelled",$K73="Returned"),"CLOSED",IF($M73="Yes","ARRIVED",IF($E73="","MISSING DATE",IF($E73&lt;TODAY(),"LATE",IF(AND($J73="",$E73-TODAY()&lt;=Set_ShipWindow),"NO TRACKING","ON TRACK"))))))</f>
      </c>
      <c r="S73" s="78">
        <f>IF($B73="","",IF($O73="","—",IF($O73&lt;TODAY(),"CLOSED",IF($O73-TODAY()&lt;=7,"CLOSING SOON","OPEN"))))</f>
      </c>
      <c r="T73" s="80"/>
      <c r="U73" s="78">
        <f>IF($B73="",0,IF(COUNTIF('ONLINE ORDERS'!$B$6:$B$155,$B73)&gt;1,1,0))</f>
      </c>
      <c r="V73" s="78">
        <f>IF($F73="",0,IF(COUNTIF('PEOPLE + BUDGETS'!$B$6:$B$105,$F73)=0,1,0))</f>
      </c>
      <c r="W73" s="75"/>
    </row>
    <row r="74" ht="17" customHeight="1" spans="1:23" x14ac:dyDescent="0.25">
      <c r="A74" s="75"/>
      <c r="B74" s="79"/>
      <c r="C74" s="79"/>
      <c r="D74" s="82"/>
      <c r="E74" s="82"/>
      <c r="F74" s="79"/>
      <c r="G74" s="78">
        <f>IF($B74="","",IF($F74="","",IFERROR(IF(INDEX('PEOPLE + BUDGETS'!$C$6:$C$105,MATCH($F74,'PEOPLE + BUDGETS'!$B$6:$B$105,0))="","",INDEX('PEOPLE + BUDGETS'!$C$6:$C$105,MATCH($F74,'PEOPLE + BUDGETS'!$B$6:$B$105,0))),"")))</f>
      </c>
      <c r="H74" s="80"/>
      <c r="I74" s="86"/>
      <c r="J74" s="80"/>
      <c r="K74" s="79"/>
      <c r="L74" s="82"/>
      <c r="M74" s="78">
        <f>IF($B74="","",IF(OR($K74="Arrived",$L74&lt;&gt;""),"Yes","No"))</f>
      </c>
      <c r="N74" s="79"/>
      <c r="O74" s="82"/>
      <c r="P74" s="86"/>
      <c r="Q74" s="79"/>
      <c r="R74" s="78">
        <f>IF($B74="","",IF(OR($K74="Cancelled",$K74="Returned"),"CLOSED",IF($M74="Yes","ARRIVED",IF($E74="","MISSING DATE",IF($E74&lt;TODAY(),"LATE",IF(AND($J74="",$E74-TODAY()&lt;=Set_ShipWindow),"NO TRACKING","ON TRACK"))))))</f>
      </c>
      <c r="S74" s="78">
        <f>IF($B74="","",IF($O74="","—",IF($O74&lt;TODAY(),"CLOSED",IF($O74-TODAY()&lt;=7,"CLOSING SOON","OPEN"))))</f>
      </c>
      <c r="T74" s="80"/>
      <c r="U74" s="78">
        <f>IF($B74="",0,IF(COUNTIF('ONLINE ORDERS'!$B$6:$B$155,$B74)&gt;1,1,0))</f>
      </c>
      <c r="V74" s="78">
        <f>IF($F74="",0,IF(COUNTIF('PEOPLE + BUDGETS'!$B$6:$B$105,$F74)=0,1,0))</f>
      </c>
      <c r="W74" s="75"/>
    </row>
    <row r="75" ht="17" customHeight="1" spans="1:23" x14ac:dyDescent="0.25">
      <c r="A75" s="75"/>
      <c r="B75" s="79"/>
      <c r="C75" s="79"/>
      <c r="D75" s="82"/>
      <c r="E75" s="82"/>
      <c r="F75" s="79"/>
      <c r="G75" s="78">
        <f>IF($B75="","",IF($F75="","",IFERROR(IF(INDEX('PEOPLE + BUDGETS'!$C$6:$C$105,MATCH($F75,'PEOPLE + BUDGETS'!$B$6:$B$105,0))="","",INDEX('PEOPLE + BUDGETS'!$C$6:$C$105,MATCH($F75,'PEOPLE + BUDGETS'!$B$6:$B$105,0))),"")))</f>
      </c>
      <c r="H75" s="80"/>
      <c r="I75" s="86"/>
      <c r="J75" s="80"/>
      <c r="K75" s="79"/>
      <c r="L75" s="82"/>
      <c r="M75" s="78">
        <f>IF($B75="","",IF(OR($K75="Arrived",$L75&lt;&gt;""),"Yes","No"))</f>
      </c>
      <c r="N75" s="79"/>
      <c r="O75" s="82"/>
      <c r="P75" s="86"/>
      <c r="Q75" s="79"/>
      <c r="R75" s="78">
        <f>IF($B75="","",IF(OR($K75="Cancelled",$K75="Returned"),"CLOSED",IF($M75="Yes","ARRIVED",IF($E75="","MISSING DATE",IF($E75&lt;TODAY(),"LATE",IF(AND($J75="",$E75-TODAY()&lt;=Set_ShipWindow),"NO TRACKING","ON TRACK"))))))</f>
      </c>
      <c r="S75" s="78">
        <f>IF($B75="","",IF($O75="","—",IF($O75&lt;TODAY(),"CLOSED",IF($O75-TODAY()&lt;=7,"CLOSING SOON","OPEN"))))</f>
      </c>
      <c r="T75" s="80"/>
      <c r="U75" s="78">
        <f>IF($B75="",0,IF(COUNTIF('ONLINE ORDERS'!$B$6:$B$155,$B75)&gt;1,1,0))</f>
      </c>
      <c r="V75" s="78">
        <f>IF($F75="",0,IF(COUNTIF('PEOPLE + BUDGETS'!$B$6:$B$105,$F75)=0,1,0))</f>
      </c>
      <c r="W75" s="75"/>
    </row>
    <row r="76" ht="17" customHeight="1" spans="1:23" x14ac:dyDescent="0.25">
      <c r="A76" s="75"/>
      <c r="B76" s="79"/>
      <c r="C76" s="79"/>
      <c r="D76" s="82"/>
      <c r="E76" s="82"/>
      <c r="F76" s="79"/>
      <c r="G76" s="78">
        <f>IF($B76="","",IF($F76="","",IFERROR(IF(INDEX('PEOPLE + BUDGETS'!$C$6:$C$105,MATCH($F76,'PEOPLE + BUDGETS'!$B$6:$B$105,0))="","",INDEX('PEOPLE + BUDGETS'!$C$6:$C$105,MATCH($F76,'PEOPLE + BUDGETS'!$B$6:$B$105,0))),"")))</f>
      </c>
      <c r="H76" s="80"/>
      <c r="I76" s="86"/>
      <c r="J76" s="80"/>
      <c r="K76" s="79"/>
      <c r="L76" s="82"/>
      <c r="M76" s="78">
        <f>IF($B76="","",IF(OR($K76="Arrived",$L76&lt;&gt;""),"Yes","No"))</f>
      </c>
      <c r="N76" s="79"/>
      <c r="O76" s="82"/>
      <c r="P76" s="86"/>
      <c r="Q76" s="79"/>
      <c r="R76" s="78">
        <f>IF($B76="","",IF(OR($K76="Cancelled",$K76="Returned"),"CLOSED",IF($M76="Yes","ARRIVED",IF($E76="","MISSING DATE",IF($E76&lt;TODAY(),"LATE",IF(AND($J76="",$E76-TODAY()&lt;=Set_ShipWindow),"NO TRACKING","ON TRACK"))))))</f>
      </c>
      <c r="S76" s="78">
        <f>IF($B76="","",IF($O76="","—",IF($O76&lt;TODAY(),"CLOSED",IF($O76-TODAY()&lt;=7,"CLOSING SOON","OPEN"))))</f>
      </c>
      <c r="T76" s="80"/>
      <c r="U76" s="78">
        <f>IF($B76="",0,IF(COUNTIF('ONLINE ORDERS'!$B$6:$B$155,$B76)&gt;1,1,0))</f>
      </c>
      <c r="V76" s="78">
        <f>IF($F76="",0,IF(COUNTIF('PEOPLE + BUDGETS'!$B$6:$B$105,$F76)=0,1,0))</f>
      </c>
      <c r="W76" s="75"/>
    </row>
    <row r="77" ht="17" customHeight="1" spans="1:23" x14ac:dyDescent="0.25">
      <c r="A77" s="75"/>
      <c r="B77" s="79"/>
      <c r="C77" s="79"/>
      <c r="D77" s="82"/>
      <c r="E77" s="82"/>
      <c r="F77" s="79"/>
      <c r="G77" s="78">
        <f>IF($B77="","",IF($F77="","",IFERROR(IF(INDEX('PEOPLE + BUDGETS'!$C$6:$C$105,MATCH($F77,'PEOPLE + BUDGETS'!$B$6:$B$105,0))="","",INDEX('PEOPLE + BUDGETS'!$C$6:$C$105,MATCH($F77,'PEOPLE + BUDGETS'!$B$6:$B$105,0))),"")))</f>
      </c>
      <c r="H77" s="80"/>
      <c r="I77" s="86"/>
      <c r="J77" s="80"/>
      <c r="K77" s="79"/>
      <c r="L77" s="82"/>
      <c r="M77" s="78">
        <f>IF($B77="","",IF(OR($K77="Arrived",$L77&lt;&gt;""),"Yes","No"))</f>
      </c>
      <c r="N77" s="79"/>
      <c r="O77" s="82"/>
      <c r="P77" s="86"/>
      <c r="Q77" s="79"/>
      <c r="R77" s="78">
        <f>IF($B77="","",IF(OR($K77="Cancelled",$K77="Returned"),"CLOSED",IF($M77="Yes","ARRIVED",IF($E77="","MISSING DATE",IF($E77&lt;TODAY(),"LATE",IF(AND($J77="",$E77-TODAY()&lt;=Set_ShipWindow),"NO TRACKING","ON TRACK"))))))</f>
      </c>
      <c r="S77" s="78">
        <f>IF($B77="","",IF($O77="","—",IF($O77&lt;TODAY(),"CLOSED",IF($O77-TODAY()&lt;=7,"CLOSING SOON","OPEN"))))</f>
      </c>
      <c r="T77" s="80"/>
      <c r="U77" s="78">
        <f>IF($B77="",0,IF(COUNTIF('ONLINE ORDERS'!$B$6:$B$155,$B77)&gt;1,1,0))</f>
      </c>
      <c r="V77" s="78">
        <f>IF($F77="",0,IF(COUNTIF('PEOPLE + BUDGETS'!$B$6:$B$105,$F77)=0,1,0))</f>
      </c>
      <c r="W77" s="75"/>
    </row>
    <row r="78" ht="17" customHeight="1" spans="1:23" x14ac:dyDescent="0.25">
      <c r="A78" s="75"/>
      <c r="B78" s="79"/>
      <c r="C78" s="79"/>
      <c r="D78" s="82"/>
      <c r="E78" s="82"/>
      <c r="F78" s="79"/>
      <c r="G78" s="78">
        <f>IF($B78="","",IF($F78="","",IFERROR(IF(INDEX('PEOPLE + BUDGETS'!$C$6:$C$105,MATCH($F78,'PEOPLE + BUDGETS'!$B$6:$B$105,0))="","",INDEX('PEOPLE + BUDGETS'!$C$6:$C$105,MATCH($F78,'PEOPLE + BUDGETS'!$B$6:$B$105,0))),"")))</f>
      </c>
      <c r="H78" s="80"/>
      <c r="I78" s="86"/>
      <c r="J78" s="80"/>
      <c r="K78" s="79"/>
      <c r="L78" s="82"/>
      <c r="M78" s="78">
        <f>IF($B78="","",IF(OR($K78="Arrived",$L78&lt;&gt;""),"Yes","No"))</f>
      </c>
      <c r="N78" s="79"/>
      <c r="O78" s="82"/>
      <c r="P78" s="86"/>
      <c r="Q78" s="79"/>
      <c r="R78" s="78">
        <f>IF($B78="","",IF(OR($K78="Cancelled",$K78="Returned"),"CLOSED",IF($M78="Yes","ARRIVED",IF($E78="","MISSING DATE",IF($E78&lt;TODAY(),"LATE",IF(AND($J78="",$E78-TODAY()&lt;=Set_ShipWindow),"NO TRACKING","ON TRACK"))))))</f>
      </c>
      <c r="S78" s="78">
        <f>IF($B78="","",IF($O78="","—",IF($O78&lt;TODAY(),"CLOSED",IF($O78-TODAY()&lt;=7,"CLOSING SOON","OPEN"))))</f>
      </c>
      <c r="T78" s="80"/>
      <c r="U78" s="78">
        <f>IF($B78="",0,IF(COUNTIF('ONLINE ORDERS'!$B$6:$B$155,$B78)&gt;1,1,0))</f>
      </c>
      <c r="V78" s="78">
        <f>IF($F78="",0,IF(COUNTIF('PEOPLE + BUDGETS'!$B$6:$B$105,$F78)=0,1,0))</f>
      </c>
      <c r="W78" s="75"/>
    </row>
    <row r="79" ht="17" customHeight="1" spans="1:23" x14ac:dyDescent="0.25">
      <c r="A79" s="75"/>
      <c r="B79" s="79"/>
      <c r="C79" s="79"/>
      <c r="D79" s="82"/>
      <c r="E79" s="82"/>
      <c r="F79" s="79"/>
      <c r="G79" s="78">
        <f>IF($B79="","",IF($F79="","",IFERROR(IF(INDEX('PEOPLE + BUDGETS'!$C$6:$C$105,MATCH($F79,'PEOPLE + BUDGETS'!$B$6:$B$105,0))="","",INDEX('PEOPLE + BUDGETS'!$C$6:$C$105,MATCH($F79,'PEOPLE + BUDGETS'!$B$6:$B$105,0))),"")))</f>
      </c>
      <c r="H79" s="80"/>
      <c r="I79" s="86"/>
      <c r="J79" s="80"/>
      <c r="K79" s="79"/>
      <c r="L79" s="82"/>
      <c r="M79" s="78">
        <f>IF($B79="","",IF(OR($K79="Arrived",$L79&lt;&gt;""),"Yes","No"))</f>
      </c>
      <c r="N79" s="79"/>
      <c r="O79" s="82"/>
      <c r="P79" s="86"/>
      <c r="Q79" s="79"/>
      <c r="R79" s="78">
        <f>IF($B79="","",IF(OR($K79="Cancelled",$K79="Returned"),"CLOSED",IF($M79="Yes","ARRIVED",IF($E79="","MISSING DATE",IF($E79&lt;TODAY(),"LATE",IF(AND($J79="",$E79-TODAY()&lt;=Set_ShipWindow),"NO TRACKING","ON TRACK"))))))</f>
      </c>
      <c r="S79" s="78">
        <f>IF($B79="","",IF($O79="","—",IF($O79&lt;TODAY(),"CLOSED",IF($O79-TODAY()&lt;=7,"CLOSING SOON","OPEN"))))</f>
      </c>
      <c r="T79" s="80"/>
      <c r="U79" s="78">
        <f>IF($B79="",0,IF(COUNTIF('ONLINE ORDERS'!$B$6:$B$155,$B79)&gt;1,1,0))</f>
      </c>
      <c r="V79" s="78">
        <f>IF($F79="",0,IF(COUNTIF('PEOPLE + BUDGETS'!$B$6:$B$105,$F79)=0,1,0))</f>
      </c>
      <c r="W79" s="75"/>
    </row>
    <row r="80" ht="17" customHeight="1" spans="1:23" x14ac:dyDescent="0.25">
      <c r="A80" s="75"/>
      <c r="B80" s="79"/>
      <c r="C80" s="79"/>
      <c r="D80" s="82"/>
      <c r="E80" s="82"/>
      <c r="F80" s="79"/>
      <c r="G80" s="78">
        <f>IF($B80="","",IF($F80="","",IFERROR(IF(INDEX('PEOPLE + BUDGETS'!$C$6:$C$105,MATCH($F80,'PEOPLE + BUDGETS'!$B$6:$B$105,0))="","",INDEX('PEOPLE + BUDGETS'!$C$6:$C$105,MATCH($F80,'PEOPLE + BUDGETS'!$B$6:$B$105,0))),"")))</f>
      </c>
      <c r="H80" s="80"/>
      <c r="I80" s="86"/>
      <c r="J80" s="80"/>
      <c r="K80" s="79"/>
      <c r="L80" s="82"/>
      <c r="M80" s="78">
        <f>IF($B80="","",IF(OR($K80="Arrived",$L80&lt;&gt;""),"Yes","No"))</f>
      </c>
      <c r="N80" s="79"/>
      <c r="O80" s="82"/>
      <c r="P80" s="86"/>
      <c r="Q80" s="79"/>
      <c r="R80" s="78">
        <f>IF($B80="","",IF(OR($K80="Cancelled",$K80="Returned"),"CLOSED",IF($M80="Yes","ARRIVED",IF($E80="","MISSING DATE",IF($E80&lt;TODAY(),"LATE",IF(AND($J80="",$E80-TODAY()&lt;=Set_ShipWindow),"NO TRACKING","ON TRACK"))))))</f>
      </c>
      <c r="S80" s="78">
        <f>IF($B80="","",IF($O80="","—",IF($O80&lt;TODAY(),"CLOSED",IF($O80-TODAY()&lt;=7,"CLOSING SOON","OPEN"))))</f>
      </c>
      <c r="T80" s="80"/>
      <c r="U80" s="78">
        <f>IF($B80="",0,IF(COUNTIF('ONLINE ORDERS'!$B$6:$B$155,$B80)&gt;1,1,0))</f>
      </c>
      <c r="V80" s="78">
        <f>IF($F80="",0,IF(COUNTIF('PEOPLE + BUDGETS'!$B$6:$B$105,$F80)=0,1,0))</f>
      </c>
      <c r="W80" s="75"/>
    </row>
    <row r="81" ht="17" customHeight="1" spans="1:23" x14ac:dyDescent="0.25">
      <c r="A81" s="75"/>
      <c r="B81" s="79"/>
      <c r="C81" s="79"/>
      <c r="D81" s="82"/>
      <c r="E81" s="82"/>
      <c r="F81" s="79"/>
      <c r="G81" s="78">
        <f>IF($B81="","",IF($F81="","",IFERROR(IF(INDEX('PEOPLE + BUDGETS'!$C$6:$C$105,MATCH($F81,'PEOPLE + BUDGETS'!$B$6:$B$105,0))="","",INDEX('PEOPLE + BUDGETS'!$C$6:$C$105,MATCH($F81,'PEOPLE + BUDGETS'!$B$6:$B$105,0))),"")))</f>
      </c>
      <c r="H81" s="80"/>
      <c r="I81" s="86"/>
      <c r="J81" s="80"/>
      <c r="K81" s="79"/>
      <c r="L81" s="82"/>
      <c r="M81" s="78">
        <f>IF($B81="","",IF(OR($K81="Arrived",$L81&lt;&gt;""),"Yes","No"))</f>
      </c>
      <c r="N81" s="79"/>
      <c r="O81" s="82"/>
      <c r="P81" s="86"/>
      <c r="Q81" s="79"/>
      <c r="R81" s="78">
        <f>IF($B81="","",IF(OR($K81="Cancelled",$K81="Returned"),"CLOSED",IF($M81="Yes","ARRIVED",IF($E81="","MISSING DATE",IF($E81&lt;TODAY(),"LATE",IF(AND($J81="",$E81-TODAY()&lt;=Set_ShipWindow),"NO TRACKING","ON TRACK"))))))</f>
      </c>
      <c r="S81" s="78">
        <f>IF($B81="","",IF($O81="","—",IF($O81&lt;TODAY(),"CLOSED",IF($O81-TODAY()&lt;=7,"CLOSING SOON","OPEN"))))</f>
      </c>
      <c r="T81" s="80"/>
      <c r="U81" s="78">
        <f>IF($B81="",0,IF(COUNTIF('ONLINE ORDERS'!$B$6:$B$155,$B81)&gt;1,1,0))</f>
      </c>
      <c r="V81" s="78">
        <f>IF($F81="",0,IF(COUNTIF('PEOPLE + BUDGETS'!$B$6:$B$105,$F81)=0,1,0))</f>
      </c>
      <c r="W81" s="75"/>
    </row>
    <row r="82" ht="17" customHeight="1" spans="1:23" x14ac:dyDescent="0.25">
      <c r="A82" s="75"/>
      <c r="B82" s="79"/>
      <c r="C82" s="79"/>
      <c r="D82" s="82"/>
      <c r="E82" s="82"/>
      <c r="F82" s="79"/>
      <c r="G82" s="78">
        <f>IF($B82="","",IF($F82="","",IFERROR(IF(INDEX('PEOPLE + BUDGETS'!$C$6:$C$105,MATCH($F82,'PEOPLE + BUDGETS'!$B$6:$B$105,0))="","",INDEX('PEOPLE + BUDGETS'!$C$6:$C$105,MATCH($F82,'PEOPLE + BUDGETS'!$B$6:$B$105,0))),"")))</f>
      </c>
      <c r="H82" s="80"/>
      <c r="I82" s="86"/>
      <c r="J82" s="80"/>
      <c r="K82" s="79"/>
      <c r="L82" s="82"/>
      <c r="M82" s="78">
        <f>IF($B82="","",IF(OR($K82="Arrived",$L82&lt;&gt;""),"Yes","No"))</f>
      </c>
      <c r="N82" s="79"/>
      <c r="O82" s="82"/>
      <c r="P82" s="86"/>
      <c r="Q82" s="79"/>
      <c r="R82" s="78">
        <f>IF($B82="","",IF(OR($K82="Cancelled",$K82="Returned"),"CLOSED",IF($M82="Yes","ARRIVED",IF($E82="","MISSING DATE",IF($E82&lt;TODAY(),"LATE",IF(AND($J82="",$E82-TODAY()&lt;=Set_ShipWindow),"NO TRACKING","ON TRACK"))))))</f>
      </c>
      <c r="S82" s="78">
        <f>IF($B82="","",IF($O82="","—",IF($O82&lt;TODAY(),"CLOSED",IF($O82-TODAY()&lt;=7,"CLOSING SOON","OPEN"))))</f>
      </c>
      <c r="T82" s="80"/>
      <c r="U82" s="78">
        <f>IF($B82="",0,IF(COUNTIF('ONLINE ORDERS'!$B$6:$B$155,$B82)&gt;1,1,0))</f>
      </c>
      <c r="V82" s="78">
        <f>IF($F82="",0,IF(COUNTIF('PEOPLE + BUDGETS'!$B$6:$B$105,$F82)=0,1,0))</f>
      </c>
      <c r="W82" s="75"/>
    </row>
    <row r="83" ht="17" customHeight="1" spans="1:23" x14ac:dyDescent="0.25">
      <c r="A83" s="75"/>
      <c r="B83" s="79"/>
      <c r="C83" s="79"/>
      <c r="D83" s="82"/>
      <c r="E83" s="82"/>
      <c r="F83" s="79"/>
      <c r="G83" s="78">
        <f>IF($B83="","",IF($F83="","",IFERROR(IF(INDEX('PEOPLE + BUDGETS'!$C$6:$C$105,MATCH($F83,'PEOPLE + BUDGETS'!$B$6:$B$105,0))="","",INDEX('PEOPLE + BUDGETS'!$C$6:$C$105,MATCH($F83,'PEOPLE + BUDGETS'!$B$6:$B$105,0))),"")))</f>
      </c>
      <c r="H83" s="80"/>
      <c r="I83" s="86"/>
      <c r="J83" s="80"/>
      <c r="K83" s="79"/>
      <c r="L83" s="82"/>
      <c r="M83" s="78">
        <f>IF($B83="","",IF(OR($K83="Arrived",$L83&lt;&gt;""),"Yes","No"))</f>
      </c>
      <c r="N83" s="79"/>
      <c r="O83" s="82"/>
      <c r="P83" s="86"/>
      <c r="Q83" s="79"/>
      <c r="R83" s="78">
        <f>IF($B83="","",IF(OR($K83="Cancelled",$K83="Returned"),"CLOSED",IF($M83="Yes","ARRIVED",IF($E83="","MISSING DATE",IF($E83&lt;TODAY(),"LATE",IF(AND($J83="",$E83-TODAY()&lt;=Set_ShipWindow),"NO TRACKING","ON TRACK"))))))</f>
      </c>
      <c r="S83" s="78">
        <f>IF($B83="","",IF($O83="","—",IF($O83&lt;TODAY(),"CLOSED",IF($O83-TODAY()&lt;=7,"CLOSING SOON","OPEN"))))</f>
      </c>
      <c r="T83" s="80"/>
      <c r="U83" s="78">
        <f>IF($B83="",0,IF(COUNTIF('ONLINE ORDERS'!$B$6:$B$155,$B83)&gt;1,1,0))</f>
      </c>
      <c r="V83" s="78">
        <f>IF($F83="",0,IF(COUNTIF('PEOPLE + BUDGETS'!$B$6:$B$105,$F83)=0,1,0))</f>
      </c>
      <c r="W83" s="75"/>
    </row>
    <row r="84" ht="17" customHeight="1" spans="1:23" x14ac:dyDescent="0.25">
      <c r="A84" s="75"/>
      <c r="B84" s="79"/>
      <c r="C84" s="79"/>
      <c r="D84" s="82"/>
      <c r="E84" s="82"/>
      <c r="F84" s="79"/>
      <c r="G84" s="78">
        <f>IF($B84="","",IF($F84="","",IFERROR(IF(INDEX('PEOPLE + BUDGETS'!$C$6:$C$105,MATCH($F84,'PEOPLE + BUDGETS'!$B$6:$B$105,0))="","",INDEX('PEOPLE + BUDGETS'!$C$6:$C$105,MATCH($F84,'PEOPLE + BUDGETS'!$B$6:$B$105,0))),"")))</f>
      </c>
      <c r="H84" s="80"/>
      <c r="I84" s="86"/>
      <c r="J84" s="80"/>
      <c r="K84" s="79"/>
      <c r="L84" s="82"/>
      <c r="M84" s="78">
        <f>IF($B84="","",IF(OR($K84="Arrived",$L84&lt;&gt;""),"Yes","No"))</f>
      </c>
      <c r="N84" s="79"/>
      <c r="O84" s="82"/>
      <c r="P84" s="86"/>
      <c r="Q84" s="79"/>
      <c r="R84" s="78">
        <f>IF($B84="","",IF(OR($K84="Cancelled",$K84="Returned"),"CLOSED",IF($M84="Yes","ARRIVED",IF($E84="","MISSING DATE",IF($E84&lt;TODAY(),"LATE",IF(AND($J84="",$E84-TODAY()&lt;=Set_ShipWindow),"NO TRACKING","ON TRACK"))))))</f>
      </c>
      <c r="S84" s="78">
        <f>IF($B84="","",IF($O84="","—",IF($O84&lt;TODAY(),"CLOSED",IF($O84-TODAY()&lt;=7,"CLOSING SOON","OPEN"))))</f>
      </c>
      <c r="T84" s="80"/>
      <c r="U84" s="78">
        <f>IF($B84="",0,IF(COUNTIF('ONLINE ORDERS'!$B$6:$B$155,$B84)&gt;1,1,0))</f>
      </c>
      <c r="V84" s="78">
        <f>IF($F84="",0,IF(COUNTIF('PEOPLE + BUDGETS'!$B$6:$B$105,$F84)=0,1,0))</f>
      </c>
      <c r="W84" s="75"/>
    </row>
    <row r="85" ht="17" customHeight="1" spans="1:23" x14ac:dyDescent="0.25">
      <c r="A85" s="75"/>
      <c r="B85" s="79"/>
      <c r="C85" s="79"/>
      <c r="D85" s="82"/>
      <c r="E85" s="82"/>
      <c r="F85" s="79"/>
      <c r="G85" s="78">
        <f>IF($B85="","",IF($F85="","",IFERROR(IF(INDEX('PEOPLE + BUDGETS'!$C$6:$C$105,MATCH($F85,'PEOPLE + BUDGETS'!$B$6:$B$105,0))="","",INDEX('PEOPLE + BUDGETS'!$C$6:$C$105,MATCH($F85,'PEOPLE + BUDGETS'!$B$6:$B$105,0))),"")))</f>
      </c>
      <c r="H85" s="80"/>
      <c r="I85" s="86"/>
      <c r="J85" s="80"/>
      <c r="K85" s="79"/>
      <c r="L85" s="82"/>
      <c r="M85" s="78">
        <f>IF($B85="","",IF(OR($K85="Arrived",$L85&lt;&gt;""),"Yes","No"))</f>
      </c>
      <c r="N85" s="79"/>
      <c r="O85" s="82"/>
      <c r="P85" s="86"/>
      <c r="Q85" s="79"/>
      <c r="R85" s="78">
        <f>IF($B85="","",IF(OR($K85="Cancelled",$K85="Returned"),"CLOSED",IF($M85="Yes","ARRIVED",IF($E85="","MISSING DATE",IF($E85&lt;TODAY(),"LATE",IF(AND($J85="",$E85-TODAY()&lt;=Set_ShipWindow),"NO TRACKING","ON TRACK"))))))</f>
      </c>
      <c r="S85" s="78">
        <f>IF($B85="","",IF($O85="","—",IF($O85&lt;TODAY(),"CLOSED",IF($O85-TODAY()&lt;=7,"CLOSING SOON","OPEN"))))</f>
      </c>
      <c r="T85" s="80"/>
      <c r="U85" s="78">
        <f>IF($B85="",0,IF(COUNTIF('ONLINE ORDERS'!$B$6:$B$155,$B85)&gt;1,1,0))</f>
      </c>
      <c r="V85" s="78">
        <f>IF($F85="",0,IF(COUNTIF('PEOPLE + BUDGETS'!$B$6:$B$105,$F85)=0,1,0))</f>
      </c>
      <c r="W85" s="75"/>
    </row>
    <row r="86" ht="17" customHeight="1" spans="1:23" x14ac:dyDescent="0.25">
      <c r="A86" s="75"/>
      <c r="B86" s="79"/>
      <c r="C86" s="79"/>
      <c r="D86" s="82"/>
      <c r="E86" s="82"/>
      <c r="F86" s="79"/>
      <c r="G86" s="78">
        <f>IF($B86="","",IF($F86="","",IFERROR(IF(INDEX('PEOPLE + BUDGETS'!$C$6:$C$105,MATCH($F86,'PEOPLE + BUDGETS'!$B$6:$B$105,0))="","",INDEX('PEOPLE + BUDGETS'!$C$6:$C$105,MATCH($F86,'PEOPLE + BUDGETS'!$B$6:$B$105,0))),"")))</f>
      </c>
      <c r="H86" s="80"/>
      <c r="I86" s="86"/>
      <c r="J86" s="80"/>
      <c r="K86" s="79"/>
      <c r="L86" s="82"/>
      <c r="M86" s="78">
        <f>IF($B86="","",IF(OR($K86="Arrived",$L86&lt;&gt;""),"Yes","No"))</f>
      </c>
      <c r="N86" s="79"/>
      <c r="O86" s="82"/>
      <c r="P86" s="86"/>
      <c r="Q86" s="79"/>
      <c r="R86" s="78">
        <f>IF($B86="","",IF(OR($K86="Cancelled",$K86="Returned"),"CLOSED",IF($M86="Yes","ARRIVED",IF($E86="","MISSING DATE",IF($E86&lt;TODAY(),"LATE",IF(AND($J86="",$E86-TODAY()&lt;=Set_ShipWindow),"NO TRACKING","ON TRACK"))))))</f>
      </c>
      <c r="S86" s="78">
        <f>IF($B86="","",IF($O86="","—",IF($O86&lt;TODAY(),"CLOSED",IF($O86-TODAY()&lt;=7,"CLOSING SOON","OPEN"))))</f>
      </c>
      <c r="T86" s="80"/>
      <c r="U86" s="78">
        <f>IF($B86="",0,IF(COUNTIF('ONLINE ORDERS'!$B$6:$B$155,$B86)&gt;1,1,0))</f>
      </c>
      <c r="V86" s="78">
        <f>IF($F86="",0,IF(COUNTIF('PEOPLE + BUDGETS'!$B$6:$B$105,$F86)=0,1,0))</f>
      </c>
      <c r="W86" s="75"/>
    </row>
    <row r="87" ht="17" customHeight="1" spans="1:23" x14ac:dyDescent="0.25">
      <c r="A87" s="75"/>
      <c r="B87" s="79"/>
      <c r="C87" s="79"/>
      <c r="D87" s="82"/>
      <c r="E87" s="82"/>
      <c r="F87" s="79"/>
      <c r="G87" s="78">
        <f>IF($B87="","",IF($F87="","",IFERROR(IF(INDEX('PEOPLE + BUDGETS'!$C$6:$C$105,MATCH($F87,'PEOPLE + BUDGETS'!$B$6:$B$105,0))="","",INDEX('PEOPLE + BUDGETS'!$C$6:$C$105,MATCH($F87,'PEOPLE + BUDGETS'!$B$6:$B$105,0))),"")))</f>
      </c>
      <c r="H87" s="80"/>
      <c r="I87" s="86"/>
      <c r="J87" s="80"/>
      <c r="K87" s="79"/>
      <c r="L87" s="82"/>
      <c r="M87" s="78">
        <f>IF($B87="","",IF(OR($K87="Arrived",$L87&lt;&gt;""),"Yes","No"))</f>
      </c>
      <c r="N87" s="79"/>
      <c r="O87" s="82"/>
      <c r="P87" s="86"/>
      <c r="Q87" s="79"/>
      <c r="R87" s="78">
        <f>IF($B87="","",IF(OR($K87="Cancelled",$K87="Returned"),"CLOSED",IF($M87="Yes","ARRIVED",IF($E87="","MISSING DATE",IF($E87&lt;TODAY(),"LATE",IF(AND($J87="",$E87-TODAY()&lt;=Set_ShipWindow),"NO TRACKING","ON TRACK"))))))</f>
      </c>
      <c r="S87" s="78">
        <f>IF($B87="","",IF($O87="","—",IF($O87&lt;TODAY(),"CLOSED",IF($O87-TODAY()&lt;=7,"CLOSING SOON","OPEN"))))</f>
      </c>
      <c r="T87" s="80"/>
      <c r="U87" s="78">
        <f>IF($B87="",0,IF(COUNTIF('ONLINE ORDERS'!$B$6:$B$155,$B87)&gt;1,1,0))</f>
      </c>
      <c r="V87" s="78">
        <f>IF($F87="",0,IF(COUNTIF('PEOPLE + BUDGETS'!$B$6:$B$105,$F87)=0,1,0))</f>
      </c>
      <c r="W87" s="75"/>
    </row>
    <row r="88" ht="17" customHeight="1" spans="1:23" x14ac:dyDescent="0.25">
      <c r="A88" s="75"/>
      <c r="B88" s="79"/>
      <c r="C88" s="79"/>
      <c r="D88" s="82"/>
      <c r="E88" s="82"/>
      <c r="F88" s="79"/>
      <c r="G88" s="78">
        <f>IF($B88="","",IF($F88="","",IFERROR(IF(INDEX('PEOPLE + BUDGETS'!$C$6:$C$105,MATCH($F88,'PEOPLE + BUDGETS'!$B$6:$B$105,0))="","",INDEX('PEOPLE + BUDGETS'!$C$6:$C$105,MATCH($F88,'PEOPLE + BUDGETS'!$B$6:$B$105,0))),"")))</f>
      </c>
      <c r="H88" s="80"/>
      <c r="I88" s="86"/>
      <c r="J88" s="80"/>
      <c r="K88" s="79"/>
      <c r="L88" s="82"/>
      <c r="M88" s="78">
        <f>IF($B88="","",IF(OR($K88="Arrived",$L88&lt;&gt;""),"Yes","No"))</f>
      </c>
      <c r="N88" s="79"/>
      <c r="O88" s="82"/>
      <c r="P88" s="86"/>
      <c r="Q88" s="79"/>
      <c r="R88" s="78">
        <f>IF($B88="","",IF(OR($K88="Cancelled",$K88="Returned"),"CLOSED",IF($M88="Yes","ARRIVED",IF($E88="","MISSING DATE",IF($E88&lt;TODAY(),"LATE",IF(AND($J88="",$E88-TODAY()&lt;=Set_ShipWindow),"NO TRACKING","ON TRACK"))))))</f>
      </c>
      <c r="S88" s="78">
        <f>IF($B88="","",IF($O88="","—",IF($O88&lt;TODAY(),"CLOSED",IF($O88-TODAY()&lt;=7,"CLOSING SOON","OPEN"))))</f>
      </c>
      <c r="T88" s="80"/>
      <c r="U88" s="78">
        <f>IF($B88="",0,IF(COUNTIF('ONLINE ORDERS'!$B$6:$B$155,$B88)&gt;1,1,0))</f>
      </c>
      <c r="V88" s="78">
        <f>IF($F88="",0,IF(COUNTIF('PEOPLE + BUDGETS'!$B$6:$B$105,$F88)=0,1,0))</f>
      </c>
      <c r="W88" s="75"/>
    </row>
    <row r="89" ht="17" customHeight="1" spans="1:23" x14ac:dyDescent="0.25">
      <c r="A89" s="75"/>
      <c r="B89" s="79"/>
      <c r="C89" s="79"/>
      <c r="D89" s="82"/>
      <c r="E89" s="82"/>
      <c r="F89" s="79"/>
      <c r="G89" s="78">
        <f>IF($B89="","",IF($F89="","",IFERROR(IF(INDEX('PEOPLE + BUDGETS'!$C$6:$C$105,MATCH($F89,'PEOPLE + BUDGETS'!$B$6:$B$105,0))="","",INDEX('PEOPLE + BUDGETS'!$C$6:$C$105,MATCH($F89,'PEOPLE + BUDGETS'!$B$6:$B$105,0))),"")))</f>
      </c>
      <c r="H89" s="80"/>
      <c r="I89" s="86"/>
      <c r="J89" s="80"/>
      <c r="K89" s="79"/>
      <c r="L89" s="82"/>
      <c r="M89" s="78">
        <f>IF($B89="","",IF(OR($K89="Arrived",$L89&lt;&gt;""),"Yes","No"))</f>
      </c>
      <c r="N89" s="79"/>
      <c r="O89" s="82"/>
      <c r="P89" s="86"/>
      <c r="Q89" s="79"/>
      <c r="R89" s="78">
        <f>IF($B89="","",IF(OR($K89="Cancelled",$K89="Returned"),"CLOSED",IF($M89="Yes","ARRIVED",IF($E89="","MISSING DATE",IF($E89&lt;TODAY(),"LATE",IF(AND($J89="",$E89-TODAY()&lt;=Set_ShipWindow),"NO TRACKING","ON TRACK"))))))</f>
      </c>
      <c r="S89" s="78">
        <f>IF($B89="","",IF($O89="","—",IF($O89&lt;TODAY(),"CLOSED",IF($O89-TODAY()&lt;=7,"CLOSING SOON","OPEN"))))</f>
      </c>
      <c r="T89" s="80"/>
      <c r="U89" s="78">
        <f>IF($B89="",0,IF(COUNTIF('ONLINE ORDERS'!$B$6:$B$155,$B89)&gt;1,1,0))</f>
      </c>
      <c r="V89" s="78">
        <f>IF($F89="",0,IF(COUNTIF('PEOPLE + BUDGETS'!$B$6:$B$105,$F89)=0,1,0))</f>
      </c>
      <c r="W89" s="75"/>
    </row>
    <row r="90" ht="17" customHeight="1" spans="1:23" x14ac:dyDescent="0.25">
      <c r="A90" s="75"/>
      <c r="B90" s="79"/>
      <c r="C90" s="79"/>
      <c r="D90" s="82"/>
      <c r="E90" s="82"/>
      <c r="F90" s="79"/>
      <c r="G90" s="78">
        <f>IF($B90="","",IF($F90="","",IFERROR(IF(INDEX('PEOPLE + BUDGETS'!$C$6:$C$105,MATCH($F90,'PEOPLE + BUDGETS'!$B$6:$B$105,0))="","",INDEX('PEOPLE + BUDGETS'!$C$6:$C$105,MATCH($F90,'PEOPLE + BUDGETS'!$B$6:$B$105,0))),"")))</f>
      </c>
      <c r="H90" s="80"/>
      <c r="I90" s="86"/>
      <c r="J90" s="80"/>
      <c r="K90" s="79"/>
      <c r="L90" s="82"/>
      <c r="M90" s="78">
        <f>IF($B90="","",IF(OR($K90="Arrived",$L90&lt;&gt;""),"Yes","No"))</f>
      </c>
      <c r="N90" s="79"/>
      <c r="O90" s="82"/>
      <c r="P90" s="86"/>
      <c r="Q90" s="79"/>
      <c r="R90" s="78">
        <f>IF($B90="","",IF(OR($K90="Cancelled",$K90="Returned"),"CLOSED",IF($M90="Yes","ARRIVED",IF($E90="","MISSING DATE",IF($E90&lt;TODAY(),"LATE",IF(AND($J90="",$E90-TODAY()&lt;=Set_ShipWindow),"NO TRACKING","ON TRACK"))))))</f>
      </c>
      <c r="S90" s="78">
        <f>IF($B90="","",IF($O90="","—",IF($O90&lt;TODAY(),"CLOSED",IF($O90-TODAY()&lt;=7,"CLOSING SOON","OPEN"))))</f>
      </c>
      <c r="T90" s="80"/>
      <c r="U90" s="78">
        <f>IF($B90="",0,IF(COUNTIF('ONLINE ORDERS'!$B$6:$B$155,$B90)&gt;1,1,0))</f>
      </c>
      <c r="V90" s="78">
        <f>IF($F90="",0,IF(COUNTIF('PEOPLE + BUDGETS'!$B$6:$B$105,$F90)=0,1,0))</f>
      </c>
      <c r="W90" s="75"/>
    </row>
    <row r="91" ht="17" customHeight="1" spans="1:23" x14ac:dyDescent="0.25">
      <c r="A91" s="75"/>
      <c r="B91" s="79"/>
      <c r="C91" s="79"/>
      <c r="D91" s="82"/>
      <c r="E91" s="82"/>
      <c r="F91" s="79"/>
      <c r="G91" s="78">
        <f>IF($B91="","",IF($F91="","",IFERROR(IF(INDEX('PEOPLE + BUDGETS'!$C$6:$C$105,MATCH($F91,'PEOPLE + BUDGETS'!$B$6:$B$105,0))="","",INDEX('PEOPLE + BUDGETS'!$C$6:$C$105,MATCH($F91,'PEOPLE + BUDGETS'!$B$6:$B$105,0))),"")))</f>
      </c>
      <c r="H91" s="80"/>
      <c r="I91" s="86"/>
      <c r="J91" s="80"/>
      <c r="K91" s="79"/>
      <c r="L91" s="82"/>
      <c r="M91" s="78">
        <f>IF($B91="","",IF(OR($K91="Arrived",$L91&lt;&gt;""),"Yes","No"))</f>
      </c>
      <c r="N91" s="79"/>
      <c r="O91" s="82"/>
      <c r="P91" s="86"/>
      <c r="Q91" s="79"/>
      <c r="R91" s="78">
        <f>IF($B91="","",IF(OR($K91="Cancelled",$K91="Returned"),"CLOSED",IF($M91="Yes","ARRIVED",IF($E91="","MISSING DATE",IF($E91&lt;TODAY(),"LATE",IF(AND($J91="",$E91-TODAY()&lt;=Set_ShipWindow),"NO TRACKING","ON TRACK"))))))</f>
      </c>
      <c r="S91" s="78">
        <f>IF($B91="","",IF($O91="","—",IF($O91&lt;TODAY(),"CLOSED",IF($O91-TODAY()&lt;=7,"CLOSING SOON","OPEN"))))</f>
      </c>
      <c r="T91" s="80"/>
      <c r="U91" s="78">
        <f>IF($B91="",0,IF(COUNTIF('ONLINE ORDERS'!$B$6:$B$155,$B91)&gt;1,1,0))</f>
      </c>
      <c r="V91" s="78">
        <f>IF($F91="",0,IF(COUNTIF('PEOPLE + BUDGETS'!$B$6:$B$105,$F91)=0,1,0))</f>
      </c>
      <c r="W91" s="75"/>
    </row>
    <row r="92" ht="17" customHeight="1" spans="1:23" x14ac:dyDescent="0.25">
      <c r="A92" s="75"/>
      <c r="B92" s="79"/>
      <c r="C92" s="79"/>
      <c r="D92" s="82"/>
      <c r="E92" s="82"/>
      <c r="F92" s="79"/>
      <c r="G92" s="78">
        <f>IF($B92="","",IF($F92="","",IFERROR(IF(INDEX('PEOPLE + BUDGETS'!$C$6:$C$105,MATCH($F92,'PEOPLE + BUDGETS'!$B$6:$B$105,0))="","",INDEX('PEOPLE + BUDGETS'!$C$6:$C$105,MATCH($F92,'PEOPLE + BUDGETS'!$B$6:$B$105,0))),"")))</f>
      </c>
      <c r="H92" s="80"/>
      <c r="I92" s="86"/>
      <c r="J92" s="80"/>
      <c r="K92" s="79"/>
      <c r="L92" s="82"/>
      <c r="M92" s="78">
        <f>IF($B92="","",IF(OR($K92="Arrived",$L92&lt;&gt;""),"Yes","No"))</f>
      </c>
      <c r="N92" s="79"/>
      <c r="O92" s="82"/>
      <c r="P92" s="86"/>
      <c r="Q92" s="79"/>
      <c r="R92" s="78">
        <f>IF($B92="","",IF(OR($K92="Cancelled",$K92="Returned"),"CLOSED",IF($M92="Yes","ARRIVED",IF($E92="","MISSING DATE",IF($E92&lt;TODAY(),"LATE",IF(AND($J92="",$E92-TODAY()&lt;=Set_ShipWindow),"NO TRACKING","ON TRACK"))))))</f>
      </c>
      <c r="S92" s="78">
        <f>IF($B92="","",IF($O92="","—",IF($O92&lt;TODAY(),"CLOSED",IF($O92-TODAY()&lt;=7,"CLOSING SOON","OPEN"))))</f>
      </c>
      <c r="T92" s="80"/>
      <c r="U92" s="78">
        <f>IF($B92="",0,IF(COUNTIF('ONLINE ORDERS'!$B$6:$B$155,$B92)&gt;1,1,0))</f>
      </c>
      <c r="V92" s="78">
        <f>IF($F92="",0,IF(COUNTIF('PEOPLE + BUDGETS'!$B$6:$B$105,$F92)=0,1,0))</f>
      </c>
      <c r="W92" s="75"/>
    </row>
    <row r="93" ht="17" customHeight="1" spans="1:23" x14ac:dyDescent="0.25">
      <c r="A93" s="75"/>
      <c r="B93" s="79"/>
      <c r="C93" s="79"/>
      <c r="D93" s="82"/>
      <c r="E93" s="82"/>
      <c r="F93" s="79"/>
      <c r="G93" s="78">
        <f>IF($B93="","",IF($F93="","",IFERROR(IF(INDEX('PEOPLE + BUDGETS'!$C$6:$C$105,MATCH($F93,'PEOPLE + BUDGETS'!$B$6:$B$105,0))="","",INDEX('PEOPLE + BUDGETS'!$C$6:$C$105,MATCH($F93,'PEOPLE + BUDGETS'!$B$6:$B$105,0))),"")))</f>
      </c>
      <c r="H93" s="80"/>
      <c r="I93" s="86"/>
      <c r="J93" s="80"/>
      <c r="K93" s="79"/>
      <c r="L93" s="82"/>
      <c r="M93" s="78">
        <f>IF($B93="","",IF(OR($K93="Arrived",$L93&lt;&gt;""),"Yes","No"))</f>
      </c>
      <c r="N93" s="79"/>
      <c r="O93" s="82"/>
      <c r="P93" s="86"/>
      <c r="Q93" s="79"/>
      <c r="R93" s="78">
        <f>IF($B93="","",IF(OR($K93="Cancelled",$K93="Returned"),"CLOSED",IF($M93="Yes","ARRIVED",IF($E93="","MISSING DATE",IF($E93&lt;TODAY(),"LATE",IF(AND($J93="",$E93-TODAY()&lt;=Set_ShipWindow),"NO TRACKING","ON TRACK"))))))</f>
      </c>
      <c r="S93" s="78">
        <f>IF($B93="","",IF($O93="","—",IF($O93&lt;TODAY(),"CLOSED",IF($O93-TODAY()&lt;=7,"CLOSING SOON","OPEN"))))</f>
      </c>
      <c r="T93" s="80"/>
      <c r="U93" s="78">
        <f>IF($B93="",0,IF(COUNTIF('ONLINE ORDERS'!$B$6:$B$155,$B93)&gt;1,1,0))</f>
      </c>
      <c r="V93" s="78">
        <f>IF($F93="",0,IF(COUNTIF('PEOPLE + BUDGETS'!$B$6:$B$105,$F93)=0,1,0))</f>
      </c>
      <c r="W93" s="75"/>
    </row>
    <row r="94" ht="17" customHeight="1" spans="1:23" x14ac:dyDescent="0.25">
      <c r="A94" s="75"/>
      <c r="B94" s="79"/>
      <c r="C94" s="79"/>
      <c r="D94" s="82"/>
      <c r="E94" s="82"/>
      <c r="F94" s="79"/>
      <c r="G94" s="78">
        <f>IF($B94="","",IF($F94="","",IFERROR(IF(INDEX('PEOPLE + BUDGETS'!$C$6:$C$105,MATCH($F94,'PEOPLE + BUDGETS'!$B$6:$B$105,0))="","",INDEX('PEOPLE + BUDGETS'!$C$6:$C$105,MATCH($F94,'PEOPLE + BUDGETS'!$B$6:$B$105,0))),"")))</f>
      </c>
      <c r="H94" s="80"/>
      <c r="I94" s="86"/>
      <c r="J94" s="80"/>
      <c r="K94" s="79"/>
      <c r="L94" s="82"/>
      <c r="M94" s="78">
        <f>IF($B94="","",IF(OR($K94="Arrived",$L94&lt;&gt;""),"Yes","No"))</f>
      </c>
      <c r="N94" s="79"/>
      <c r="O94" s="82"/>
      <c r="P94" s="86"/>
      <c r="Q94" s="79"/>
      <c r="R94" s="78">
        <f>IF($B94="","",IF(OR($K94="Cancelled",$K94="Returned"),"CLOSED",IF($M94="Yes","ARRIVED",IF($E94="","MISSING DATE",IF($E94&lt;TODAY(),"LATE",IF(AND($J94="",$E94-TODAY()&lt;=Set_ShipWindow),"NO TRACKING","ON TRACK"))))))</f>
      </c>
      <c r="S94" s="78">
        <f>IF($B94="","",IF($O94="","—",IF($O94&lt;TODAY(),"CLOSED",IF($O94-TODAY()&lt;=7,"CLOSING SOON","OPEN"))))</f>
      </c>
      <c r="T94" s="80"/>
      <c r="U94" s="78">
        <f>IF($B94="",0,IF(COUNTIF('ONLINE ORDERS'!$B$6:$B$155,$B94)&gt;1,1,0))</f>
      </c>
      <c r="V94" s="78">
        <f>IF($F94="",0,IF(COUNTIF('PEOPLE + BUDGETS'!$B$6:$B$105,$F94)=0,1,0))</f>
      </c>
      <c r="W94" s="75"/>
    </row>
    <row r="95" ht="17" customHeight="1" spans="1:23" x14ac:dyDescent="0.25">
      <c r="A95" s="75"/>
      <c r="B95" s="79"/>
      <c r="C95" s="79"/>
      <c r="D95" s="82"/>
      <c r="E95" s="82"/>
      <c r="F95" s="79"/>
      <c r="G95" s="78">
        <f>IF($B95="","",IF($F95="","",IFERROR(IF(INDEX('PEOPLE + BUDGETS'!$C$6:$C$105,MATCH($F95,'PEOPLE + BUDGETS'!$B$6:$B$105,0))="","",INDEX('PEOPLE + BUDGETS'!$C$6:$C$105,MATCH($F95,'PEOPLE + BUDGETS'!$B$6:$B$105,0))),"")))</f>
      </c>
      <c r="H95" s="80"/>
      <c r="I95" s="86"/>
      <c r="J95" s="80"/>
      <c r="K95" s="79"/>
      <c r="L95" s="82"/>
      <c r="M95" s="78">
        <f>IF($B95="","",IF(OR($K95="Arrived",$L95&lt;&gt;""),"Yes","No"))</f>
      </c>
      <c r="N95" s="79"/>
      <c r="O95" s="82"/>
      <c r="P95" s="86"/>
      <c r="Q95" s="79"/>
      <c r="R95" s="78">
        <f>IF($B95="","",IF(OR($K95="Cancelled",$K95="Returned"),"CLOSED",IF($M95="Yes","ARRIVED",IF($E95="","MISSING DATE",IF($E95&lt;TODAY(),"LATE",IF(AND($J95="",$E95-TODAY()&lt;=Set_ShipWindow),"NO TRACKING","ON TRACK"))))))</f>
      </c>
      <c r="S95" s="78">
        <f>IF($B95="","",IF($O95="","—",IF($O95&lt;TODAY(),"CLOSED",IF($O95-TODAY()&lt;=7,"CLOSING SOON","OPEN"))))</f>
      </c>
      <c r="T95" s="80"/>
      <c r="U95" s="78">
        <f>IF($B95="",0,IF(COUNTIF('ONLINE ORDERS'!$B$6:$B$155,$B95)&gt;1,1,0))</f>
      </c>
      <c r="V95" s="78">
        <f>IF($F95="",0,IF(COUNTIF('PEOPLE + BUDGETS'!$B$6:$B$105,$F95)=0,1,0))</f>
      </c>
      <c r="W95" s="75"/>
    </row>
    <row r="96" ht="17" customHeight="1" spans="1:23" x14ac:dyDescent="0.25">
      <c r="A96" s="75"/>
      <c r="B96" s="79"/>
      <c r="C96" s="79"/>
      <c r="D96" s="82"/>
      <c r="E96" s="82"/>
      <c r="F96" s="79"/>
      <c r="G96" s="78">
        <f>IF($B96="","",IF($F96="","",IFERROR(IF(INDEX('PEOPLE + BUDGETS'!$C$6:$C$105,MATCH($F96,'PEOPLE + BUDGETS'!$B$6:$B$105,0))="","",INDEX('PEOPLE + BUDGETS'!$C$6:$C$105,MATCH($F96,'PEOPLE + BUDGETS'!$B$6:$B$105,0))),"")))</f>
      </c>
      <c r="H96" s="80"/>
      <c r="I96" s="86"/>
      <c r="J96" s="80"/>
      <c r="K96" s="79"/>
      <c r="L96" s="82"/>
      <c r="M96" s="78">
        <f>IF($B96="","",IF(OR($K96="Arrived",$L96&lt;&gt;""),"Yes","No"))</f>
      </c>
      <c r="N96" s="79"/>
      <c r="O96" s="82"/>
      <c r="P96" s="86"/>
      <c r="Q96" s="79"/>
      <c r="R96" s="78">
        <f>IF($B96="","",IF(OR($K96="Cancelled",$K96="Returned"),"CLOSED",IF($M96="Yes","ARRIVED",IF($E96="","MISSING DATE",IF($E96&lt;TODAY(),"LATE",IF(AND($J96="",$E96-TODAY()&lt;=Set_ShipWindow),"NO TRACKING","ON TRACK"))))))</f>
      </c>
      <c r="S96" s="78">
        <f>IF($B96="","",IF($O96="","—",IF($O96&lt;TODAY(),"CLOSED",IF($O96-TODAY()&lt;=7,"CLOSING SOON","OPEN"))))</f>
      </c>
      <c r="T96" s="80"/>
      <c r="U96" s="78">
        <f>IF($B96="",0,IF(COUNTIF('ONLINE ORDERS'!$B$6:$B$155,$B96)&gt;1,1,0))</f>
      </c>
      <c r="V96" s="78">
        <f>IF($F96="",0,IF(COUNTIF('PEOPLE + BUDGETS'!$B$6:$B$105,$F96)=0,1,0))</f>
      </c>
      <c r="W96" s="75"/>
    </row>
    <row r="97" ht="17" customHeight="1" spans="1:23" x14ac:dyDescent="0.25">
      <c r="A97" s="75"/>
      <c r="B97" s="79"/>
      <c r="C97" s="79"/>
      <c r="D97" s="82"/>
      <c r="E97" s="82"/>
      <c r="F97" s="79"/>
      <c r="G97" s="78">
        <f>IF($B97="","",IF($F97="","",IFERROR(IF(INDEX('PEOPLE + BUDGETS'!$C$6:$C$105,MATCH($F97,'PEOPLE + BUDGETS'!$B$6:$B$105,0))="","",INDEX('PEOPLE + BUDGETS'!$C$6:$C$105,MATCH($F97,'PEOPLE + BUDGETS'!$B$6:$B$105,0))),"")))</f>
      </c>
      <c r="H97" s="80"/>
      <c r="I97" s="86"/>
      <c r="J97" s="80"/>
      <c r="K97" s="79"/>
      <c r="L97" s="82"/>
      <c r="M97" s="78">
        <f>IF($B97="","",IF(OR($K97="Arrived",$L97&lt;&gt;""),"Yes","No"))</f>
      </c>
      <c r="N97" s="79"/>
      <c r="O97" s="82"/>
      <c r="P97" s="86"/>
      <c r="Q97" s="79"/>
      <c r="R97" s="78">
        <f>IF($B97="","",IF(OR($K97="Cancelled",$K97="Returned"),"CLOSED",IF($M97="Yes","ARRIVED",IF($E97="","MISSING DATE",IF($E97&lt;TODAY(),"LATE",IF(AND($J97="",$E97-TODAY()&lt;=Set_ShipWindow),"NO TRACKING","ON TRACK"))))))</f>
      </c>
      <c r="S97" s="78">
        <f>IF($B97="","",IF($O97="","—",IF($O97&lt;TODAY(),"CLOSED",IF($O97-TODAY()&lt;=7,"CLOSING SOON","OPEN"))))</f>
      </c>
      <c r="T97" s="80"/>
      <c r="U97" s="78">
        <f>IF($B97="",0,IF(COUNTIF('ONLINE ORDERS'!$B$6:$B$155,$B97)&gt;1,1,0))</f>
      </c>
      <c r="V97" s="78">
        <f>IF($F97="",0,IF(COUNTIF('PEOPLE + BUDGETS'!$B$6:$B$105,$F97)=0,1,0))</f>
      </c>
      <c r="W97" s="75"/>
    </row>
    <row r="98" ht="17" customHeight="1" spans="1:23" x14ac:dyDescent="0.25">
      <c r="A98" s="75"/>
      <c r="B98" s="79"/>
      <c r="C98" s="79"/>
      <c r="D98" s="82"/>
      <c r="E98" s="82"/>
      <c r="F98" s="79"/>
      <c r="G98" s="78">
        <f>IF($B98="","",IF($F98="","",IFERROR(IF(INDEX('PEOPLE + BUDGETS'!$C$6:$C$105,MATCH($F98,'PEOPLE + BUDGETS'!$B$6:$B$105,0))="","",INDEX('PEOPLE + BUDGETS'!$C$6:$C$105,MATCH($F98,'PEOPLE + BUDGETS'!$B$6:$B$105,0))),"")))</f>
      </c>
      <c r="H98" s="80"/>
      <c r="I98" s="86"/>
      <c r="J98" s="80"/>
      <c r="K98" s="79"/>
      <c r="L98" s="82"/>
      <c r="M98" s="78">
        <f>IF($B98="","",IF(OR($K98="Arrived",$L98&lt;&gt;""),"Yes","No"))</f>
      </c>
      <c r="N98" s="79"/>
      <c r="O98" s="82"/>
      <c r="P98" s="86"/>
      <c r="Q98" s="79"/>
      <c r="R98" s="78">
        <f>IF($B98="","",IF(OR($K98="Cancelled",$K98="Returned"),"CLOSED",IF($M98="Yes","ARRIVED",IF($E98="","MISSING DATE",IF($E98&lt;TODAY(),"LATE",IF(AND($J98="",$E98-TODAY()&lt;=Set_ShipWindow),"NO TRACKING","ON TRACK"))))))</f>
      </c>
      <c r="S98" s="78">
        <f>IF($B98="","",IF($O98="","—",IF($O98&lt;TODAY(),"CLOSED",IF($O98-TODAY()&lt;=7,"CLOSING SOON","OPEN"))))</f>
      </c>
      <c r="T98" s="80"/>
      <c r="U98" s="78">
        <f>IF($B98="",0,IF(COUNTIF('ONLINE ORDERS'!$B$6:$B$155,$B98)&gt;1,1,0))</f>
      </c>
      <c r="V98" s="78">
        <f>IF($F98="",0,IF(COUNTIF('PEOPLE + BUDGETS'!$B$6:$B$105,$F98)=0,1,0))</f>
      </c>
      <c r="W98" s="75"/>
    </row>
    <row r="99" ht="17" customHeight="1" spans="1:23" x14ac:dyDescent="0.25">
      <c r="A99" s="75"/>
      <c r="B99" s="79"/>
      <c r="C99" s="79"/>
      <c r="D99" s="82"/>
      <c r="E99" s="82"/>
      <c r="F99" s="79"/>
      <c r="G99" s="78">
        <f>IF($B99="","",IF($F99="","",IFERROR(IF(INDEX('PEOPLE + BUDGETS'!$C$6:$C$105,MATCH($F99,'PEOPLE + BUDGETS'!$B$6:$B$105,0))="","",INDEX('PEOPLE + BUDGETS'!$C$6:$C$105,MATCH($F99,'PEOPLE + BUDGETS'!$B$6:$B$105,0))),"")))</f>
      </c>
      <c r="H99" s="80"/>
      <c r="I99" s="86"/>
      <c r="J99" s="80"/>
      <c r="K99" s="79"/>
      <c r="L99" s="82"/>
      <c r="M99" s="78">
        <f>IF($B99="","",IF(OR($K99="Arrived",$L99&lt;&gt;""),"Yes","No"))</f>
      </c>
      <c r="N99" s="79"/>
      <c r="O99" s="82"/>
      <c r="P99" s="86"/>
      <c r="Q99" s="79"/>
      <c r="R99" s="78">
        <f>IF($B99="","",IF(OR($K99="Cancelled",$K99="Returned"),"CLOSED",IF($M99="Yes","ARRIVED",IF($E99="","MISSING DATE",IF($E99&lt;TODAY(),"LATE",IF(AND($J99="",$E99-TODAY()&lt;=Set_ShipWindow),"NO TRACKING","ON TRACK"))))))</f>
      </c>
      <c r="S99" s="78">
        <f>IF($B99="","",IF($O99="","—",IF($O99&lt;TODAY(),"CLOSED",IF($O99-TODAY()&lt;=7,"CLOSING SOON","OPEN"))))</f>
      </c>
      <c r="T99" s="80"/>
      <c r="U99" s="78">
        <f>IF($B99="",0,IF(COUNTIF('ONLINE ORDERS'!$B$6:$B$155,$B99)&gt;1,1,0))</f>
      </c>
      <c r="V99" s="78">
        <f>IF($F99="",0,IF(COUNTIF('PEOPLE + BUDGETS'!$B$6:$B$105,$F99)=0,1,0))</f>
      </c>
      <c r="W99" s="75"/>
    </row>
    <row r="100" ht="17" customHeight="1" spans="1:23" x14ac:dyDescent="0.25">
      <c r="A100" s="75"/>
      <c r="B100" s="79"/>
      <c r="C100" s="79"/>
      <c r="D100" s="82"/>
      <c r="E100" s="82"/>
      <c r="F100" s="79"/>
      <c r="G100" s="78">
        <f>IF($B100="","",IF($F100="","",IFERROR(IF(INDEX('PEOPLE + BUDGETS'!$C$6:$C$105,MATCH($F100,'PEOPLE + BUDGETS'!$B$6:$B$105,0))="","",INDEX('PEOPLE + BUDGETS'!$C$6:$C$105,MATCH($F100,'PEOPLE + BUDGETS'!$B$6:$B$105,0))),"")))</f>
      </c>
      <c r="H100" s="80"/>
      <c r="I100" s="86"/>
      <c r="J100" s="80"/>
      <c r="K100" s="79"/>
      <c r="L100" s="82"/>
      <c r="M100" s="78">
        <f>IF($B100="","",IF(OR($K100="Arrived",$L100&lt;&gt;""),"Yes","No"))</f>
      </c>
      <c r="N100" s="79"/>
      <c r="O100" s="82"/>
      <c r="P100" s="86"/>
      <c r="Q100" s="79"/>
      <c r="R100" s="78">
        <f>IF($B100="","",IF(OR($K100="Cancelled",$K100="Returned"),"CLOSED",IF($M100="Yes","ARRIVED",IF($E100="","MISSING DATE",IF($E100&lt;TODAY(),"LATE",IF(AND($J100="",$E100-TODAY()&lt;=Set_ShipWindow),"NO TRACKING","ON TRACK"))))))</f>
      </c>
      <c r="S100" s="78">
        <f>IF($B100="","",IF($O100="","—",IF($O100&lt;TODAY(),"CLOSED",IF($O100-TODAY()&lt;=7,"CLOSING SOON","OPEN"))))</f>
      </c>
      <c r="T100" s="80"/>
      <c r="U100" s="78">
        <f>IF($B100="",0,IF(COUNTIF('ONLINE ORDERS'!$B$6:$B$155,$B100)&gt;1,1,0))</f>
      </c>
      <c r="V100" s="78">
        <f>IF($F100="",0,IF(COUNTIF('PEOPLE + BUDGETS'!$B$6:$B$105,$F100)=0,1,0))</f>
      </c>
      <c r="W100" s="75"/>
    </row>
    <row r="101" ht="17" customHeight="1" spans="1:23" x14ac:dyDescent="0.25">
      <c r="A101" s="75"/>
      <c r="B101" s="79"/>
      <c r="C101" s="79"/>
      <c r="D101" s="82"/>
      <c r="E101" s="82"/>
      <c r="F101" s="79"/>
      <c r="G101" s="78">
        <f>IF($B101="","",IF($F101="","",IFERROR(IF(INDEX('PEOPLE + BUDGETS'!$C$6:$C$105,MATCH($F101,'PEOPLE + BUDGETS'!$B$6:$B$105,0))="","",INDEX('PEOPLE + BUDGETS'!$C$6:$C$105,MATCH($F101,'PEOPLE + BUDGETS'!$B$6:$B$105,0))),"")))</f>
      </c>
      <c r="H101" s="80"/>
      <c r="I101" s="86"/>
      <c r="J101" s="80"/>
      <c r="K101" s="79"/>
      <c r="L101" s="82"/>
      <c r="M101" s="78">
        <f>IF($B101="","",IF(OR($K101="Arrived",$L101&lt;&gt;""),"Yes","No"))</f>
      </c>
      <c r="N101" s="79"/>
      <c r="O101" s="82"/>
      <c r="P101" s="86"/>
      <c r="Q101" s="79"/>
      <c r="R101" s="78">
        <f>IF($B101="","",IF(OR($K101="Cancelled",$K101="Returned"),"CLOSED",IF($M101="Yes","ARRIVED",IF($E101="","MISSING DATE",IF($E101&lt;TODAY(),"LATE",IF(AND($J101="",$E101-TODAY()&lt;=Set_ShipWindow),"NO TRACKING","ON TRACK"))))))</f>
      </c>
      <c r="S101" s="78">
        <f>IF($B101="","",IF($O101="","—",IF($O101&lt;TODAY(),"CLOSED",IF($O101-TODAY()&lt;=7,"CLOSING SOON","OPEN"))))</f>
      </c>
      <c r="T101" s="80"/>
      <c r="U101" s="78">
        <f>IF($B101="",0,IF(COUNTIF('ONLINE ORDERS'!$B$6:$B$155,$B101)&gt;1,1,0))</f>
      </c>
      <c r="V101" s="78">
        <f>IF($F101="",0,IF(COUNTIF('PEOPLE + BUDGETS'!$B$6:$B$105,$F101)=0,1,0))</f>
      </c>
      <c r="W101" s="75"/>
    </row>
    <row r="102" ht="17" customHeight="1" spans="1:23" x14ac:dyDescent="0.25">
      <c r="A102" s="75"/>
      <c r="B102" s="79"/>
      <c r="C102" s="79"/>
      <c r="D102" s="82"/>
      <c r="E102" s="82"/>
      <c r="F102" s="79"/>
      <c r="G102" s="78">
        <f>IF($B102="","",IF($F102="","",IFERROR(IF(INDEX('PEOPLE + BUDGETS'!$C$6:$C$105,MATCH($F102,'PEOPLE + BUDGETS'!$B$6:$B$105,0))="","",INDEX('PEOPLE + BUDGETS'!$C$6:$C$105,MATCH($F102,'PEOPLE + BUDGETS'!$B$6:$B$105,0))),"")))</f>
      </c>
      <c r="H102" s="80"/>
      <c r="I102" s="86"/>
      <c r="J102" s="80"/>
      <c r="K102" s="79"/>
      <c r="L102" s="82"/>
      <c r="M102" s="78">
        <f>IF($B102="","",IF(OR($K102="Arrived",$L102&lt;&gt;""),"Yes","No"))</f>
      </c>
      <c r="N102" s="79"/>
      <c r="O102" s="82"/>
      <c r="P102" s="86"/>
      <c r="Q102" s="79"/>
      <c r="R102" s="78">
        <f>IF($B102="","",IF(OR($K102="Cancelled",$K102="Returned"),"CLOSED",IF($M102="Yes","ARRIVED",IF($E102="","MISSING DATE",IF($E102&lt;TODAY(),"LATE",IF(AND($J102="",$E102-TODAY()&lt;=Set_ShipWindow),"NO TRACKING","ON TRACK"))))))</f>
      </c>
      <c r="S102" s="78">
        <f>IF($B102="","",IF($O102="","—",IF($O102&lt;TODAY(),"CLOSED",IF($O102-TODAY()&lt;=7,"CLOSING SOON","OPEN"))))</f>
      </c>
      <c r="T102" s="80"/>
      <c r="U102" s="78">
        <f>IF($B102="",0,IF(COUNTIF('ONLINE ORDERS'!$B$6:$B$155,$B102)&gt;1,1,0))</f>
      </c>
      <c r="V102" s="78">
        <f>IF($F102="",0,IF(COUNTIF('PEOPLE + BUDGETS'!$B$6:$B$105,$F102)=0,1,0))</f>
      </c>
      <c r="W102" s="75"/>
    </row>
    <row r="103" ht="17" customHeight="1" spans="1:23" x14ac:dyDescent="0.25">
      <c r="A103" s="75"/>
      <c r="B103" s="79"/>
      <c r="C103" s="79"/>
      <c r="D103" s="82"/>
      <c r="E103" s="82"/>
      <c r="F103" s="79"/>
      <c r="G103" s="78">
        <f>IF($B103="","",IF($F103="","",IFERROR(IF(INDEX('PEOPLE + BUDGETS'!$C$6:$C$105,MATCH($F103,'PEOPLE + BUDGETS'!$B$6:$B$105,0))="","",INDEX('PEOPLE + BUDGETS'!$C$6:$C$105,MATCH($F103,'PEOPLE + BUDGETS'!$B$6:$B$105,0))),"")))</f>
      </c>
      <c r="H103" s="80"/>
      <c r="I103" s="86"/>
      <c r="J103" s="80"/>
      <c r="K103" s="79"/>
      <c r="L103" s="82"/>
      <c r="M103" s="78">
        <f>IF($B103="","",IF(OR($K103="Arrived",$L103&lt;&gt;""),"Yes","No"))</f>
      </c>
      <c r="N103" s="79"/>
      <c r="O103" s="82"/>
      <c r="P103" s="86"/>
      <c r="Q103" s="79"/>
      <c r="R103" s="78">
        <f>IF($B103="","",IF(OR($K103="Cancelled",$K103="Returned"),"CLOSED",IF($M103="Yes","ARRIVED",IF($E103="","MISSING DATE",IF($E103&lt;TODAY(),"LATE",IF(AND($J103="",$E103-TODAY()&lt;=Set_ShipWindow),"NO TRACKING","ON TRACK"))))))</f>
      </c>
      <c r="S103" s="78">
        <f>IF($B103="","",IF($O103="","—",IF($O103&lt;TODAY(),"CLOSED",IF($O103-TODAY()&lt;=7,"CLOSING SOON","OPEN"))))</f>
      </c>
      <c r="T103" s="80"/>
      <c r="U103" s="78">
        <f>IF($B103="",0,IF(COUNTIF('ONLINE ORDERS'!$B$6:$B$155,$B103)&gt;1,1,0))</f>
      </c>
      <c r="V103" s="78">
        <f>IF($F103="",0,IF(COUNTIF('PEOPLE + BUDGETS'!$B$6:$B$105,$F103)=0,1,0))</f>
      </c>
      <c r="W103" s="75"/>
    </row>
    <row r="104" ht="17" customHeight="1" spans="1:23" x14ac:dyDescent="0.25">
      <c r="A104" s="75"/>
      <c r="B104" s="79"/>
      <c r="C104" s="79"/>
      <c r="D104" s="82"/>
      <c r="E104" s="82"/>
      <c r="F104" s="79"/>
      <c r="G104" s="78">
        <f>IF($B104="","",IF($F104="","",IFERROR(IF(INDEX('PEOPLE + BUDGETS'!$C$6:$C$105,MATCH($F104,'PEOPLE + BUDGETS'!$B$6:$B$105,0))="","",INDEX('PEOPLE + BUDGETS'!$C$6:$C$105,MATCH($F104,'PEOPLE + BUDGETS'!$B$6:$B$105,0))),"")))</f>
      </c>
      <c r="H104" s="80"/>
      <c r="I104" s="86"/>
      <c r="J104" s="80"/>
      <c r="K104" s="79"/>
      <c r="L104" s="82"/>
      <c r="M104" s="78">
        <f>IF($B104="","",IF(OR($K104="Arrived",$L104&lt;&gt;""),"Yes","No"))</f>
      </c>
      <c r="N104" s="79"/>
      <c r="O104" s="82"/>
      <c r="P104" s="86"/>
      <c r="Q104" s="79"/>
      <c r="R104" s="78">
        <f>IF($B104="","",IF(OR($K104="Cancelled",$K104="Returned"),"CLOSED",IF($M104="Yes","ARRIVED",IF($E104="","MISSING DATE",IF($E104&lt;TODAY(),"LATE",IF(AND($J104="",$E104-TODAY()&lt;=Set_ShipWindow),"NO TRACKING","ON TRACK"))))))</f>
      </c>
      <c r="S104" s="78">
        <f>IF($B104="","",IF($O104="","—",IF($O104&lt;TODAY(),"CLOSED",IF($O104-TODAY()&lt;=7,"CLOSING SOON","OPEN"))))</f>
      </c>
      <c r="T104" s="80"/>
      <c r="U104" s="78">
        <f>IF($B104="",0,IF(COUNTIF('ONLINE ORDERS'!$B$6:$B$155,$B104)&gt;1,1,0))</f>
      </c>
      <c r="V104" s="78">
        <f>IF($F104="",0,IF(COUNTIF('PEOPLE + BUDGETS'!$B$6:$B$105,$F104)=0,1,0))</f>
      </c>
      <c r="W104" s="75"/>
    </row>
    <row r="105" ht="17" customHeight="1" spans="1:23" x14ac:dyDescent="0.25">
      <c r="A105" s="75"/>
      <c r="B105" s="79"/>
      <c r="C105" s="79"/>
      <c r="D105" s="82"/>
      <c r="E105" s="82"/>
      <c r="F105" s="79"/>
      <c r="G105" s="78">
        <f>IF($B105="","",IF($F105="","",IFERROR(IF(INDEX('PEOPLE + BUDGETS'!$C$6:$C$105,MATCH($F105,'PEOPLE + BUDGETS'!$B$6:$B$105,0))="","",INDEX('PEOPLE + BUDGETS'!$C$6:$C$105,MATCH($F105,'PEOPLE + BUDGETS'!$B$6:$B$105,0))),"")))</f>
      </c>
      <c r="H105" s="80"/>
      <c r="I105" s="86"/>
      <c r="J105" s="80"/>
      <c r="K105" s="79"/>
      <c r="L105" s="82"/>
      <c r="M105" s="78">
        <f>IF($B105="","",IF(OR($K105="Arrived",$L105&lt;&gt;""),"Yes","No"))</f>
      </c>
      <c r="N105" s="79"/>
      <c r="O105" s="82"/>
      <c r="P105" s="86"/>
      <c r="Q105" s="79"/>
      <c r="R105" s="78">
        <f>IF($B105="","",IF(OR($K105="Cancelled",$K105="Returned"),"CLOSED",IF($M105="Yes","ARRIVED",IF($E105="","MISSING DATE",IF($E105&lt;TODAY(),"LATE",IF(AND($J105="",$E105-TODAY()&lt;=Set_ShipWindow),"NO TRACKING","ON TRACK"))))))</f>
      </c>
      <c r="S105" s="78">
        <f>IF($B105="","",IF($O105="","—",IF($O105&lt;TODAY(),"CLOSED",IF($O105-TODAY()&lt;=7,"CLOSING SOON","OPEN"))))</f>
      </c>
      <c r="T105" s="80"/>
      <c r="U105" s="78">
        <f>IF($B105="",0,IF(COUNTIF('ONLINE ORDERS'!$B$6:$B$155,$B105)&gt;1,1,0))</f>
      </c>
      <c r="V105" s="78">
        <f>IF($F105="",0,IF(COUNTIF('PEOPLE + BUDGETS'!$B$6:$B$105,$F105)=0,1,0))</f>
      </c>
      <c r="W105" s="75"/>
    </row>
    <row r="106" ht="17" customHeight="1" spans="1:23" x14ac:dyDescent="0.25">
      <c r="A106" s="75"/>
      <c r="B106" s="79"/>
      <c r="C106" s="79"/>
      <c r="D106" s="82"/>
      <c r="E106" s="82"/>
      <c r="F106" s="79"/>
      <c r="G106" s="78">
        <f>IF($B106="","",IF($F106="","",IFERROR(IF(INDEX('PEOPLE + BUDGETS'!$C$6:$C$105,MATCH($F106,'PEOPLE + BUDGETS'!$B$6:$B$105,0))="","",INDEX('PEOPLE + BUDGETS'!$C$6:$C$105,MATCH($F106,'PEOPLE + BUDGETS'!$B$6:$B$105,0))),"")))</f>
      </c>
      <c r="H106" s="80"/>
      <c r="I106" s="86"/>
      <c r="J106" s="80"/>
      <c r="K106" s="79"/>
      <c r="L106" s="82"/>
      <c r="M106" s="78">
        <f>IF($B106="","",IF(OR($K106="Arrived",$L106&lt;&gt;""),"Yes","No"))</f>
      </c>
      <c r="N106" s="79"/>
      <c r="O106" s="82"/>
      <c r="P106" s="86"/>
      <c r="Q106" s="79"/>
      <c r="R106" s="78">
        <f>IF($B106="","",IF(OR($K106="Cancelled",$K106="Returned"),"CLOSED",IF($M106="Yes","ARRIVED",IF($E106="","MISSING DATE",IF($E106&lt;TODAY(),"LATE",IF(AND($J106="",$E106-TODAY()&lt;=Set_ShipWindow),"NO TRACKING","ON TRACK"))))))</f>
      </c>
      <c r="S106" s="78">
        <f>IF($B106="","",IF($O106="","—",IF($O106&lt;TODAY(),"CLOSED",IF($O106-TODAY()&lt;=7,"CLOSING SOON","OPEN"))))</f>
      </c>
      <c r="T106" s="80"/>
      <c r="U106" s="78">
        <f>IF($B106="",0,IF(COUNTIF('ONLINE ORDERS'!$B$6:$B$155,$B106)&gt;1,1,0))</f>
      </c>
      <c r="V106" s="78">
        <f>IF($F106="",0,IF(COUNTIF('PEOPLE + BUDGETS'!$B$6:$B$105,$F106)=0,1,0))</f>
      </c>
      <c r="W106" s="75"/>
    </row>
    <row r="107" ht="17" customHeight="1" spans="1:23" x14ac:dyDescent="0.25">
      <c r="A107" s="75"/>
      <c r="B107" s="79"/>
      <c r="C107" s="79"/>
      <c r="D107" s="82"/>
      <c r="E107" s="82"/>
      <c r="F107" s="79"/>
      <c r="G107" s="78">
        <f>IF($B107="","",IF($F107="","",IFERROR(IF(INDEX('PEOPLE + BUDGETS'!$C$6:$C$105,MATCH($F107,'PEOPLE + BUDGETS'!$B$6:$B$105,0))="","",INDEX('PEOPLE + BUDGETS'!$C$6:$C$105,MATCH($F107,'PEOPLE + BUDGETS'!$B$6:$B$105,0))),"")))</f>
      </c>
      <c r="H107" s="80"/>
      <c r="I107" s="86"/>
      <c r="J107" s="80"/>
      <c r="K107" s="79"/>
      <c r="L107" s="82"/>
      <c r="M107" s="78">
        <f>IF($B107="","",IF(OR($K107="Arrived",$L107&lt;&gt;""),"Yes","No"))</f>
      </c>
      <c r="N107" s="79"/>
      <c r="O107" s="82"/>
      <c r="P107" s="86"/>
      <c r="Q107" s="79"/>
      <c r="R107" s="78">
        <f>IF($B107="","",IF(OR($K107="Cancelled",$K107="Returned"),"CLOSED",IF($M107="Yes","ARRIVED",IF($E107="","MISSING DATE",IF($E107&lt;TODAY(),"LATE",IF(AND($J107="",$E107-TODAY()&lt;=Set_ShipWindow),"NO TRACKING","ON TRACK"))))))</f>
      </c>
      <c r="S107" s="78">
        <f>IF($B107="","",IF($O107="","—",IF($O107&lt;TODAY(),"CLOSED",IF($O107-TODAY()&lt;=7,"CLOSING SOON","OPEN"))))</f>
      </c>
      <c r="T107" s="80"/>
      <c r="U107" s="78">
        <f>IF($B107="",0,IF(COUNTIF('ONLINE ORDERS'!$B$6:$B$155,$B107)&gt;1,1,0))</f>
      </c>
      <c r="V107" s="78">
        <f>IF($F107="",0,IF(COUNTIF('PEOPLE + BUDGETS'!$B$6:$B$105,$F107)=0,1,0))</f>
      </c>
      <c r="W107" s="75"/>
    </row>
    <row r="108" ht="17" customHeight="1" spans="1:23" x14ac:dyDescent="0.25">
      <c r="A108" s="75"/>
      <c r="B108" s="79"/>
      <c r="C108" s="79"/>
      <c r="D108" s="82"/>
      <c r="E108" s="82"/>
      <c r="F108" s="79"/>
      <c r="G108" s="78">
        <f>IF($B108="","",IF($F108="","",IFERROR(IF(INDEX('PEOPLE + BUDGETS'!$C$6:$C$105,MATCH($F108,'PEOPLE + BUDGETS'!$B$6:$B$105,0))="","",INDEX('PEOPLE + BUDGETS'!$C$6:$C$105,MATCH($F108,'PEOPLE + BUDGETS'!$B$6:$B$105,0))),"")))</f>
      </c>
      <c r="H108" s="80"/>
      <c r="I108" s="86"/>
      <c r="J108" s="80"/>
      <c r="K108" s="79"/>
      <c r="L108" s="82"/>
      <c r="M108" s="78">
        <f>IF($B108="","",IF(OR($K108="Arrived",$L108&lt;&gt;""),"Yes","No"))</f>
      </c>
      <c r="N108" s="79"/>
      <c r="O108" s="82"/>
      <c r="P108" s="86"/>
      <c r="Q108" s="79"/>
      <c r="R108" s="78">
        <f>IF($B108="","",IF(OR($K108="Cancelled",$K108="Returned"),"CLOSED",IF($M108="Yes","ARRIVED",IF($E108="","MISSING DATE",IF($E108&lt;TODAY(),"LATE",IF(AND($J108="",$E108-TODAY()&lt;=Set_ShipWindow),"NO TRACKING","ON TRACK"))))))</f>
      </c>
      <c r="S108" s="78">
        <f>IF($B108="","",IF($O108="","—",IF($O108&lt;TODAY(),"CLOSED",IF($O108-TODAY()&lt;=7,"CLOSING SOON","OPEN"))))</f>
      </c>
      <c r="T108" s="80"/>
      <c r="U108" s="78">
        <f>IF($B108="",0,IF(COUNTIF('ONLINE ORDERS'!$B$6:$B$155,$B108)&gt;1,1,0))</f>
      </c>
      <c r="V108" s="78">
        <f>IF($F108="",0,IF(COUNTIF('PEOPLE + BUDGETS'!$B$6:$B$105,$F108)=0,1,0))</f>
      </c>
      <c r="W108" s="75"/>
    </row>
    <row r="109" ht="17" customHeight="1" spans="1:23" x14ac:dyDescent="0.25">
      <c r="A109" s="75"/>
      <c r="B109" s="79"/>
      <c r="C109" s="79"/>
      <c r="D109" s="82"/>
      <c r="E109" s="82"/>
      <c r="F109" s="79"/>
      <c r="G109" s="78">
        <f>IF($B109="","",IF($F109="","",IFERROR(IF(INDEX('PEOPLE + BUDGETS'!$C$6:$C$105,MATCH($F109,'PEOPLE + BUDGETS'!$B$6:$B$105,0))="","",INDEX('PEOPLE + BUDGETS'!$C$6:$C$105,MATCH($F109,'PEOPLE + BUDGETS'!$B$6:$B$105,0))),"")))</f>
      </c>
      <c r="H109" s="80"/>
      <c r="I109" s="86"/>
      <c r="J109" s="80"/>
      <c r="K109" s="79"/>
      <c r="L109" s="82"/>
      <c r="M109" s="78">
        <f>IF($B109="","",IF(OR($K109="Arrived",$L109&lt;&gt;""),"Yes","No"))</f>
      </c>
      <c r="N109" s="79"/>
      <c r="O109" s="82"/>
      <c r="P109" s="86"/>
      <c r="Q109" s="79"/>
      <c r="R109" s="78">
        <f>IF($B109="","",IF(OR($K109="Cancelled",$K109="Returned"),"CLOSED",IF($M109="Yes","ARRIVED",IF($E109="","MISSING DATE",IF($E109&lt;TODAY(),"LATE",IF(AND($J109="",$E109-TODAY()&lt;=Set_ShipWindow),"NO TRACKING","ON TRACK"))))))</f>
      </c>
      <c r="S109" s="78">
        <f>IF($B109="","",IF($O109="","—",IF($O109&lt;TODAY(),"CLOSED",IF($O109-TODAY()&lt;=7,"CLOSING SOON","OPEN"))))</f>
      </c>
      <c r="T109" s="80"/>
      <c r="U109" s="78">
        <f>IF($B109="",0,IF(COUNTIF('ONLINE ORDERS'!$B$6:$B$155,$B109)&gt;1,1,0))</f>
      </c>
      <c r="V109" s="78">
        <f>IF($F109="",0,IF(COUNTIF('PEOPLE + BUDGETS'!$B$6:$B$105,$F109)=0,1,0))</f>
      </c>
      <c r="W109" s="75"/>
    </row>
    <row r="110" ht="17" customHeight="1" spans="1:23" x14ac:dyDescent="0.25">
      <c r="A110" s="75"/>
      <c r="B110" s="79"/>
      <c r="C110" s="79"/>
      <c r="D110" s="82"/>
      <c r="E110" s="82"/>
      <c r="F110" s="79"/>
      <c r="G110" s="78">
        <f>IF($B110="","",IF($F110="","",IFERROR(IF(INDEX('PEOPLE + BUDGETS'!$C$6:$C$105,MATCH($F110,'PEOPLE + BUDGETS'!$B$6:$B$105,0))="","",INDEX('PEOPLE + BUDGETS'!$C$6:$C$105,MATCH($F110,'PEOPLE + BUDGETS'!$B$6:$B$105,0))),"")))</f>
      </c>
      <c r="H110" s="80"/>
      <c r="I110" s="86"/>
      <c r="J110" s="80"/>
      <c r="K110" s="79"/>
      <c r="L110" s="82"/>
      <c r="M110" s="78">
        <f>IF($B110="","",IF(OR($K110="Arrived",$L110&lt;&gt;""),"Yes","No"))</f>
      </c>
      <c r="N110" s="79"/>
      <c r="O110" s="82"/>
      <c r="P110" s="86"/>
      <c r="Q110" s="79"/>
      <c r="R110" s="78">
        <f>IF($B110="","",IF(OR($K110="Cancelled",$K110="Returned"),"CLOSED",IF($M110="Yes","ARRIVED",IF($E110="","MISSING DATE",IF($E110&lt;TODAY(),"LATE",IF(AND($J110="",$E110-TODAY()&lt;=Set_ShipWindow),"NO TRACKING","ON TRACK"))))))</f>
      </c>
      <c r="S110" s="78">
        <f>IF($B110="","",IF($O110="","—",IF($O110&lt;TODAY(),"CLOSED",IF($O110-TODAY()&lt;=7,"CLOSING SOON","OPEN"))))</f>
      </c>
      <c r="T110" s="80"/>
      <c r="U110" s="78">
        <f>IF($B110="",0,IF(COUNTIF('ONLINE ORDERS'!$B$6:$B$155,$B110)&gt;1,1,0))</f>
      </c>
      <c r="V110" s="78">
        <f>IF($F110="",0,IF(COUNTIF('PEOPLE + BUDGETS'!$B$6:$B$105,$F110)=0,1,0))</f>
      </c>
      <c r="W110" s="75"/>
    </row>
    <row r="111" ht="17" customHeight="1" spans="1:23" x14ac:dyDescent="0.25">
      <c r="A111" s="75"/>
      <c r="B111" s="79"/>
      <c r="C111" s="79"/>
      <c r="D111" s="82"/>
      <c r="E111" s="82"/>
      <c r="F111" s="79"/>
      <c r="G111" s="78">
        <f>IF($B111="","",IF($F111="","",IFERROR(IF(INDEX('PEOPLE + BUDGETS'!$C$6:$C$105,MATCH($F111,'PEOPLE + BUDGETS'!$B$6:$B$105,0))="","",INDEX('PEOPLE + BUDGETS'!$C$6:$C$105,MATCH($F111,'PEOPLE + BUDGETS'!$B$6:$B$105,0))),"")))</f>
      </c>
      <c r="H111" s="80"/>
      <c r="I111" s="86"/>
      <c r="J111" s="80"/>
      <c r="K111" s="79"/>
      <c r="L111" s="82"/>
      <c r="M111" s="78">
        <f>IF($B111="","",IF(OR($K111="Arrived",$L111&lt;&gt;""),"Yes","No"))</f>
      </c>
      <c r="N111" s="79"/>
      <c r="O111" s="82"/>
      <c r="P111" s="86"/>
      <c r="Q111" s="79"/>
      <c r="R111" s="78">
        <f>IF($B111="","",IF(OR($K111="Cancelled",$K111="Returned"),"CLOSED",IF($M111="Yes","ARRIVED",IF($E111="","MISSING DATE",IF($E111&lt;TODAY(),"LATE",IF(AND($J111="",$E111-TODAY()&lt;=Set_ShipWindow),"NO TRACKING","ON TRACK"))))))</f>
      </c>
      <c r="S111" s="78">
        <f>IF($B111="","",IF($O111="","—",IF($O111&lt;TODAY(),"CLOSED",IF($O111-TODAY()&lt;=7,"CLOSING SOON","OPEN"))))</f>
      </c>
      <c r="T111" s="80"/>
      <c r="U111" s="78">
        <f>IF($B111="",0,IF(COUNTIF('ONLINE ORDERS'!$B$6:$B$155,$B111)&gt;1,1,0))</f>
      </c>
      <c r="V111" s="78">
        <f>IF($F111="",0,IF(COUNTIF('PEOPLE + BUDGETS'!$B$6:$B$105,$F111)=0,1,0))</f>
      </c>
      <c r="W111" s="75"/>
    </row>
    <row r="112" ht="17" customHeight="1" spans="1:23" x14ac:dyDescent="0.25">
      <c r="A112" s="75"/>
      <c r="B112" s="79"/>
      <c r="C112" s="79"/>
      <c r="D112" s="82"/>
      <c r="E112" s="82"/>
      <c r="F112" s="79"/>
      <c r="G112" s="78">
        <f>IF($B112="","",IF($F112="","",IFERROR(IF(INDEX('PEOPLE + BUDGETS'!$C$6:$C$105,MATCH($F112,'PEOPLE + BUDGETS'!$B$6:$B$105,0))="","",INDEX('PEOPLE + BUDGETS'!$C$6:$C$105,MATCH($F112,'PEOPLE + BUDGETS'!$B$6:$B$105,0))),"")))</f>
      </c>
      <c r="H112" s="80"/>
      <c r="I112" s="86"/>
      <c r="J112" s="80"/>
      <c r="K112" s="79"/>
      <c r="L112" s="82"/>
      <c r="M112" s="78">
        <f>IF($B112="","",IF(OR($K112="Arrived",$L112&lt;&gt;""),"Yes","No"))</f>
      </c>
      <c r="N112" s="79"/>
      <c r="O112" s="82"/>
      <c r="P112" s="86"/>
      <c r="Q112" s="79"/>
      <c r="R112" s="78">
        <f>IF($B112="","",IF(OR($K112="Cancelled",$K112="Returned"),"CLOSED",IF($M112="Yes","ARRIVED",IF($E112="","MISSING DATE",IF($E112&lt;TODAY(),"LATE",IF(AND($J112="",$E112-TODAY()&lt;=Set_ShipWindow),"NO TRACKING","ON TRACK"))))))</f>
      </c>
      <c r="S112" s="78">
        <f>IF($B112="","",IF($O112="","—",IF($O112&lt;TODAY(),"CLOSED",IF($O112-TODAY()&lt;=7,"CLOSING SOON","OPEN"))))</f>
      </c>
      <c r="T112" s="80"/>
      <c r="U112" s="78">
        <f>IF($B112="",0,IF(COUNTIF('ONLINE ORDERS'!$B$6:$B$155,$B112)&gt;1,1,0))</f>
      </c>
      <c r="V112" s="78">
        <f>IF($F112="",0,IF(COUNTIF('PEOPLE + BUDGETS'!$B$6:$B$105,$F112)=0,1,0))</f>
      </c>
      <c r="W112" s="75"/>
    </row>
    <row r="113" ht="17" customHeight="1" spans="1:23" x14ac:dyDescent="0.25">
      <c r="A113" s="75"/>
      <c r="B113" s="79"/>
      <c r="C113" s="79"/>
      <c r="D113" s="82"/>
      <c r="E113" s="82"/>
      <c r="F113" s="79"/>
      <c r="G113" s="78">
        <f>IF($B113="","",IF($F113="","",IFERROR(IF(INDEX('PEOPLE + BUDGETS'!$C$6:$C$105,MATCH($F113,'PEOPLE + BUDGETS'!$B$6:$B$105,0))="","",INDEX('PEOPLE + BUDGETS'!$C$6:$C$105,MATCH($F113,'PEOPLE + BUDGETS'!$B$6:$B$105,0))),"")))</f>
      </c>
      <c r="H113" s="80"/>
      <c r="I113" s="86"/>
      <c r="J113" s="80"/>
      <c r="K113" s="79"/>
      <c r="L113" s="82"/>
      <c r="M113" s="78">
        <f>IF($B113="","",IF(OR($K113="Arrived",$L113&lt;&gt;""),"Yes","No"))</f>
      </c>
      <c r="N113" s="79"/>
      <c r="O113" s="82"/>
      <c r="P113" s="86"/>
      <c r="Q113" s="79"/>
      <c r="R113" s="78">
        <f>IF($B113="","",IF(OR($K113="Cancelled",$K113="Returned"),"CLOSED",IF($M113="Yes","ARRIVED",IF($E113="","MISSING DATE",IF($E113&lt;TODAY(),"LATE",IF(AND($J113="",$E113-TODAY()&lt;=Set_ShipWindow),"NO TRACKING","ON TRACK"))))))</f>
      </c>
      <c r="S113" s="78">
        <f>IF($B113="","",IF($O113="","—",IF($O113&lt;TODAY(),"CLOSED",IF($O113-TODAY()&lt;=7,"CLOSING SOON","OPEN"))))</f>
      </c>
      <c r="T113" s="80"/>
      <c r="U113" s="78">
        <f>IF($B113="",0,IF(COUNTIF('ONLINE ORDERS'!$B$6:$B$155,$B113)&gt;1,1,0))</f>
      </c>
      <c r="V113" s="78">
        <f>IF($F113="",0,IF(COUNTIF('PEOPLE + BUDGETS'!$B$6:$B$105,$F113)=0,1,0))</f>
      </c>
      <c r="W113" s="75"/>
    </row>
    <row r="114" ht="17" customHeight="1" spans="1:23" x14ac:dyDescent="0.25">
      <c r="A114" s="75"/>
      <c r="B114" s="79"/>
      <c r="C114" s="79"/>
      <c r="D114" s="82"/>
      <c r="E114" s="82"/>
      <c r="F114" s="79"/>
      <c r="G114" s="78">
        <f>IF($B114="","",IF($F114="","",IFERROR(IF(INDEX('PEOPLE + BUDGETS'!$C$6:$C$105,MATCH($F114,'PEOPLE + BUDGETS'!$B$6:$B$105,0))="","",INDEX('PEOPLE + BUDGETS'!$C$6:$C$105,MATCH($F114,'PEOPLE + BUDGETS'!$B$6:$B$105,0))),"")))</f>
      </c>
      <c r="H114" s="80"/>
      <c r="I114" s="86"/>
      <c r="J114" s="80"/>
      <c r="K114" s="79"/>
      <c r="L114" s="82"/>
      <c r="M114" s="78">
        <f>IF($B114="","",IF(OR($K114="Arrived",$L114&lt;&gt;""),"Yes","No"))</f>
      </c>
      <c r="N114" s="79"/>
      <c r="O114" s="82"/>
      <c r="P114" s="86"/>
      <c r="Q114" s="79"/>
      <c r="R114" s="78">
        <f>IF($B114="","",IF(OR($K114="Cancelled",$K114="Returned"),"CLOSED",IF($M114="Yes","ARRIVED",IF($E114="","MISSING DATE",IF($E114&lt;TODAY(),"LATE",IF(AND($J114="",$E114-TODAY()&lt;=Set_ShipWindow),"NO TRACKING","ON TRACK"))))))</f>
      </c>
      <c r="S114" s="78">
        <f>IF($B114="","",IF($O114="","—",IF($O114&lt;TODAY(),"CLOSED",IF($O114-TODAY()&lt;=7,"CLOSING SOON","OPEN"))))</f>
      </c>
      <c r="T114" s="80"/>
      <c r="U114" s="78">
        <f>IF($B114="",0,IF(COUNTIF('ONLINE ORDERS'!$B$6:$B$155,$B114)&gt;1,1,0))</f>
      </c>
      <c r="V114" s="78">
        <f>IF($F114="",0,IF(COUNTIF('PEOPLE + BUDGETS'!$B$6:$B$105,$F114)=0,1,0))</f>
      </c>
      <c r="W114" s="75"/>
    </row>
    <row r="115" ht="17" customHeight="1" spans="1:23" x14ac:dyDescent="0.25">
      <c r="A115" s="75"/>
      <c r="B115" s="79"/>
      <c r="C115" s="79"/>
      <c r="D115" s="82"/>
      <c r="E115" s="82"/>
      <c r="F115" s="79"/>
      <c r="G115" s="78">
        <f>IF($B115="","",IF($F115="","",IFERROR(IF(INDEX('PEOPLE + BUDGETS'!$C$6:$C$105,MATCH($F115,'PEOPLE + BUDGETS'!$B$6:$B$105,0))="","",INDEX('PEOPLE + BUDGETS'!$C$6:$C$105,MATCH($F115,'PEOPLE + BUDGETS'!$B$6:$B$105,0))),"")))</f>
      </c>
      <c r="H115" s="80"/>
      <c r="I115" s="86"/>
      <c r="J115" s="80"/>
      <c r="K115" s="79"/>
      <c r="L115" s="82"/>
      <c r="M115" s="78">
        <f>IF($B115="","",IF(OR($K115="Arrived",$L115&lt;&gt;""),"Yes","No"))</f>
      </c>
      <c r="N115" s="79"/>
      <c r="O115" s="82"/>
      <c r="P115" s="86"/>
      <c r="Q115" s="79"/>
      <c r="R115" s="78">
        <f>IF($B115="","",IF(OR($K115="Cancelled",$K115="Returned"),"CLOSED",IF($M115="Yes","ARRIVED",IF($E115="","MISSING DATE",IF($E115&lt;TODAY(),"LATE",IF(AND($J115="",$E115-TODAY()&lt;=Set_ShipWindow),"NO TRACKING","ON TRACK"))))))</f>
      </c>
      <c r="S115" s="78">
        <f>IF($B115="","",IF($O115="","—",IF($O115&lt;TODAY(),"CLOSED",IF($O115-TODAY()&lt;=7,"CLOSING SOON","OPEN"))))</f>
      </c>
      <c r="T115" s="80"/>
      <c r="U115" s="78">
        <f>IF($B115="",0,IF(COUNTIF('ONLINE ORDERS'!$B$6:$B$155,$B115)&gt;1,1,0))</f>
      </c>
      <c r="V115" s="78">
        <f>IF($F115="",0,IF(COUNTIF('PEOPLE + BUDGETS'!$B$6:$B$105,$F115)=0,1,0))</f>
      </c>
      <c r="W115" s="75"/>
    </row>
    <row r="116" ht="17" customHeight="1" spans="1:23" x14ac:dyDescent="0.25">
      <c r="A116" s="75"/>
      <c r="B116" s="79"/>
      <c r="C116" s="79"/>
      <c r="D116" s="82"/>
      <c r="E116" s="82"/>
      <c r="F116" s="79"/>
      <c r="G116" s="78">
        <f>IF($B116="","",IF($F116="","",IFERROR(IF(INDEX('PEOPLE + BUDGETS'!$C$6:$C$105,MATCH($F116,'PEOPLE + BUDGETS'!$B$6:$B$105,0))="","",INDEX('PEOPLE + BUDGETS'!$C$6:$C$105,MATCH($F116,'PEOPLE + BUDGETS'!$B$6:$B$105,0))),"")))</f>
      </c>
      <c r="H116" s="80"/>
      <c r="I116" s="86"/>
      <c r="J116" s="80"/>
      <c r="K116" s="79"/>
      <c r="L116" s="82"/>
      <c r="M116" s="78">
        <f>IF($B116="","",IF(OR($K116="Arrived",$L116&lt;&gt;""),"Yes","No"))</f>
      </c>
      <c r="N116" s="79"/>
      <c r="O116" s="82"/>
      <c r="P116" s="86"/>
      <c r="Q116" s="79"/>
      <c r="R116" s="78">
        <f>IF($B116="","",IF(OR($K116="Cancelled",$K116="Returned"),"CLOSED",IF($M116="Yes","ARRIVED",IF($E116="","MISSING DATE",IF($E116&lt;TODAY(),"LATE",IF(AND($J116="",$E116-TODAY()&lt;=Set_ShipWindow),"NO TRACKING","ON TRACK"))))))</f>
      </c>
      <c r="S116" s="78">
        <f>IF($B116="","",IF($O116="","—",IF($O116&lt;TODAY(),"CLOSED",IF($O116-TODAY()&lt;=7,"CLOSING SOON","OPEN"))))</f>
      </c>
      <c r="T116" s="80"/>
      <c r="U116" s="78">
        <f>IF($B116="",0,IF(COUNTIF('ONLINE ORDERS'!$B$6:$B$155,$B116)&gt;1,1,0))</f>
      </c>
      <c r="V116" s="78">
        <f>IF($F116="",0,IF(COUNTIF('PEOPLE + BUDGETS'!$B$6:$B$105,$F116)=0,1,0))</f>
      </c>
      <c r="W116" s="75"/>
    </row>
    <row r="117" ht="17" customHeight="1" spans="1:23" x14ac:dyDescent="0.25">
      <c r="A117" s="75"/>
      <c r="B117" s="79"/>
      <c r="C117" s="79"/>
      <c r="D117" s="82"/>
      <c r="E117" s="82"/>
      <c r="F117" s="79"/>
      <c r="G117" s="78">
        <f>IF($B117="","",IF($F117="","",IFERROR(IF(INDEX('PEOPLE + BUDGETS'!$C$6:$C$105,MATCH($F117,'PEOPLE + BUDGETS'!$B$6:$B$105,0))="","",INDEX('PEOPLE + BUDGETS'!$C$6:$C$105,MATCH($F117,'PEOPLE + BUDGETS'!$B$6:$B$105,0))),"")))</f>
      </c>
      <c r="H117" s="80"/>
      <c r="I117" s="86"/>
      <c r="J117" s="80"/>
      <c r="K117" s="79"/>
      <c r="L117" s="82"/>
      <c r="M117" s="78">
        <f>IF($B117="","",IF(OR($K117="Arrived",$L117&lt;&gt;""),"Yes","No"))</f>
      </c>
      <c r="N117" s="79"/>
      <c r="O117" s="82"/>
      <c r="P117" s="86"/>
      <c r="Q117" s="79"/>
      <c r="R117" s="78">
        <f>IF($B117="","",IF(OR($K117="Cancelled",$K117="Returned"),"CLOSED",IF($M117="Yes","ARRIVED",IF($E117="","MISSING DATE",IF($E117&lt;TODAY(),"LATE",IF(AND($J117="",$E117-TODAY()&lt;=Set_ShipWindow),"NO TRACKING","ON TRACK"))))))</f>
      </c>
      <c r="S117" s="78">
        <f>IF($B117="","",IF($O117="","—",IF($O117&lt;TODAY(),"CLOSED",IF($O117-TODAY()&lt;=7,"CLOSING SOON","OPEN"))))</f>
      </c>
      <c r="T117" s="80"/>
      <c r="U117" s="78">
        <f>IF($B117="",0,IF(COUNTIF('ONLINE ORDERS'!$B$6:$B$155,$B117)&gt;1,1,0))</f>
      </c>
      <c r="V117" s="78">
        <f>IF($F117="",0,IF(COUNTIF('PEOPLE + BUDGETS'!$B$6:$B$105,$F117)=0,1,0))</f>
      </c>
      <c r="W117" s="75"/>
    </row>
    <row r="118" ht="17" customHeight="1" spans="1:23" x14ac:dyDescent="0.25">
      <c r="A118" s="75"/>
      <c r="B118" s="79"/>
      <c r="C118" s="79"/>
      <c r="D118" s="82"/>
      <c r="E118" s="82"/>
      <c r="F118" s="79"/>
      <c r="G118" s="78">
        <f>IF($B118="","",IF($F118="","",IFERROR(IF(INDEX('PEOPLE + BUDGETS'!$C$6:$C$105,MATCH($F118,'PEOPLE + BUDGETS'!$B$6:$B$105,0))="","",INDEX('PEOPLE + BUDGETS'!$C$6:$C$105,MATCH($F118,'PEOPLE + BUDGETS'!$B$6:$B$105,0))),"")))</f>
      </c>
      <c r="H118" s="80"/>
      <c r="I118" s="86"/>
      <c r="J118" s="80"/>
      <c r="K118" s="79"/>
      <c r="L118" s="82"/>
      <c r="M118" s="78">
        <f>IF($B118="","",IF(OR($K118="Arrived",$L118&lt;&gt;""),"Yes","No"))</f>
      </c>
      <c r="N118" s="79"/>
      <c r="O118" s="82"/>
      <c r="P118" s="86"/>
      <c r="Q118" s="79"/>
      <c r="R118" s="78">
        <f>IF($B118="","",IF(OR($K118="Cancelled",$K118="Returned"),"CLOSED",IF($M118="Yes","ARRIVED",IF($E118="","MISSING DATE",IF($E118&lt;TODAY(),"LATE",IF(AND($J118="",$E118-TODAY()&lt;=Set_ShipWindow),"NO TRACKING","ON TRACK"))))))</f>
      </c>
      <c r="S118" s="78">
        <f>IF($B118="","",IF($O118="","—",IF($O118&lt;TODAY(),"CLOSED",IF($O118-TODAY()&lt;=7,"CLOSING SOON","OPEN"))))</f>
      </c>
      <c r="T118" s="80"/>
      <c r="U118" s="78">
        <f>IF($B118="",0,IF(COUNTIF('ONLINE ORDERS'!$B$6:$B$155,$B118)&gt;1,1,0))</f>
      </c>
      <c r="V118" s="78">
        <f>IF($F118="",0,IF(COUNTIF('PEOPLE + BUDGETS'!$B$6:$B$105,$F118)=0,1,0))</f>
      </c>
      <c r="W118" s="75"/>
    </row>
    <row r="119" ht="17" customHeight="1" spans="1:23" x14ac:dyDescent="0.25">
      <c r="A119" s="75"/>
      <c r="B119" s="79"/>
      <c r="C119" s="79"/>
      <c r="D119" s="82"/>
      <c r="E119" s="82"/>
      <c r="F119" s="79"/>
      <c r="G119" s="78">
        <f>IF($B119="","",IF($F119="","",IFERROR(IF(INDEX('PEOPLE + BUDGETS'!$C$6:$C$105,MATCH($F119,'PEOPLE + BUDGETS'!$B$6:$B$105,0))="","",INDEX('PEOPLE + BUDGETS'!$C$6:$C$105,MATCH($F119,'PEOPLE + BUDGETS'!$B$6:$B$105,0))),"")))</f>
      </c>
      <c r="H119" s="80"/>
      <c r="I119" s="86"/>
      <c r="J119" s="80"/>
      <c r="K119" s="79"/>
      <c r="L119" s="82"/>
      <c r="M119" s="78">
        <f>IF($B119="","",IF(OR($K119="Arrived",$L119&lt;&gt;""),"Yes","No"))</f>
      </c>
      <c r="N119" s="79"/>
      <c r="O119" s="82"/>
      <c r="P119" s="86"/>
      <c r="Q119" s="79"/>
      <c r="R119" s="78">
        <f>IF($B119="","",IF(OR($K119="Cancelled",$K119="Returned"),"CLOSED",IF($M119="Yes","ARRIVED",IF($E119="","MISSING DATE",IF($E119&lt;TODAY(),"LATE",IF(AND($J119="",$E119-TODAY()&lt;=Set_ShipWindow),"NO TRACKING","ON TRACK"))))))</f>
      </c>
      <c r="S119" s="78">
        <f>IF($B119="","",IF($O119="","—",IF($O119&lt;TODAY(),"CLOSED",IF($O119-TODAY()&lt;=7,"CLOSING SOON","OPEN"))))</f>
      </c>
      <c r="T119" s="80"/>
      <c r="U119" s="78">
        <f>IF($B119="",0,IF(COUNTIF('ONLINE ORDERS'!$B$6:$B$155,$B119)&gt;1,1,0))</f>
      </c>
      <c r="V119" s="78">
        <f>IF($F119="",0,IF(COUNTIF('PEOPLE + BUDGETS'!$B$6:$B$105,$F119)=0,1,0))</f>
      </c>
      <c r="W119" s="75"/>
    </row>
    <row r="120" ht="17" customHeight="1" spans="1:23" x14ac:dyDescent="0.25">
      <c r="A120" s="75"/>
      <c r="B120" s="79"/>
      <c r="C120" s="79"/>
      <c r="D120" s="82"/>
      <c r="E120" s="82"/>
      <c r="F120" s="79"/>
      <c r="G120" s="78">
        <f>IF($B120="","",IF($F120="","",IFERROR(IF(INDEX('PEOPLE + BUDGETS'!$C$6:$C$105,MATCH($F120,'PEOPLE + BUDGETS'!$B$6:$B$105,0))="","",INDEX('PEOPLE + BUDGETS'!$C$6:$C$105,MATCH($F120,'PEOPLE + BUDGETS'!$B$6:$B$105,0))),"")))</f>
      </c>
      <c r="H120" s="80"/>
      <c r="I120" s="86"/>
      <c r="J120" s="80"/>
      <c r="K120" s="79"/>
      <c r="L120" s="82"/>
      <c r="M120" s="78">
        <f>IF($B120="","",IF(OR($K120="Arrived",$L120&lt;&gt;""),"Yes","No"))</f>
      </c>
      <c r="N120" s="79"/>
      <c r="O120" s="82"/>
      <c r="P120" s="86"/>
      <c r="Q120" s="79"/>
      <c r="R120" s="78">
        <f>IF($B120="","",IF(OR($K120="Cancelled",$K120="Returned"),"CLOSED",IF($M120="Yes","ARRIVED",IF($E120="","MISSING DATE",IF($E120&lt;TODAY(),"LATE",IF(AND($J120="",$E120-TODAY()&lt;=Set_ShipWindow),"NO TRACKING","ON TRACK"))))))</f>
      </c>
      <c r="S120" s="78">
        <f>IF($B120="","",IF($O120="","—",IF($O120&lt;TODAY(),"CLOSED",IF($O120-TODAY()&lt;=7,"CLOSING SOON","OPEN"))))</f>
      </c>
      <c r="T120" s="80"/>
      <c r="U120" s="78">
        <f>IF($B120="",0,IF(COUNTIF('ONLINE ORDERS'!$B$6:$B$155,$B120)&gt;1,1,0))</f>
      </c>
      <c r="V120" s="78">
        <f>IF($F120="",0,IF(COUNTIF('PEOPLE + BUDGETS'!$B$6:$B$105,$F120)=0,1,0))</f>
      </c>
      <c r="W120" s="75"/>
    </row>
    <row r="121" ht="17" customHeight="1" spans="1:23" x14ac:dyDescent="0.25">
      <c r="A121" s="75"/>
      <c r="B121" s="79"/>
      <c r="C121" s="79"/>
      <c r="D121" s="82"/>
      <c r="E121" s="82"/>
      <c r="F121" s="79"/>
      <c r="G121" s="78">
        <f>IF($B121="","",IF($F121="","",IFERROR(IF(INDEX('PEOPLE + BUDGETS'!$C$6:$C$105,MATCH($F121,'PEOPLE + BUDGETS'!$B$6:$B$105,0))="","",INDEX('PEOPLE + BUDGETS'!$C$6:$C$105,MATCH($F121,'PEOPLE + BUDGETS'!$B$6:$B$105,0))),"")))</f>
      </c>
      <c r="H121" s="80"/>
      <c r="I121" s="86"/>
      <c r="J121" s="80"/>
      <c r="K121" s="79"/>
      <c r="L121" s="82"/>
      <c r="M121" s="78">
        <f>IF($B121="","",IF(OR($K121="Arrived",$L121&lt;&gt;""),"Yes","No"))</f>
      </c>
      <c r="N121" s="79"/>
      <c r="O121" s="82"/>
      <c r="P121" s="86"/>
      <c r="Q121" s="79"/>
      <c r="R121" s="78">
        <f>IF($B121="","",IF(OR($K121="Cancelled",$K121="Returned"),"CLOSED",IF($M121="Yes","ARRIVED",IF($E121="","MISSING DATE",IF($E121&lt;TODAY(),"LATE",IF(AND($J121="",$E121-TODAY()&lt;=Set_ShipWindow),"NO TRACKING","ON TRACK"))))))</f>
      </c>
      <c r="S121" s="78">
        <f>IF($B121="","",IF($O121="","—",IF($O121&lt;TODAY(),"CLOSED",IF($O121-TODAY()&lt;=7,"CLOSING SOON","OPEN"))))</f>
      </c>
      <c r="T121" s="80"/>
      <c r="U121" s="78">
        <f>IF($B121="",0,IF(COUNTIF('ONLINE ORDERS'!$B$6:$B$155,$B121)&gt;1,1,0))</f>
      </c>
      <c r="V121" s="78">
        <f>IF($F121="",0,IF(COUNTIF('PEOPLE + BUDGETS'!$B$6:$B$105,$F121)=0,1,0))</f>
      </c>
      <c r="W121" s="75"/>
    </row>
    <row r="122" ht="17" customHeight="1" spans="1:23" x14ac:dyDescent="0.25">
      <c r="A122" s="75"/>
      <c r="B122" s="79"/>
      <c r="C122" s="79"/>
      <c r="D122" s="82"/>
      <c r="E122" s="82"/>
      <c r="F122" s="79"/>
      <c r="G122" s="78">
        <f>IF($B122="","",IF($F122="","",IFERROR(IF(INDEX('PEOPLE + BUDGETS'!$C$6:$C$105,MATCH($F122,'PEOPLE + BUDGETS'!$B$6:$B$105,0))="","",INDEX('PEOPLE + BUDGETS'!$C$6:$C$105,MATCH($F122,'PEOPLE + BUDGETS'!$B$6:$B$105,0))),"")))</f>
      </c>
      <c r="H122" s="80"/>
      <c r="I122" s="86"/>
      <c r="J122" s="80"/>
      <c r="K122" s="79"/>
      <c r="L122" s="82"/>
      <c r="M122" s="78">
        <f>IF($B122="","",IF(OR($K122="Arrived",$L122&lt;&gt;""),"Yes","No"))</f>
      </c>
      <c r="N122" s="79"/>
      <c r="O122" s="82"/>
      <c r="P122" s="86"/>
      <c r="Q122" s="79"/>
      <c r="R122" s="78">
        <f>IF($B122="","",IF(OR($K122="Cancelled",$K122="Returned"),"CLOSED",IF($M122="Yes","ARRIVED",IF($E122="","MISSING DATE",IF($E122&lt;TODAY(),"LATE",IF(AND($J122="",$E122-TODAY()&lt;=Set_ShipWindow),"NO TRACKING","ON TRACK"))))))</f>
      </c>
      <c r="S122" s="78">
        <f>IF($B122="","",IF($O122="","—",IF($O122&lt;TODAY(),"CLOSED",IF($O122-TODAY()&lt;=7,"CLOSING SOON","OPEN"))))</f>
      </c>
      <c r="T122" s="80"/>
      <c r="U122" s="78">
        <f>IF($B122="",0,IF(COUNTIF('ONLINE ORDERS'!$B$6:$B$155,$B122)&gt;1,1,0))</f>
      </c>
      <c r="V122" s="78">
        <f>IF($F122="",0,IF(COUNTIF('PEOPLE + BUDGETS'!$B$6:$B$105,$F122)=0,1,0))</f>
      </c>
      <c r="W122" s="75"/>
    </row>
    <row r="123" ht="17" customHeight="1" spans="1:23" x14ac:dyDescent="0.25">
      <c r="A123" s="75"/>
      <c r="B123" s="79"/>
      <c r="C123" s="79"/>
      <c r="D123" s="82"/>
      <c r="E123" s="82"/>
      <c r="F123" s="79"/>
      <c r="G123" s="78">
        <f>IF($B123="","",IF($F123="","",IFERROR(IF(INDEX('PEOPLE + BUDGETS'!$C$6:$C$105,MATCH($F123,'PEOPLE + BUDGETS'!$B$6:$B$105,0))="","",INDEX('PEOPLE + BUDGETS'!$C$6:$C$105,MATCH($F123,'PEOPLE + BUDGETS'!$B$6:$B$105,0))),"")))</f>
      </c>
      <c r="H123" s="80"/>
      <c r="I123" s="86"/>
      <c r="J123" s="80"/>
      <c r="K123" s="79"/>
      <c r="L123" s="82"/>
      <c r="M123" s="78">
        <f>IF($B123="","",IF(OR($K123="Arrived",$L123&lt;&gt;""),"Yes","No"))</f>
      </c>
      <c r="N123" s="79"/>
      <c r="O123" s="82"/>
      <c r="P123" s="86"/>
      <c r="Q123" s="79"/>
      <c r="R123" s="78">
        <f>IF($B123="","",IF(OR($K123="Cancelled",$K123="Returned"),"CLOSED",IF($M123="Yes","ARRIVED",IF($E123="","MISSING DATE",IF($E123&lt;TODAY(),"LATE",IF(AND($J123="",$E123-TODAY()&lt;=Set_ShipWindow),"NO TRACKING","ON TRACK"))))))</f>
      </c>
      <c r="S123" s="78">
        <f>IF($B123="","",IF($O123="","—",IF($O123&lt;TODAY(),"CLOSED",IF($O123-TODAY()&lt;=7,"CLOSING SOON","OPEN"))))</f>
      </c>
      <c r="T123" s="80"/>
      <c r="U123" s="78">
        <f>IF($B123="",0,IF(COUNTIF('ONLINE ORDERS'!$B$6:$B$155,$B123)&gt;1,1,0))</f>
      </c>
      <c r="V123" s="78">
        <f>IF($F123="",0,IF(COUNTIF('PEOPLE + BUDGETS'!$B$6:$B$105,$F123)=0,1,0))</f>
      </c>
      <c r="W123" s="75"/>
    </row>
    <row r="124" ht="17" customHeight="1" spans="1:23" x14ac:dyDescent="0.25">
      <c r="A124" s="75"/>
      <c r="B124" s="79"/>
      <c r="C124" s="79"/>
      <c r="D124" s="82"/>
      <c r="E124" s="82"/>
      <c r="F124" s="79"/>
      <c r="G124" s="78">
        <f>IF($B124="","",IF($F124="","",IFERROR(IF(INDEX('PEOPLE + BUDGETS'!$C$6:$C$105,MATCH($F124,'PEOPLE + BUDGETS'!$B$6:$B$105,0))="","",INDEX('PEOPLE + BUDGETS'!$C$6:$C$105,MATCH($F124,'PEOPLE + BUDGETS'!$B$6:$B$105,0))),"")))</f>
      </c>
      <c r="H124" s="80"/>
      <c r="I124" s="86"/>
      <c r="J124" s="80"/>
      <c r="K124" s="79"/>
      <c r="L124" s="82"/>
      <c r="M124" s="78">
        <f>IF($B124="","",IF(OR($K124="Arrived",$L124&lt;&gt;""),"Yes","No"))</f>
      </c>
      <c r="N124" s="79"/>
      <c r="O124" s="82"/>
      <c r="P124" s="86"/>
      <c r="Q124" s="79"/>
      <c r="R124" s="78">
        <f>IF($B124="","",IF(OR($K124="Cancelled",$K124="Returned"),"CLOSED",IF($M124="Yes","ARRIVED",IF($E124="","MISSING DATE",IF($E124&lt;TODAY(),"LATE",IF(AND($J124="",$E124-TODAY()&lt;=Set_ShipWindow),"NO TRACKING","ON TRACK"))))))</f>
      </c>
      <c r="S124" s="78">
        <f>IF($B124="","",IF($O124="","—",IF($O124&lt;TODAY(),"CLOSED",IF($O124-TODAY()&lt;=7,"CLOSING SOON","OPEN"))))</f>
      </c>
      <c r="T124" s="80"/>
      <c r="U124" s="78">
        <f>IF($B124="",0,IF(COUNTIF('ONLINE ORDERS'!$B$6:$B$155,$B124)&gt;1,1,0))</f>
      </c>
      <c r="V124" s="78">
        <f>IF($F124="",0,IF(COUNTIF('PEOPLE + BUDGETS'!$B$6:$B$105,$F124)=0,1,0))</f>
      </c>
      <c r="W124" s="75"/>
    </row>
    <row r="125" ht="17" customHeight="1" spans="1:23" x14ac:dyDescent="0.25">
      <c r="A125" s="75"/>
      <c r="B125" s="79"/>
      <c r="C125" s="79"/>
      <c r="D125" s="82"/>
      <c r="E125" s="82"/>
      <c r="F125" s="79"/>
      <c r="G125" s="78">
        <f>IF($B125="","",IF($F125="","",IFERROR(IF(INDEX('PEOPLE + BUDGETS'!$C$6:$C$105,MATCH($F125,'PEOPLE + BUDGETS'!$B$6:$B$105,0))="","",INDEX('PEOPLE + BUDGETS'!$C$6:$C$105,MATCH($F125,'PEOPLE + BUDGETS'!$B$6:$B$105,0))),"")))</f>
      </c>
      <c r="H125" s="80"/>
      <c r="I125" s="86"/>
      <c r="J125" s="80"/>
      <c r="K125" s="79"/>
      <c r="L125" s="82"/>
      <c r="M125" s="78">
        <f>IF($B125="","",IF(OR($K125="Arrived",$L125&lt;&gt;""),"Yes","No"))</f>
      </c>
      <c r="N125" s="79"/>
      <c r="O125" s="82"/>
      <c r="P125" s="86"/>
      <c r="Q125" s="79"/>
      <c r="R125" s="78">
        <f>IF($B125="","",IF(OR($K125="Cancelled",$K125="Returned"),"CLOSED",IF($M125="Yes","ARRIVED",IF($E125="","MISSING DATE",IF($E125&lt;TODAY(),"LATE",IF(AND($J125="",$E125-TODAY()&lt;=Set_ShipWindow),"NO TRACKING","ON TRACK"))))))</f>
      </c>
      <c r="S125" s="78">
        <f>IF($B125="","",IF($O125="","—",IF($O125&lt;TODAY(),"CLOSED",IF($O125-TODAY()&lt;=7,"CLOSING SOON","OPEN"))))</f>
      </c>
      <c r="T125" s="80"/>
      <c r="U125" s="78">
        <f>IF($B125="",0,IF(COUNTIF('ONLINE ORDERS'!$B$6:$B$155,$B125)&gt;1,1,0))</f>
      </c>
      <c r="V125" s="78">
        <f>IF($F125="",0,IF(COUNTIF('PEOPLE + BUDGETS'!$B$6:$B$105,$F125)=0,1,0))</f>
      </c>
      <c r="W125" s="75"/>
    </row>
    <row r="126" ht="17" customHeight="1" spans="1:23" x14ac:dyDescent="0.25">
      <c r="A126" s="75"/>
      <c r="B126" s="79"/>
      <c r="C126" s="79"/>
      <c r="D126" s="82"/>
      <c r="E126" s="82"/>
      <c r="F126" s="79"/>
      <c r="G126" s="78">
        <f>IF($B126="","",IF($F126="","",IFERROR(IF(INDEX('PEOPLE + BUDGETS'!$C$6:$C$105,MATCH($F126,'PEOPLE + BUDGETS'!$B$6:$B$105,0))="","",INDEX('PEOPLE + BUDGETS'!$C$6:$C$105,MATCH($F126,'PEOPLE + BUDGETS'!$B$6:$B$105,0))),"")))</f>
      </c>
      <c r="H126" s="80"/>
      <c r="I126" s="86"/>
      <c r="J126" s="80"/>
      <c r="K126" s="79"/>
      <c r="L126" s="82"/>
      <c r="M126" s="78">
        <f>IF($B126="","",IF(OR($K126="Arrived",$L126&lt;&gt;""),"Yes","No"))</f>
      </c>
      <c r="N126" s="79"/>
      <c r="O126" s="82"/>
      <c r="P126" s="86"/>
      <c r="Q126" s="79"/>
      <c r="R126" s="78">
        <f>IF($B126="","",IF(OR($K126="Cancelled",$K126="Returned"),"CLOSED",IF($M126="Yes","ARRIVED",IF($E126="","MISSING DATE",IF($E126&lt;TODAY(),"LATE",IF(AND($J126="",$E126-TODAY()&lt;=Set_ShipWindow),"NO TRACKING","ON TRACK"))))))</f>
      </c>
      <c r="S126" s="78">
        <f>IF($B126="","",IF($O126="","—",IF($O126&lt;TODAY(),"CLOSED",IF($O126-TODAY()&lt;=7,"CLOSING SOON","OPEN"))))</f>
      </c>
      <c r="T126" s="80"/>
      <c r="U126" s="78">
        <f>IF($B126="",0,IF(COUNTIF('ONLINE ORDERS'!$B$6:$B$155,$B126)&gt;1,1,0))</f>
      </c>
      <c r="V126" s="78">
        <f>IF($F126="",0,IF(COUNTIF('PEOPLE + BUDGETS'!$B$6:$B$105,$F126)=0,1,0))</f>
      </c>
      <c r="W126" s="75"/>
    </row>
    <row r="127" ht="17" customHeight="1" spans="1:23" x14ac:dyDescent="0.25">
      <c r="A127" s="75"/>
      <c r="B127" s="79"/>
      <c r="C127" s="79"/>
      <c r="D127" s="82"/>
      <c r="E127" s="82"/>
      <c r="F127" s="79"/>
      <c r="G127" s="78">
        <f>IF($B127="","",IF($F127="","",IFERROR(IF(INDEX('PEOPLE + BUDGETS'!$C$6:$C$105,MATCH($F127,'PEOPLE + BUDGETS'!$B$6:$B$105,0))="","",INDEX('PEOPLE + BUDGETS'!$C$6:$C$105,MATCH($F127,'PEOPLE + BUDGETS'!$B$6:$B$105,0))),"")))</f>
      </c>
      <c r="H127" s="80"/>
      <c r="I127" s="86"/>
      <c r="J127" s="80"/>
      <c r="K127" s="79"/>
      <c r="L127" s="82"/>
      <c r="M127" s="78">
        <f>IF($B127="","",IF(OR($K127="Arrived",$L127&lt;&gt;""),"Yes","No"))</f>
      </c>
      <c r="N127" s="79"/>
      <c r="O127" s="82"/>
      <c r="P127" s="86"/>
      <c r="Q127" s="79"/>
      <c r="R127" s="78">
        <f>IF($B127="","",IF(OR($K127="Cancelled",$K127="Returned"),"CLOSED",IF($M127="Yes","ARRIVED",IF($E127="","MISSING DATE",IF($E127&lt;TODAY(),"LATE",IF(AND($J127="",$E127-TODAY()&lt;=Set_ShipWindow),"NO TRACKING","ON TRACK"))))))</f>
      </c>
      <c r="S127" s="78">
        <f>IF($B127="","",IF($O127="","—",IF($O127&lt;TODAY(),"CLOSED",IF($O127-TODAY()&lt;=7,"CLOSING SOON","OPEN"))))</f>
      </c>
      <c r="T127" s="80"/>
      <c r="U127" s="78">
        <f>IF($B127="",0,IF(COUNTIF('ONLINE ORDERS'!$B$6:$B$155,$B127)&gt;1,1,0))</f>
      </c>
      <c r="V127" s="78">
        <f>IF($F127="",0,IF(COUNTIF('PEOPLE + BUDGETS'!$B$6:$B$105,$F127)=0,1,0))</f>
      </c>
      <c r="W127" s="75"/>
    </row>
    <row r="128" ht="17" customHeight="1" spans="1:23" x14ac:dyDescent="0.25">
      <c r="A128" s="75"/>
      <c r="B128" s="79"/>
      <c r="C128" s="79"/>
      <c r="D128" s="82"/>
      <c r="E128" s="82"/>
      <c r="F128" s="79"/>
      <c r="G128" s="78">
        <f>IF($B128="","",IF($F128="","",IFERROR(IF(INDEX('PEOPLE + BUDGETS'!$C$6:$C$105,MATCH($F128,'PEOPLE + BUDGETS'!$B$6:$B$105,0))="","",INDEX('PEOPLE + BUDGETS'!$C$6:$C$105,MATCH($F128,'PEOPLE + BUDGETS'!$B$6:$B$105,0))),"")))</f>
      </c>
      <c r="H128" s="80"/>
      <c r="I128" s="86"/>
      <c r="J128" s="80"/>
      <c r="K128" s="79"/>
      <c r="L128" s="82"/>
      <c r="M128" s="78">
        <f>IF($B128="","",IF(OR($K128="Arrived",$L128&lt;&gt;""),"Yes","No"))</f>
      </c>
      <c r="N128" s="79"/>
      <c r="O128" s="82"/>
      <c r="P128" s="86"/>
      <c r="Q128" s="79"/>
      <c r="R128" s="78">
        <f>IF($B128="","",IF(OR($K128="Cancelled",$K128="Returned"),"CLOSED",IF($M128="Yes","ARRIVED",IF($E128="","MISSING DATE",IF($E128&lt;TODAY(),"LATE",IF(AND($J128="",$E128-TODAY()&lt;=Set_ShipWindow),"NO TRACKING","ON TRACK"))))))</f>
      </c>
      <c r="S128" s="78">
        <f>IF($B128="","",IF($O128="","—",IF($O128&lt;TODAY(),"CLOSED",IF($O128-TODAY()&lt;=7,"CLOSING SOON","OPEN"))))</f>
      </c>
      <c r="T128" s="80"/>
      <c r="U128" s="78">
        <f>IF($B128="",0,IF(COUNTIF('ONLINE ORDERS'!$B$6:$B$155,$B128)&gt;1,1,0))</f>
      </c>
      <c r="V128" s="78">
        <f>IF($F128="",0,IF(COUNTIF('PEOPLE + BUDGETS'!$B$6:$B$105,$F128)=0,1,0))</f>
      </c>
      <c r="W128" s="75"/>
    </row>
    <row r="129" ht="17" customHeight="1" spans="1:23" x14ac:dyDescent="0.25">
      <c r="A129" s="75"/>
      <c r="B129" s="79"/>
      <c r="C129" s="79"/>
      <c r="D129" s="82"/>
      <c r="E129" s="82"/>
      <c r="F129" s="79"/>
      <c r="G129" s="78">
        <f>IF($B129="","",IF($F129="","",IFERROR(IF(INDEX('PEOPLE + BUDGETS'!$C$6:$C$105,MATCH($F129,'PEOPLE + BUDGETS'!$B$6:$B$105,0))="","",INDEX('PEOPLE + BUDGETS'!$C$6:$C$105,MATCH($F129,'PEOPLE + BUDGETS'!$B$6:$B$105,0))),"")))</f>
      </c>
      <c r="H129" s="80"/>
      <c r="I129" s="86"/>
      <c r="J129" s="80"/>
      <c r="K129" s="79"/>
      <c r="L129" s="82"/>
      <c r="M129" s="78">
        <f>IF($B129="","",IF(OR($K129="Arrived",$L129&lt;&gt;""),"Yes","No"))</f>
      </c>
      <c r="N129" s="79"/>
      <c r="O129" s="82"/>
      <c r="P129" s="86"/>
      <c r="Q129" s="79"/>
      <c r="R129" s="78">
        <f>IF($B129="","",IF(OR($K129="Cancelled",$K129="Returned"),"CLOSED",IF($M129="Yes","ARRIVED",IF($E129="","MISSING DATE",IF($E129&lt;TODAY(),"LATE",IF(AND($J129="",$E129-TODAY()&lt;=Set_ShipWindow),"NO TRACKING","ON TRACK"))))))</f>
      </c>
      <c r="S129" s="78">
        <f>IF($B129="","",IF($O129="","—",IF($O129&lt;TODAY(),"CLOSED",IF($O129-TODAY()&lt;=7,"CLOSING SOON","OPEN"))))</f>
      </c>
      <c r="T129" s="80"/>
      <c r="U129" s="78">
        <f>IF($B129="",0,IF(COUNTIF('ONLINE ORDERS'!$B$6:$B$155,$B129)&gt;1,1,0))</f>
      </c>
      <c r="V129" s="78">
        <f>IF($F129="",0,IF(COUNTIF('PEOPLE + BUDGETS'!$B$6:$B$105,$F129)=0,1,0))</f>
      </c>
      <c r="W129" s="75"/>
    </row>
    <row r="130" ht="17" customHeight="1" spans="1:23" x14ac:dyDescent="0.25">
      <c r="A130" s="75"/>
      <c r="B130" s="79"/>
      <c r="C130" s="79"/>
      <c r="D130" s="82"/>
      <c r="E130" s="82"/>
      <c r="F130" s="79"/>
      <c r="G130" s="78">
        <f>IF($B130="","",IF($F130="","",IFERROR(IF(INDEX('PEOPLE + BUDGETS'!$C$6:$C$105,MATCH($F130,'PEOPLE + BUDGETS'!$B$6:$B$105,0))="","",INDEX('PEOPLE + BUDGETS'!$C$6:$C$105,MATCH($F130,'PEOPLE + BUDGETS'!$B$6:$B$105,0))),"")))</f>
      </c>
      <c r="H130" s="80"/>
      <c r="I130" s="86"/>
      <c r="J130" s="80"/>
      <c r="K130" s="79"/>
      <c r="L130" s="82"/>
      <c r="M130" s="78">
        <f>IF($B130="","",IF(OR($K130="Arrived",$L130&lt;&gt;""),"Yes","No"))</f>
      </c>
      <c r="N130" s="79"/>
      <c r="O130" s="82"/>
      <c r="P130" s="86"/>
      <c r="Q130" s="79"/>
      <c r="R130" s="78">
        <f>IF($B130="","",IF(OR($K130="Cancelled",$K130="Returned"),"CLOSED",IF($M130="Yes","ARRIVED",IF($E130="","MISSING DATE",IF($E130&lt;TODAY(),"LATE",IF(AND($J130="",$E130-TODAY()&lt;=Set_ShipWindow),"NO TRACKING","ON TRACK"))))))</f>
      </c>
      <c r="S130" s="78">
        <f>IF($B130="","",IF($O130="","—",IF($O130&lt;TODAY(),"CLOSED",IF($O130-TODAY()&lt;=7,"CLOSING SOON","OPEN"))))</f>
      </c>
      <c r="T130" s="80"/>
      <c r="U130" s="78">
        <f>IF($B130="",0,IF(COUNTIF('ONLINE ORDERS'!$B$6:$B$155,$B130)&gt;1,1,0))</f>
      </c>
      <c r="V130" s="78">
        <f>IF($F130="",0,IF(COUNTIF('PEOPLE + BUDGETS'!$B$6:$B$105,$F130)=0,1,0))</f>
      </c>
      <c r="W130" s="75"/>
    </row>
    <row r="131" ht="17" customHeight="1" spans="1:23" x14ac:dyDescent="0.25">
      <c r="A131" s="75"/>
      <c r="B131" s="79"/>
      <c r="C131" s="79"/>
      <c r="D131" s="82"/>
      <c r="E131" s="82"/>
      <c r="F131" s="79"/>
      <c r="G131" s="78">
        <f>IF($B131="","",IF($F131="","",IFERROR(IF(INDEX('PEOPLE + BUDGETS'!$C$6:$C$105,MATCH($F131,'PEOPLE + BUDGETS'!$B$6:$B$105,0))="","",INDEX('PEOPLE + BUDGETS'!$C$6:$C$105,MATCH($F131,'PEOPLE + BUDGETS'!$B$6:$B$105,0))),"")))</f>
      </c>
      <c r="H131" s="80"/>
      <c r="I131" s="86"/>
      <c r="J131" s="80"/>
      <c r="K131" s="79"/>
      <c r="L131" s="82"/>
      <c r="M131" s="78">
        <f>IF($B131="","",IF(OR($K131="Arrived",$L131&lt;&gt;""),"Yes","No"))</f>
      </c>
      <c r="N131" s="79"/>
      <c r="O131" s="82"/>
      <c r="P131" s="86"/>
      <c r="Q131" s="79"/>
      <c r="R131" s="78">
        <f>IF($B131="","",IF(OR($K131="Cancelled",$K131="Returned"),"CLOSED",IF($M131="Yes","ARRIVED",IF($E131="","MISSING DATE",IF($E131&lt;TODAY(),"LATE",IF(AND($J131="",$E131-TODAY()&lt;=Set_ShipWindow),"NO TRACKING","ON TRACK"))))))</f>
      </c>
      <c r="S131" s="78">
        <f>IF($B131="","",IF($O131="","—",IF($O131&lt;TODAY(),"CLOSED",IF($O131-TODAY()&lt;=7,"CLOSING SOON","OPEN"))))</f>
      </c>
      <c r="T131" s="80"/>
      <c r="U131" s="78">
        <f>IF($B131="",0,IF(COUNTIF('ONLINE ORDERS'!$B$6:$B$155,$B131)&gt;1,1,0))</f>
      </c>
      <c r="V131" s="78">
        <f>IF($F131="",0,IF(COUNTIF('PEOPLE + BUDGETS'!$B$6:$B$105,$F131)=0,1,0))</f>
      </c>
      <c r="W131" s="75"/>
    </row>
    <row r="132" ht="17" customHeight="1" spans="1:23" x14ac:dyDescent="0.25">
      <c r="A132" s="75"/>
      <c r="B132" s="79"/>
      <c r="C132" s="79"/>
      <c r="D132" s="82"/>
      <c r="E132" s="82"/>
      <c r="F132" s="79"/>
      <c r="G132" s="78">
        <f>IF($B132="","",IF($F132="","",IFERROR(IF(INDEX('PEOPLE + BUDGETS'!$C$6:$C$105,MATCH($F132,'PEOPLE + BUDGETS'!$B$6:$B$105,0))="","",INDEX('PEOPLE + BUDGETS'!$C$6:$C$105,MATCH($F132,'PEOPLE + BUDGETS'!$B$6:$B$105,0))),"")))</f>
      </c>
      <c r="H132" s="80"/>
      <c r="I132" s="86"/>
      <c r="J132" s="80"/>
      <c r="K132" s="79"/>
      <c r="L132" s="82"/>
      <c r="M132" s="78">
        <f>IF($B132="","",IF(OR($K132="Arrived",$L132&lt;&gt;""),"Yes","No"))</f>
      </c>
      <c r="N132" s="79"/>
      <c r="O132" s="82"/>
      <c r="P132" s="86"/>
      <c r="Q132" s="79"/>
      <c r="R132" s="78">
        <f>IF($B132="","",IF(OR($K132="Cancelled",$K132="Returned"),"CLOSED",IF($M132="Yes","ARRIVED",IF($E132="","MISSING DATE",IF($E132&lt;TODAY(),"LATE",IF(AND($J132="",$E132-TODAY()&lt;=Set_ShipWindow),"NO TRACKING","ON TRACK"))))))</f>
      </c>
      <c r="S132" s="78">
        <f>IF($B132="","",IF($O132="","—",IF($O132&lt;TODAY(),"CLOSED",IF($O132-TODAY()&lt;=7,"CLOSING SOON","OPEN"))))</f>
      </c>
      <c r="T132" s="80"/>
      <c r="U132" s="78">
        <f>IF($B132="",0,IF(COUNTIF('ONLINE ORDERS'!$B$6:$B$155,$B132)&gt;1,1,0))</f>
      </c>
      <c r="V132" s="78">
        <f>IF($F132="",0,IF(COUNTIF('PEOPLE + BUDGETS'!$B$6:$B$105,$F132)=0,1,0))</f>
      </c>
      <c r="W132" s="75"/>
    </row>
    <row r="133" ht="17" customHeight="1" spans="1:23" x14ac:dyDescent="0.25">
      <c r="A133" s="75"/>
      <c r="B133" s="79"/>
      <c r="C133" s="79"/>
      <c r="D133" s="82"/>
      <c r="E133" s="82"/>
      <c r="F133" s="79"/>
      <c r="G133" s="78">
        <f>IF($B133="","",IF($F133="","",IFERROR(IF(INDEX('PEOPLE + BUDGETS'!$C$6:$C$105,MATCH($F133,'PEOPLE + BUDGETS'!$B$6:$B$105,0))="","",INDEX('PEOPLE + BUDGETS'!$C$6:$C$105,MATCH($F133,'PEOPLE + BUDGETS'!$B$6:$B$105,0))),"")))</f>
      </c>
      <c r="H133" s="80"/>
      <c r="I133" s="86"/>
      <c r="J133" s="80"/>
      <c r="K133" s="79"/>
      <c r="L133" s="82"/>
      <c r="M133" s="78">
        <f>IF($B133="","",IF(OR($K133="Arrived",$L133&lt;&gt;""),"Yes","No"))</f>
      </c>
      <c r="N133" s="79"/>
      <c r="O133" s="82"/>
      <c r="P133" s="86"/>
      <c r="Q133" s="79"/>
      <c r="R133" s="78">
        <f>IF($B133="","",IF(OR($K133="Cancelled",$K133="Returned"),"CLOSED",IF($M133="Yes","ARRIVED",IF($E133="","MISSING DATE",IF($E133&lt;TODAY(),"LATE",IF(AND($J133="",$E133-TODAY()&lt;=Set_ShipWindow),"NO TRACKING","ON TRACK"))))))</f>
      </c>
      <c r="S133" s="78">
        <f>IF($B133="","",IF($O133="","—",IF($O133&lt;TODAY(),"CLOSED",IF($O133-TODAY()&lt;=7,"CLOSING SOON","OPEN"))))</f>
      </c>
      <c r="T133" s="80"/>
      <c r="U133" s="78">
        <f>IF($B133="",0,IF(COUNTIF('ONLINE ORDERS'!$B$6:$B$155,$B133)&gt;1,1,0))</f>
      </c>
      <c r="V133" s="78">
        <f>IF($F133="",0,IF(COUNTIF('PEOPLE + BUDGETS'!$B$6:$B$105,$F133)=0,1,0))</f>
      </c>
      <c r="W133" s="75"/>
    </row>
    <row r="134" ht="17" customHeight="1" spans="1:23" x14ac:dyDescent="0.25">
      <c r="A134" s="75"/>
      <c r="B134" s="79"/>
      <c r="C134" s="79"/>
      <c r="D134" s="82"/>
      <c r="E134" s="82"/>
      <c r="F134" s="79"/>
      <c r="G134" s="78">
        <f>IF($B134="","",IF($F134="","",IFERROR(IF(INDEX('PEOPLE + BUDGETS'!$C$6:$C$105,MATCH($F134,'PEOPLE + BUDGETS'!$B$6:$B$105,0))="","",INDEX('PEOPLE + BUDGETS'!$C$6:$C$105,MATCH($F134,'PEOPLE + BUDGETS'!$B$6:$B$105,0))),"")))</f>
      </c>
      <c r="H134" s="80"/>
      <c r="I134" s="86"/>
      <c r="J134" s="80"/>
      <c r="K134" s="79"/>
      <c r="L134" s="82"/>
      <c r="M134" s="78">
        <f>IF($B134="","",IF(OR($K134="Arrived",$L134&lt;&gt;""),"Yes","No"))</f>
      </c>
      <c r="N134" s="79"/>
      <c r="O134" s="82"/>
      <c r="P134" s="86"/>
      <c r="Q134" s="79"/>
      <c r="R134" s="78">
        <f>IF($B134="","",IF(OR($K134="Cancelled",$K134="Returned"),"CLOSED",IF($M134="Yes","ARRIVED",IF($E134="","MISSING DATE",IF($E134&lt;TODAY(),"LATE",IF(AND($J134="",$E134-TODAY()&lt;=Set_ShipWindow),"NO TRACKING","ON TRACK"))))))</f>
      </c>
      <c r="S134" s="78">
        <f>IF($B134="","",IF($O134="","—",IF($O134&lt;TODAY(),"CLOSED",IF($O134-TODAY()&lt;=7,"CLOSING SOON","OPEN"))))</f>
      </c>
      <c r="T134" s="80"/>
      <c r="U134" s="78">
        <f>IF($B134="",0,IF(COUNTIF('ONLINE ORDERS'!$B$6:$B$155,$B134)&gt;1,1,0))</f>
      </c>
      <c r="V134" s="78">
        <f>IF($F134="",0,IF(COUNTIF('PEOPLE + BUDGETS'!$B$6:$B$105,$F134)=0,1,0))</f>
      </c>
      <c r="W134" s="75"/>
    </row>
    <row r="135" ht="17" customHeight="1" spans="1:23" x14ac:dyDescent="0.25">
      <c r="A135" s="75"/>
      <c r="B135" s="79"/>
      <c r="C135" s="79"/>
      <c r="D135" s="82"/>
      <c r="E135" s="82"/>
      <c r="F135" s="79"/>
      <c r="G135" s="78">
        <f>IF($B135="","",IF($F135="","",IFERROR(IF(INDEX('PEOPLE + BUDGETS'!$C$6:$C$105,MATCH($F135,'PEOPLE + BUDGETS'!$B$6:$B$105,0))="","",INDEX('PEOPLE + BUDGETS'!$C$6:$C$105,MATCH($F135,'PEOPLE + BUDGETS'!$B$6:$B$105,0))),"")))</f>
      </c>
      <c r="H135" s="80"/>
      <c r="I135" s="86"/>
      <c r="J135" s="80"/>
      <c r="K135" s="79"/>
      <c r="L135" s="82"/>
      <c r="M135" s="78">
        <f>IF($B135="","",IF(OR($K135="Arrived",$L135&lt;&gt;""),"Yes","No"))</f>
      </c>
      <c r="N135" s="79"/>
      <c r="O135" s="82"/>
      <c r="P135" s="86"/>
      <c r="Q135" s="79"/>
      <c r="R135" s="78">
        <f>IF($B135="","",IF(OR($K135="Cancelled",$K135="Returned"),"CLOSED",IF($M135="Yes","ARRIVED",IF($E135="","MISSING DATE",IF($E135&lt;TODAY(),"LATE",IF(AND($J135="",$E135-TODAY()&lt;=Set_ShipWindow),"NO TRACKING","ON TRACK"))))))</f>
      </c>
      <c r="S135" s="78">
        <f>IF($B135="","",IF($O135="","—",IF($O135&lt;TODAY(),"CLOSED",IF($O135-TODAY()&lt;=7,"CLOSING SOON","OPEN"))))</f>
      </c>
      <c r="T135" s="80"/>
      <c r="U135" s="78">
        <f>IF($B135="",0,IF(COUNTIF('ONLINE ORDERS'!$B$6:$B$155,$B135)&gt;1,1,0))</f>
      </c>
      <c r="V135" s="78">
        <f>IF($F135="",0,IF(COUNTIF('PEOPLE + BUDGETS'!$B$6:$B$105,$F135)=0,1,0))</f>
      </c>
      <c r="W135" s="75"/>
    </row>
    <row r="136" ht="17" customHeight="1" spans="1:23" x14ac:dyDescent="0.25">
      <c r="A136" s="75"/>
      <c r="B136" s="79"/>
      <c r="C136" s="79"/>
      <c r="D136" s="82"/>
      <c r="E136" s="82"/>
      <c r="F136" s="79"/>
      <c r="G136" s="78">
        <f>IF($B136="","",IF($F136="","",IFERROR(IF(INDEX('PEOPLE + BUDGETS'!$C$6:$C$105,MATCH($F136,'PEOPLE + BUDGETS'!$B$6:$B$105,0))="","",INDEX('PEOPLE + BUDGETS'!$C$6:$C$105,MATCH($F136,'PEOPLE + BUDGETS'!$B$6:$B$105,0))),"")))</f>
      </c>
      <c r="H136" s="80"/>
      <c r="I136" s="86"/>
      <c r="J136" s="80"/>
      <c r="K136" s="79"/>
      <c r="L136" s="82"/>
      <c r="M136" s="78">
        <f>IF($B136="","",IF(OR($K136="Arrived",$L136&lt;&gt;""),"Yes","No"))</f>
      </c>
      <c r="N136" s="79"/>
      <c r="O136" s="82"/>
      <c r="P136" s="86"/>
      <c r="Q136" s="79"/>
      <c r="R136" s="78">
        <f>IF($B136="","",IF(OR($K136="Cancelled",$K136="Returned"),"CLOSED",IF($M136="Yes","ARRIVED",IF($E136="","MISSING DATE",IF($E136&lt;TODAY(),"LATE",IF(AND($J136="",$E136-TODAY()&lt;=Set_ShipWindow),"NO TRACKING","ON TRACK"))))))</f>
      </c>
      <c r="S136" s="78">
        <f>IF($B136="","",IF($O136="","—",IF($O136&lt;TODAY(),"CLOSED",IF($O136-TODAY()&lt;=7,"CLOSING SOON","OPEN"))))</f>
      </c>
      <c r="T136" s="80"/>
      <c r="U136" s="78">
        <f>IF($B136="",0,IF(COUNTIF('ONLINE ORDERS'!$B$6:$B$155,$B136)&gt;1,1,0))</f>
      </c>
      <c r="V136" s="78">
        <f>IF($F136="",0,IF(COUNTIF('PEOPLE + BUDGETS'!$B$6:$B$105,$F136)=0,1,0))</f>
      </c>
      <c r="W136" s="75"/>
    </row>
    <row r="137" ht="17" customHeight="1" spans="1:23" x14ac:dyDescent="0.25">
      <c r="A137" s="75"/>
      <c r="B137" s="79"/>
      <c r="C137" s="79"/>
      <c r="D137" s="82"/>
      <c r="E137" s="82"/>
      <c r="F137" s="79"/>
      <c r="G137" s="78">
        <f>IF($B137="","",IF($F137="","",IFERROR(IF(INDEX('PEOPLE + BUDGETS'!$C$6:$C$105,MATCH($F137,'PEOPLE + BUDGETS'!$B$6:$B$105,0))="","",INDEX('PEOPLE + BUDGETS'!$C$6:$C$105,MATCH($F137,'PEOPLE + BUDGETS'!$B$6:$B$105,0))),"")))</f>
      </c>
      <c r="H137" s="80"/>
      <c r="I137" s="86"/>
      <c r="J137" s="80"/>
      <c r="K137" s="79"/>
      <c r="L137" s="82"/>
      <c r="M137" s="78">
        <f>IF($B137="","",IF(OR($K137="Arrived",$L137&lt;&gt;""),"Yes","No"))</f>
      </c>
      <c r="N137" s="79"/>
      <c r="O137" s="82"/>
      <c r="P137" s="86"/>
      <c r="Q137" s="79"/>
      <c r="R137" s="78">
        <f>IF($B137="","",IF(OR($K137="Cancelled",$K137="Returned"),"CLOSED",IF($M137="Yes","ARRIVED",IF($E137="","MISSING DATE",IF($E137&lt;TODAY(),"LATE",IF(AND($J137="",$E137-TODAY()&lt;=Set_ShipWindow),"NO TRACKING","ON TRACK"))))))</f>
      </c>
      <c r="S137" s="78">
        <f>IF($B137="","",IF($O137="","—",IF($O137&lt;TODAY(),"CLOSED",IF($O137-TODAY()&lt;=7,"CLOSING SOON","OPEN"))))</f>
      </c>
      <c r="T137" s="80"/>
      <c r="U137" s="78">
        <f>IF($B137="",0,IF(COUNTIF('ONLINE ORDERS'!$B$6:$B$155,$B137)&gt;1,1,0))</f>
      </c>
      <c r="V137" s="78">
        <f>IF($F137="",0,IF(COUNTIF('PEOPLE + BUDGETS'!$B$6:$B$105,$F137)=0,1,0))</f>
      </c>
      <c r="W137" s="75"/>
    </row>
    <row r="138" ht="17" customHeight="1" spans="1:23" x14ac:dyDescent="0.25">
      <c r="A138" s="75"/>
      <c r="B138" s="79"/>
      <c r="C138" s="79"/>
      <c r="D138" s="82"/>
      <c r="E138" s="82"/>
      <c r="F138" s="79"/>
      <c r="G138" s="78">
        <f>IF($B138="","",IF($F138="","",IFERROR(IF(INDEX('PEOPLE + BUDGETS'!$C$6:$C$105,MATCH($F138,'PEOPLE + BUDGETS'!$B$6:$B$105,0))="","",INDEX('PEOPLE + BUDGETS'!$C$6:$C$105,MATCH($F138,'PEOPLE + BUDGETS'!$B$6:$B$105,0))),"")))</f>
      </c>
      <c r="H138" s="80"/>
      <c r="I138" s="86"/>
      <c r="J138" s="80"/>
      <c r="K138" s="79"/>
      <c r="L138" s="82"/>
      <c r="M138" s="78">
        <f>IF($B138="","",IF(OR($K138="Arrived",$L138&lt;&gt;""),"Yes","No"))</f>
      </c>
      <c r="N138" s="79"/>
      <c r="O138" s="82"/>
      <c r="P138" s="86"/>
      <c r="Q138" s="79"/>
      <c r="R138" s="78">
        <f>IF($B138="","",IF(OR($K138="Cancelled",$K138="Returned"),"CLOSED",IF($M138="Yes","ARRIVED",IF($E138="","MISSING DATE",IF($E138&lt;TODAY(),"LATE",IF(AND($J138="",$E138-TODAY()&lt;=Set_ShipWindow),"NO TRACKING","ON TRACK"))))))</f>
      </c>
      <c r="S138" s="78">
        <f>IF($B138="","",IF($O138="","—",IF($O138&lt;TODAY(),"CLOSED",IF($O138-TODAY()&lt;=7,"CLOSING SOON","OPEN"))))</f>
      </c>
      <c r="T138" s="80"/>
      <c r="U138" s="78">
        <f>IF($B138="",0,IF(COUNTIF('ONLINE ORDERS'!$B$6:$B$155,$B138)&gt;1,1,0))</f>
      </c>
      <c r="V138" s="78">
        <f>IF($F138="",0,IF(COUNTIF('PEOPLE + BUDGETS'!$B$6:$B$105,$F138)=0,1,0))</f>
      </c>
      <c r="W138" s="75"/>
    </row>
    <row r="139" ht="17" customHeight="1" spans="1:23" x14ac:dyDescent="0.25">
      <c r="A139" s="75"/>
      <c r="B139" s="79"/>
      <c r="C139" s="79"/>
      <c r="D139" s="82"/>
      <c r="E139" s="82"/>
      <c r="F139" s="79"/>
      <c r="G139" s="78">
        <f>IF($B139="","",IF($F139="","",IFERROR(IF(INDEX('PEOPLE + BUDGETS'!$C$6:$C$105,MATCH($F139,'PEOPLE + BUDGETS'!$B$6:$B$105,0))="","",INDEX('PEOPLE + BUDGETS'!$C$6:$C$105,MATCH($F139,'PEOPLE + BUDGETS'!$B$6:$B$105,0))),"")))</f>
      </c>
      <c r="H139" s="80"/>
      <c r="I139" s="86"/>
      <c r="J139" s="80"/>
      <c r="K139" s="79"/>
      <c r="L139" s="82"/>
      <c r="M139" s="78">
        <f>IF($B139="","",IF(OR($K139="Arrived",$L139&lt;&gt;""),"Yes","No"))</f>
      </c>
      <c r="N139" s="79"/>
      <c r="O139" s="82"/>
      <c r="P139" s="86"/>
      <c r="Q139" s="79"/>
      <c r="R139" s="78">
        <f>IF($B139="","",IF(OR($K139="Cancelled",$K139="Returned"),"CLOSED",IF($M139="Yes","ARRIVED",IF($E139="","MISSING DATE",IF($E139&lt;TODAY(),"LATE",IF(AND($J139="",$E139-TODAY()&lt;=Set_ShipWindow),"NO TRACKING","ON TRACK"))))))</f>
      </c>
      <c r="S139" s="78">
        <f>IF($B139="","",IF($O139="","—",IF($O139&lt;TODAY(),"CLOSED",IF($O139-TODAY()&lt;=7,"CLOSING SOON","OPEN"))))</f>
      </c>
      <c r="T139" s="80"/>
      <c r="U139" s="78">
        <f>IF($B139="",0,IF(COUNTIF('ONLINE ORDERS'!$B$6:$B$155,$B139)&gt;1,1,0))</f>
      </c>
      <c r="V139" s="78">
        <f>IF($F139="",0,IF(COUNTIF('PEOPLE + BUDGETS'!$B$6:$B$105,$F139)=0,1,0))</f>
      </c>
      <c r="W139" s="75"/>
    </row>
    <row r="140" ht="17" customHeight="1" spans="1:23" x14ac:dyDescent="0.25">
      <c r="A140" s="75"/>
      <c r="B140" s="79"/>
      <c r="C140" s="79"/>
      <c r="D140" s="82"/>
      <c r="E140" s="82"/>
      <c r="F140" s="79"/>
      <c r="G140" s="78">
        <f>IF($B140="","",IF($F140="","",IFERROR(IF(INDEX('PEOPLE + BUDGETS'!$C$6:$C$105,MATCH($F140,'PEOPLE + BUDGETS'!$B$6:$B$105,0))="","",INDEX('PEOPLE + BUDGETS'!$C$6:$C$105,MATCH($F140,'PEOPLE + BUDGETS'!$B$6:$B$105,0))),"")))</f>
      </c>
      <c r="H140" s="80"/>
      <c r="I140" s="86"/>
      <c r="J140" s="80"/>
      <c r="K140" s="79"/>
      <c r="L140" s="82"/>
      <c r="M140" s="78">
        <f>IF($B140="","",IF(OR($K140="Arrived",$L140&lt;&gt;""),"Yes","No"))</f>
      </c>
      <c r="N140" s="79"/>
      <c r="O140" s="82"/>
      <c r="P140" s="86"/>
      <c r="Q140" s="79"/>
      <c r="R140" s="78">
        <f>IF($B140="","",IF(OR($K140="Cancelled",$K140="Returned"),"CLOSED",IF($M140="Yes","ARRIVED",IF($E140="","MISSING DATE",IF($E140&lt;TODAY(),"LATE",IF(AND($J140="",$E140-TODAY()&lt;=Set_ShipWindow),"NO TRACKING","ON TRACK"))))))</f>
      </c>
      <c r="S140" s="78">
        <f>IF($B140="","",IF($O140="","—",IF($O140&lt;TODAY(),"CLOSED",IF($O140-TODAY()&lt;=7,"CLOSING SOON","OPEN"))))</f>
      </c>
      <c r="T140" s="80"/>
      <c r="U140" s="78">
        <f>IF($B140="",0,IF(COUNTIF('ONLINE ORDERS'!$B$6:$B$155,$B140)&gt;1,1,0))</f>
      </c>
      <c r="V140" s="78">
        <f>IF($F140="",0,IF(COUNTIF('PEOPLE + BUDGETS'!$B$6:$B$105,$F140)=0,1,0))</f>
      </c>
      <c r="W140" s="75"/>
    </row>
    <row r="141" ht="17" customHeight="1" spans="1:23" x14ac:dyDescent="0.25">
      <c r="A141" s="75"/>
      <c r="B141" s="79"/>
      <c r="C141" s="79"/>
      <c r="D141" s="82"/>
      <c r="E141" s="82"/>
      <c r="F141" s="79"/>
      <c r="G141" s="78">
        <f>IF($B141="","",IF($F141="","",IFERROR(IF(INDEX('PEOPLE + BUDGETS'!$C$6:$C$105,MATCH($F141,'PEOPLE + BUDGETS'!$B$6:$B$105,0))="","",INDEX('PEOPLE + BUDGETS'!$C$6:$C$105,MATCH($F141,'PEOPLE + BUDGETS'!$B$6:$B$105,0))),"")))</f>
      </c>
      <c r="H141" s="80"/>
      <c r="I141" s="86"/>
      <c r="J141" s="80"/>
      <c r="K141" s="79"/>
      <c r="L141" s="82"/>
      <c r="M141" s="78">
        <f>IF($B141="","",IF(OR($K141="Arrived",$L141&lt;&gt;""),"Yes","No"))</f>
      </c>
      <c r="N141" s="79"/>
      <c r="O141" s="82"/>
      <c r="P141" s="86"/>
      <c r="Q141" s="79"/>
      <c r="R141" s="78">
        <f>IF($B141="","",IF(OR($K141="Cancelled",$K141="Returned"),"CLOSED",IF($M141="Yes","ARRIVED",IF($E141="","MISSING DATE",IF($E141&lt;TODAY(),"LATE",IF(AND($J141="",$E141-TODAY()&lt;=Set_ShipWindow),"NO TRACKING","ON TRACK"))))))</f>
      </c>
      <c r="S141" s="78">
        <f>IF($B141="","",IF($O141="","—",IF($O141&lt;TODAY(),"CLOSED",IF($O141-TODAY()&lt;=7,"CLOSING SOON","OPEN"))))</f>
      </c>
      <c r="T141" s="80"/>
      <c r="U141" s="78">
        <f>IF($B141="",0,IF(COUNTIF('ONLINE ORDERS'!$B$6:$B$155,$B141)&gt;1,1,0))</f>
      </c>
      <c r="V141" s="78">
        <f>IF($F141="",0,IF(COUNTIF('PEOPLE + BUDGETS'!$B$6:$B$105,$F141)=0,1,0))</f>
      </c>
      <c r="W141" s="75"/>
    </row>
    <row r="142" ht="17" customHeight="1" spans="1:23" x14ac:dyDescent="0.25">
      <c r="A142" s="75"/>
      <c r="B142" s="79"/>
      <c r="C142" s="79"/>
      <c r="D142" s="82"/>
      <c r="E142" s="82"/>
      <c r="F142" s="79"/>
      <c r="G142" s="78">
        <f>IF($B142="","",IF($F142="","",IFERROR(IF(INDEX('PEOPLE + BUDGETS'!$C$6:$C$105,MATCH($F142,'PEOPLE + BUDGETS'!$B$6:$B$105,0))="","",INDEX('PEOPLE + BUDGETS'!$C$6:$C$105,MATCH($F142,'PEOPLE + BUDGETS'!$B$6:$B$105,0))),"")))</f>
      </c>
      <c r="H142" s="80"/>
      <c r="I142" s="86"/>
      <c r="J142" s="80"/>
      <c r="K142" s="79"/>
      <c r="L142" s="82"/>
      <c r="M142" s="78">
        <f>IF($B142="","",IF(OR($K142="Arrived",$L142&lt;&gt;""),"Yes","No"))</f>
      </c>
      <c r="N142" s="79"/>
      <c r="O142" s="82"/>
      <c r="P142" s="86"/>
      <c r="Q142" s="79"/>
      <c r="R142" s="78">
        <f>IF($B142="","",IF(OR($K142="Cancelled",$K142="Returned"),"CLOSED",IF($M142="Yes","ARRIVED",IF($E142="","MISSING DATE",IF($E142&lt;TODAY(),"LATE",IF(AND($J142="",$E142-TODAY()&lt;=Set_ShipWindow),"NO TRACKING","ON TRACK"))))))</f>
      </c>
      <c r="S142" s="78">
        <f>IF($B142="","",IF($O142="","—",IF($O142&lt;TODAY(),"CLOSED",IF($O142-TODAY()&lt;=7,"CLOSING SOON","OPEN"))))</f>
      </c>
      <c r="T142" s="80"/>
      <c r="U142" s="78">
        <f>IF($B142="",0,IF(COUNTIF('ONLINE ORDERS'!$B$6:$B$155,$B142)&gt;1,1,0))</f>
      </c>
      <c r="V142" s="78">
        <f>IF($F142="",0,IF(COUNTIF('PEOPLE + BUDGETS'!$B$6:$B$105,$F142)=0,1,0))</f>
      </c>
      <c r="W142" s="75"/>
    </row>
    <row r="143" ht="17" customHeight="1" spans="1:23" x14ac:dyDescent="0.25">
      <c r="A143" s="75"/>
      <c r="B143" s="79"/>
      <c r="C143" s="79"/>
      <c r="D143" s="82"/>
      <c r="E143" s="82"/>
      <c r="F143" s="79"/>
      <c r="G143" s="78">
        <f>IF($B143="","",IF($F143="","",IFERROR(IF(INDEX('PEOPLE + BUDGETS'!$C$6:$C$105,MATCH($F143,'PEOPLE + BUDGETS'!$B$6:$B$105,0))="","",INDEX('PEOPLE + BUDGETS'!$C$6:$C$105,MATCH($F143,'PEOPLE + BUDGETS'!$B$6:$B$105,0))),"")))</f>
      </c>
      <c r="H143" s="80"/>
      <c r="I143" s="86"/>
      <c r="J143" s="80"/>
      <c r="K143" s="79"/>
      <c r="L143" s="82"/>
      <c r="M143" s="78">
        <f>IF($B143="","",IF(OR($K143="Arrived",$L143&lt;&gt;""),"Yes","No"))</f>
      </c>
      <c r="N143" s="79"/>
      <c r="O143" s="82"/>
      <c r="P143" s="86"/>
      <c r="Q143" s="79"/>
      <c r="R143" s="78">
        <f>IF($B143="","",IF(OR($K143="Cancelled",$K143="Returned"),"CLOSED",IF($M143="Yes","ARRIVED",IF($E143="","MISSING DATE",IF($E143&lt;TODAY(),"LATE",IF(AND($J143="",$E143-TODAY()&lt;=Set_ShipWindow),"NO TRACKING","ON TRACK"))))))</f>
      </c>
      <c r="S143" s="78">
        <f>IF($B143="","",IF($O143="","—",IF($O143&lt;TODAY(),"CLOSED",IF($O143-TODAY()&lt;=7,"CLOSING SOON","OPEN"))))</f>
      </c>
      <c r="T143" s="80"/>
      <c r="U143" s="78">
        <f>IF($B143="",0,IF(COUNTIF('ONLINE ORDERS'!$B$6:$B$155,$B143)&gt;1,1,0))</f>
      </c>
      <c r="V143" s="78">
        <f>IF($F143="",0,IF(COUNTIF('PEOPLE + BUDGETS'!$B$6:$B$105,$F143)=0,1,0))</f>
      </c>
      <c r="W143" s="75"/>
    </row>
    <row r="144" ht="17" customHeight="1" spans="1:23" x14ac:dyDescent="0.25">
      <c r="A144" s="75"/>
      <c r="B144" s="79"/>
      <c r="C144" s="79"/>
      <c r="D144" s="82"/>
      <c r="E144" s="82"/>
      <c r="F144" s="79"/>
      <c r="G144" s="78">
        <f>IF($B144="","",IF($F144="","",IFERROR(IF(INDEX('PEOPLE + BUDGETS'!$C$6:$C$105,MATCH($F144,'PEOPLE + BUDGETS'!$B$6:$B$105,0))="","",INDEX('PEOPLE + BUDGETS'!$C$6:$C$105,MATCH($F144,'PEOPLE + BUDGETS'!$B$6:$B$105,0))),"")))</f>
      </c>
      <c r="H144" s="80"/>
      <c r="I144" s="86"/>
      <c r="J144" s="80"/>
      <c r="K144" s="79"/>
      <c r="L144" s="82"/>
      <c r="M144" s="78">
        <f>IF($B144="","",IF(OR($K144="Arrived",$L144&lt;&gt;""),"Yes","No"))</f>
      </c>
      <c r="N144" s="79"/>
      <c r="O144" s="82"/>
      <c r="P144" s="86"/>
      <c r="Q144" s="79"/>
      <c r="R144" s="78">
        <f>IF($B144="","",IF(OR($K144="Cancelled",$K144="Returned"),"CLOSED",IF($M144="Yes","ARRIVED",IF($E144="","MISSING DATE",IF($E144&lt;TODAY(),"LATE",IF(AND($J144="",$E144-TODAY()&lt;=Set_ShipWindow),"NO TRACKING","ON TRACK"))))))</f>
      </c>
      <c r="S144" s="78">
        <f>IF($B144="","",IF($O144="","—",IF($O144&lt;TODAY(),"CLOSED",IF($O144-TODAY()&lt;=7,"CLOSING SOON","OPEN"))))</f>
      </c>
      <c r="T144" s="80"/>
      <c r="U144" s="78">
        <f>IF($B144="",0,IF(COUNTIF('ONLINE ORDERS'!$B$6:$B$155,$B144)&gt;1,1,0))</f>
      </c>
      <c r="V144" s="78">
        <f>IF($F144="",0,IF(COUNTIF('PEOPLE + BUDGETS'!$B$6:$B$105,$F144)=0,1,0))</f>
      </c>
      <c r="W144" s="75"/>
    </row>
    <row r="145" ht="17" customHeight="1" spans="1:23" x14ac:dyDescent="0.25">
      <c r="A145" s="75"/>
      <c r="B145" s="79"/>
      <c r="C145" s="79"/>
      <c r="D145" s="82"/>
      <c r="E145" s="82"/>
      <c r="F145" s="79"/>
      <c r="G145" s="78">
        <f>IF($B145="","",IF($F145="","",IFERROR(IF(INDEX('PEOPLE + BUDGETS'!$C$6:$C$105,MATCH($F145,'PEOPLE + BUDGETS'!$B$6:$B$105,0))="","",INDEX('PEOPLE + BUDGETS'!$C$6:$C$105,MATCH($F145,'PEOPLE + BUDGETS'!$B$6:$B$105,0))),"")))</f>
      </c>
      <c r="H145" s="80"/>
      <c r="I145" s="86"/>
      <c r="J145" s="80"/>
      <c r="K145" s="79"/>
      <c r="L145" s="82"/>
      <c r="M145" s="78">
        <f>IF($B145="","",IF(OR($K145="Arrived",$L145&lt;&gt;""),"Yes","No"))</f>
      </c>
      <c r="N145" s="79"/>
      <c r="O145" s="82"/>
      <c r="P145" s="86"/>
      <c r="Q145" s="79"/>
      <c r="R145" s="78">
        <f>IF($B145="","",IF(OR($K145="Cancelled",$K145="Returned"),"CLOSED",IF($M145="Yes","ARRIVED",IF($E145="","MISSING DATE",IF($E145&lt;TODAY(),"LATE",IF(AND($J145="",$E145-TODAY()&lt;=Set_ShipWindow),"NO TRACKING","ON TRACK"))))))</f>
      </c>
      <c r="S145" s="78">
        <f>IF($B145="","",IF($O145="","—",IF($O145&lt;TODAY(),"CLOSED",IF($O145-TODAY()&lt;=7,"CLOSING SOON","OPEN"))))</f>
      </c>
      <c r="T145" s="80"/>
      <c r="U145" s="78">
        <f>IF($B145="",0,IF(COUNTIF('ONLINE ORDERS'!$B$6:$B$155,$B145)&gt;1,1,0))</f>
      </c>
      <c r="V145" s="78">
        <f>IF($F145="",0,IF(COUNTIF('PEOPLE + BUDGETS'!$B$6:$B$105,$F145)=0,1,0))</f>
      </c>
      <c r="W145" s="75"/>
    </row>
    <row r="146" ht="17" customHeight="1" spans="1:23" x14ac:dyDescent="0.25">
      <c r="A146" s="75"/>
      <c r="B146" s="79"/>
      <c r="C146" s="79"/>
      <c r="D146" s="82"/>
      <c r="E146" s="82"/>
      <c r="F146" s="79"/>
      <c r="G146" s="78">
        <f>IF($B146="","",IF($F146="","",IFERROR(IF(INDEX('PEOPLE + BUDGETS'!$C$6:$C$105,MATCH($F146,'PEOPLE + BUDGETS'!$B$6:$B$105,0))="","",INDEX('PEOPLE + BUDGETS'!$C$6:$C$105,MATCH($F146,'PEOPLE + BUDGETS'!$B$6:$B$105,0))),"")))</f>
      </c>
      <c r="H146" s="80"/>
      <c r="I146" s="86"/>
      <c r="J146" s="80"/>
      <c r="K146" s="79"/>
      <c r="L146" s="82"/>
      <c r="M146" s="78">
        <f>IF($B146="","",IF(OR($K146="Arrived",$L146&lt;&gt;""),"Yes","No"))</f>
      </c>
      <c r="N146" s="79"/>
      <c r="O146" s="82"/>
      <c r="P146" s="86"/>
      <c r="Q146" s="79"/>
      <c r="R146" s="78">
        <f>IF($B146="","",IF(OR($K146="Cancelled",$K146="Returned"),"CLOSED",IF($M146="Yes","ARRIVED",IF($E146="","MISSING DATE",IF($E146&lt;TODAY(),"LATE",IF(AND($J146="",$E146-TODAY()&lt;=Set_ShipWindow),"NO TRACKING","ON TRACK"))))))</f>
      </c>
      <c r="S146" s="78">
        <f>IF($B146="","",IF($O146="","—",IF($O146&lt;TODAY(),"CLOSED",IF($O146-TODAY()&lt;=7,"CLOSING SOON","OPEN"))))</f>
      </c>
      <c r="T146" s="80"/>
      <c r="U146" s="78">
        <f>IF($B146="",0,IF(COUNTIF('ONLINE ORDERS'!$B$6:$B$155,$B146)&gt;1,1,0))</f>
      </c>
      <c r="V146" s="78">
        <f>IF($F146="",0,IF(COUNTIF('PEOPLE + BUDGETS'!$B$6:$B$105,$F146)=0,1,0))</f>
      </c>
      <c r="W146" s="75"/>
    </row>
    <row r="147" ht="17" customHeight="1" spans="1:23" x14ac:dyDescent="0.25">
      <c r="A147" s="75"/>
      <c r="B147" s="79"/>
      <c r="C147" s="79"/>
      <c r="D147" s="82"/>
      <c r="E147" s="82"/>
      <c r="F147" s="79"/>
      <c r="G147" s="78">
        <f>IF($B147="","",IF($F147="","",IFERROR(IF(INDEX('PEOPLE + BUDGETS'!$C$6:$C$105,MATCH($F147,'PEOPLE + BUDGETS'!$B$6:$B$105,0))="","",INDEX('PEOPLE + BUDGETS'!$C$6:$C$105,MATCH($F147,'PEOPLE + BUDGETS'!$B$6:$B$105,0))),"")))</f>
      </c>
      <c r="H147" s="80"/>
      <c r="I147" s="86"/>
      <c r="J147" s="80"/>
      <c r="K147" s="79"/>
      <c r="L147" s="82"/>
      <c r="M147" s="78">
        <f>IF($B147="","",IF(OR($K147="Arrived",$L147&lt;&gt;""),"Yes","No"))</f>
      </c>
      <c r="N147" s="79"/>
      <c r="O147" s="82"/>
      <c r="P147" s="86"/>
      <c r="Q147" s="79"/>
      <c r="R147" s="78">
        <f>IF($B147="","",IF(OR($K147="Cancelled",$K147="Returned"),"CLOSED",IF($M147="Yes","ARRIVED",IF($E147="","MISSING DATE",IF($E147&lt;TODAY(),"LATE",IF(AND($J147="",$E147-TODAY()&lt;=Set_ShipWindow),"NO TRACKING","ON TRACK"))))))</f>
      </c>
      <c r="S147" s="78">
        <f>IF($B147="","",IF($O147="","—",IF($O147&lt;TODAY(),"CLOSED",IF($O147-TODAY()&lt;=7,"CLOSING SOON","OPEN"))))</f>
      </c>
      <c r="T147" s="80"/>
      <c r="U147" s="78">
        <f>IF($B147="",0,IF(COUNTIF('ONLINE ORDERS'!$B$6:$B$155,$B147)&gt;1,1,0))</f>
      </c>
      <c r="V147" s="78">
        <f>IF($F147="",0,IF(COUNTIF('PEOPLE + BUDGETS'!$B$6:$B$105,$F147)=0,1,0))</f>
      </c>
      <c r="W147" s="75"/>
    </row>
    <row r="148" ht="17" customHeight="1" spans="1:23" x14ac:dyDescent="0.25">
      <c r="A148" s="75"/>
      <c r="B148" s="79"/>
      <c r="C148" s="79"/>
      <c r="D148" s="82"/>
      <c r="E148" s="82"/>
      <c r="F148" s="79"/>
      <c r="G148" s="78">
        <f>IF($B148="","",IF($F148="","",IFERROR(IF(INDEX('PEOPLE + BUDGETS'!$C$6:$C$105,MATCH($F148,'PEOPLE + BUDGETS'!$B$6:$B$105,0))="","",INDEX('PEOPLE + BUDGETS'!$C$6:$C$105,MATCH($F148,'PEOPLE + BUDGETS'!$B$6:$B$105,0))),"")))</f>
      </c>
      <c r="H148" s="80"/>
      <c r="I148" s="86"/>
      <c r="J148" s="80"/>
      <c r="K148" s="79"/>
      <c r="L148" s="82"/>
      <c r="M148" s="78">
        <f>IF($B148="","",IF(OR($K148="Arrived",$L148&lt;&gt;""),"Yes","No"))</f>
      </c>
      <c r="N148" s="79"/>
      <c r="O148" s="82"/>
      <c r="P148" s="86"/>
      <c r="Q148" s="79"/>
      <c r="R148" s="78">
        <f>IF($B148="","",IF(OR($K148="Cancelled",$K148="Returned"),"CLOSED",IF($M148="Yes","ARRIVED",IF($E148="","MISSING DATE",IF($E148&lt;TODAY(),"LATE",IF(AND($J148="",$E148-TODAY()&lt;=Set_ShipWindow),"NO TRACKING","ON TRACK"))))))</f>
      </c>
      <c r="S148" s="78">
        <f>IF($B148="","",IF($O148="","—",IF($O148&lt;TODAY(),"CLOSED",IF($O148-TODAY()&lt;=7,"CLOSING SOON","OPEN"))))</f>
      </c>
      <c r="T148" s="80"/>
      <c r="U148" s="78">
        <f>IF($B148="",0,IF(COUNTIF('ONLINE ORDERS'!$B$6:$B$155,$B148)&gt;1,1,0))</f>
      </c>
      <c r="V148" s="78">
        <f>IF($F148="",0,IF(COUNTIF('PEOPLE + BUDGETS'!$B$6:$B$105,$F148)=0,1,0))</f>
      </c>
      <c r="W148" s="75"/>
    </row>
    <row r="149" ht="17" customHeight="1" spans="1:23" x14ac:dyDescent="0.25">
      <c r="A149" s="75"/>
      <c r="B149" s="79"/>
      <c r="C149" s="79"/>
      <c r="D149" s="82"/>
      <c r="E149" s="82"/>
      <c r="F149" s="79"/>
      <c r="G149" s="78">
        <f>IF($B149="","",IF($F149="","",IFERROR(IF(INDEX('PEOPLE + BUDGETS'!$C$6:$C$105,MATCH($F149,'PEOPLE + BUDGETS'!$B$6:$B$105,0))="","",INDEX('PEOPLE + BUDGETS'!$C$6:$C$105,MATCH($F149,'PEOPLE + BUDGETS'!$B$6:$B$105,0))),"")))</f>
      </c>
      <c r="H149" s="80"/>
      <c r="I149" s="86"/>
      <c r="J149" s="80"/>
      <c r="K149" s="79"/>
      <c r="L149" s="82"/>
      <c r="M149" s="78">
        <f>IF($B149="","",IF(OR($K149="Arrived",$L149&lt;&gt;""),"Yes","No"))</f>
      </c>
      <c r="N149" s="79"/>
      <c r="O149" s="82"/>
      <c r="P149" s="86"/>
      <c r="Q149" s="79"/>
      <c r="R149" s="78">
        <f>IF($B149="","",IF(OR($K149="Cancelled",$K149="Returned"),"CLOSED",IF($M149="Yes","ARRIVED",IF($E149="","MISSING DATE",IF($E149&lt;TODAY(),"LATE",IF(AND($J149="",$E149-TODAY()&lt;=Set_ShipWindow),"NO TRACKING","ON TRACK"))))))</f>
      </c>
      <c r="S149" s="78">
        <f>IF($B149="","",IF($O149="","—",IF($O149&lt;TODAY(),"CLOSED",IF($O149-TODAY()&lt;=7,"CLOSING SOON","OPEN"))))</f>
      </c>
      <c r="T149" s="80"/>
      <c r="U149" s="78">
        <f>IF($B149="",0,IF(COUNTIF('ONLINE ORDERS'!$B$6:$B$155,$B149)&gt;1,1,0))</f>
      </c>
      <c r="V149" s="78">
        <f>IF($F149="",0,IF(COUNTIF('PEOPLE + BUDGETS'!$B$6:$B$105,$F149)=0,1,0))</f>
      </c>
      <c r="W149" s="75"/>
    </row>
    <row r="150" ht="17" customHeight="1" spans="1:23" x14ac:dyDescent="0.25">
      <c r="A150" s="75"/>
      <c r="B150" s="79"/>
      <c r="C150" s="79"/>
      <c r="D150" s="82"/>
      <c r="E150" s="82"/>
      <c r="F150" s="79"/>
      <c r="G150" s="78">
        <f>IF($B150="","",IF($F150="","",IFERROR(IF(INDEX('PEOPLE + BUDGETS'!$C$6:$C$105,MATCH($F150,'PEOPLE + BUDGETS'!$B$6:$B$105,0))="","",INDEX('PEOPLE + BUDGETS'!$C$6:$C$105,MATCH($F150,'PEOPLE + BUDGETS'!$B$6:$B$105,0))),"")))</f>
      </c>
      <c r="H150" s="80"/>
      <c r="I150" s="86"/>
      <c r="J150" s="80"/>
      <c r="K150" s="79"/>
      <c r="L150" s="82"/>
      <c r="M150" s="78">
        <f>IF($B150="","",IF(OR($K150="Arrived",$L150&lt;&gt;""),"Yes","No"))</f>
      </c>
      <c r="N150" s="79"/>
      <c r="O150" s="82"/>
      <c r="P150" s="86"/>
      <c r="Q150" s="79"/>
      <c r="R150" s="78">
        <f>IF($B150="","",IF(OR($K150="Cancelled",$K150="Returned"),"CLOSED",IF($M150="Yes","ARRIVED",IF($E150="","MISSING DATE",IF($E150&lt;TODAY(),"LATE",IF(AND($J150="",$E150-TODAY()&lt;=Set_ShipWindow),"NO TRACKING","ON TRACK"))))))</f>
      </c>
      <c r="S150" s="78">
        <f>IF($B150="","",IF($O150="","—",IF($O150&lt;TODAY(),"CLOSED",IF($O150-TODAY()&lt;=7,"CLOSING SOON","OPEN"))))</f>
      </c>
      <c r="T150" s="80"/>
      <c r="U150" s="78">
        <f>IF($B150="",0,IF(COUNTIF('ONLINE ORDERS'!$B$6:$B$155,$B150)&gt;1,1,0))</f>
      </c>
      <c r="V150" s="78">
        <f>IF($F150="",0,IF(COUNTIF('PEOPLE + BUDGETS'!$B$6:$B$105,$F150)=0,1,0))</f>
      </c>
      <c r="W150" s="75"/>
    </row>
    <row r="151" ht="17" customHeight="1" spans="1:23" x14ac:dyDescent="0.25">
      <c r="A151" s="75"/>
      <c r="B151" s="79"/>
      <c r="C151" s="79"/>
      <c r="D151" s="82"/>
      <c r="E151" s="82"/>
      <c r="F151" s="79"/>
      <c r="G151" s="78">
        <f>IF($B151="","",IF($F151="","",IFERROR(IF(INDEX('PEOPLE + BUDGETS'!$C$6:$C$105,MATCH($F151,'PEOPLE + BUDGETS'!$B$6:$B$105,0))="","",INDEX('PEOPLE + BUDGETS'!$C$6:$C$105,MATCH($F151,'PEOPLE + BUDGETS'!$B$6:$B$105,0))),"")))</f>
      </c>
      <c r="H151" s="80"/>
      <c r="I151" s="86"/>
      <c r="J151" s="80"/>
      <c r="K151" s="79"/>
      <c r="L151" s="82"/>
      <c r="M151" s="78">
        <f>IF($B151="","",IF(OR($K151="Arrived",$L151&lt;&gt;""),"Yes","No"))</f>
      </c>
      <c r="N151" s="79"/>
      <c r="O151" s="82"/>
      <c r="P151" s="86"/>
      <c r="Q151" s="79"/>
      <c r="R151" s="78">
        <f>IF($B151="","",IF(OR($K151="Cancelled",$K151="Returned"),"CLOSED",IF($M151="Yes","ARRIVED",IF($E151="","MISSING DATE",IF($E151&lt;TODAY(),"LATE",IF(AND($J151="",$E151-TODAY()&lt;=Set_ShipWindow),"NO TRACKING","ON TRACK"))))))</f>
      </c>
      <c r="S151" s="78">
        <f>IF($B151="","",IF($O151="","—",IF($O151&lt;TODAY(),"CLOSED",IF($O151-TODAY()&lt;=7,"CLOSING SOON","OPEN"))))</f>
      </c>
      <c r="T151" s="80"/>
      <c r="U151" s="78">
        <f>IF($B151="",0,IF(COUNTIF('ONLINE ORDERS'!$B$6:$B$155,$B151)&gt;1,1,0))</f>
      </c>
      <c r="V151" s="78">
        <f>IF($F151="",0,IF(COUNTIF('PEOPLE + BUDGETS'!$B$6:$B$105,$F151)=0,1,0))</f>
      </c>
      <c r="W151" s="75"/>
    </row>
    <row r="152" ht="17" customHeight="1" spans="1:23" x14ac:dyDescent="0.25">
      <c r="A152" s="75"/>
      <c r="B152" s="79"/>
      <c r="C152" s="79"/>
      <c r="D152" s="82"/>
      <c r="E152" s="82"/>
      <c r="F152" s="79"/>
      <c r="G152" s="78">
        <f>IF($B152="","",IF($F152="","",IFERROR(IF(INDEX('PEOPLE + BUDGETS'!$C$6:$C$105,MATCH($F152,'PEOPLE + BUDGETS'!$B$6:$B$105,0))="","",INDEX('PEOPLE + BUDGETS'!$C$6:$C$105,MATCH($F152,'PEOPLE + BUDGETS'!$B$6:$B$105,0))),"")))</f>
      </c>
      <c r="H152" s="80"/>
      <c r="I152" s="86"/>
      <c r="J152" s="80"/>
      <c r="K152" s="79"/>
      <c r="L152" s="82"/>
      <c r="M152" s="78">
        <f>IF($B152="","",IF(OR($K152="Arrived",$L152&lt;&gt;""),"Yes","No"))</f>
      </c>
      <c r="N152" s="79"/>
      <c r="O152" s="82"/>
      <c r="P152" s="86"/>
      <c r="Q152" s="79"/>
      <c r="R152" s="78">
        <f>IF($B152="","",IF(OR($K152="Cancelled",$K152="Returned"),"CLOSED",IF($M152="Yes","ARRIVED",IF($E152="","MISSING DATE",IF($E152&lt;TODAY(),"LATE",IF(AND($J152="",$E152-TODAY()&lt;=Set_ShipWindow),"NO TRACKING","ON TRACK"))))))</f>
      </c>
      <c r="S152" s="78">
        <f>IF($B152="","",IF($O152="","—",IF($O152&lt;TODAY(),"CLOSED",IF($O152-TODAY()&lt;=7,"CLOSING SOON","OPEN"))))</f>
      </c>
      <c r="T152" s="80"/>
      <c r="U152" s="78">
        <f>IF($B152="",0,IF(COUNTIF('ONLINE ORDERS'!$B$6:$B$155,$B152)&gt;1,1,0))</f>
      </c>
      <c r="V152" s="78">
        <f>IF($F152="",0,IF(COUNTIF('PEOPLE + BUDGETS'!$B$6:$B$105,$F152)=0,1,0))</f>
      </c>
      <c r="W152" s="75"/>
    </row>
    <row r="153" ht="17" customHeight="1" spans="1:23" x14ac:dyDescent="0.25">
      <c r="A153" s="75"/>
      <c r="B153" s="79"/>
      <c r="C153" s="79"/>
      <c r="D153" s="82"/>
      <c r="E153" s="82"/>
      <c r="F153" s="79"/>
      <c r="G153" s="78">
        <f>IF($B153="","",IF($F153="","",IFERROR(IF(INDEX('PEOPLE + BUDGETS'!$C$6:$C$105,MATCH($F153,'PEOPLE + BUDGETS'!$B$6:$B$105,0))="","",INDEX('PEOPLE + BUDGETS'!$C$6:$C$105,MATCH($F153,'PEOPLE + BUDGETS'!$B$6:$B$105,0))),"")))</f>
      </c>
      <c r="H153" s="80"/>
      <c r="I153" s="86"/>
      <c r="J153" s="80"/>
      <c r="K153" s="79"/>
      <c r="L153" s="82"/>
      <c r="M153" s="78">
        <f>IF($B153="","",IF(OR($K153="Arrived",$L153&lt;&gt;""),"Yes","No"))</f>
      </c>
      <c r="N153" s="79"/>
      <c r="O153" s="82"/>
      <c r="P153" s="86"/>
      <c r="Q153" s="79"/>
      <c r="R153" s="78">
        <f>IF($B153="","",IF(OR($K153="Cancelled",$K153="Returned"),"CLOSED",IF($M153="Yes","ARRIVED",IF($E153="","MISSING DATE",IF($E153&lt;TODAY(),"LATE",IF(AND($J153="",$E153-TODAY()&lt;=Set_ShipWindow),"NO TRACKING","ON TRACK"))))))</f>
      </c>
      <c r="S153" s="78">
        <f>IF($B153="","",IF($O153="","—",IF($O153&lt;TODAY(),"CLOSED",IF($O153-TODAY()&lt;=7,"CLOSING SOON","OPEN"))))</f>
      </c>
      <c r="T153" s="80"/>
      <c r="U153" s="78">
        <f>IF($B153="",0,IF(COUNTIF('ONLINE ORDERS'!$B$6:$B$155,$B153)&gt;1,1,0))</f>
      </c>
      <c r="V153" s="78">
        <f>IF($F153="",0,IF(COUNTIF('PEOPLE + BUDGETS'!$B$6:$B$105,$F153)=0,1,0))</f>
      </c>
      <c r="W153" s="75"/>
    </row>
    <row r="154" ht="17" customHeight="1" spans="1:23" x14ac:dyDescent="0.25">
      <c r="A154" s="75"/>
      <c r="B154" s="79"/>
      <c r="C154" s="79"/>
      <c r="D154" s="82"/>
      <c r="E154" s="82"/>
      <c r="F154" s="79"/>
      <c r="G154" s="78">
        <f>IF($B154="","",IF($F154="","",IFERROR(IF(INDEX('PEOPLE + BUDGETS'!$C$6:$C$105,MATCH($F154,'PEOPLE + BUDGETS'!$B$6:$B$105,0))="","",INDEX('PEOPLE + BUDGETS'!$C$6:$C$105,MATCH($F154,'PEOPLE + BUDGETS'!$B$6:$B$105,0))),"")))</f>
      </c>
      <c r="H154" s="80"/>
      <c r="I154" s="86"/>
      <c r="J154" s="80"/>
      <c r="K154" s="79"/>
      <c r="L154" s="82"/>
      <c r="M154" s="78">
        <f>IF($B154="","",IF(OR($K154="Arrived",$L154&lt;&gt;""),"Yes","No"))</f>
      </c>
      <c r="N154" s="79"/>
      <c r="O154" s="82"/>
      <c r="P154" s="86"/>
      <c r="Q154" s="79"/>
      <c r="R154" s="78">
        <f>IF($B154="","",IF(OR($K154="Cancelled",$K154="Returned"),"CLOSED",IF($M154="Yes","ARRIVED",IF($E154="","MISSING DATE",IF($E154&lt;TODAY(),"LATE",IF(AND($J154="",$E154-TODAY()&lt;=Set_ShipWindow),"NO TRACKING","ON TRACK"))))))</f>
      </c>
      <c r="S154" s="78">
        <f>IF($B154="","",IF($O154="","—",IF($O154&lt;TODAY(),"CLOSED",IF($O154-TODAY()&lt;=7,"CLOSING SOON","OPEN"))))</f>
      </c>
      <c r="T154" s="80"/>
      <c r="U154" s="78">
        <f>IF($B154="",0,IF(COUNTIF('ONLINE ORDERS'!$B$6:$B$155,$B154)&gt;1,1,0))</f>
      </c>
      <c r="V154" s="78">
        <f>IF($F154="",0,IF(COUNTIF('PEOPLE + BUDGETS'!$B$6:$B$105,$F154)=0,1,0))</f>
      </c>
      <c r="W154" s="75"/>
    </row>
    <row r="155" ht="17" customHeight="1" spans="1:23" x14ac:dyDescent="0.25">
      <c r="A155" s="75"/>
      <c r="B155" s="79"/>
      <c r="C155" s="79"/>
      <c r="D155" s="82"/>
      <c r="E155" s="82"/>
      <c r="F155" s="79"/>
      <c r="G155" s="78">
        <f>IF($B155="","",IF($F155="","",IFERROR(IF(INDEX('PEOPLE + BUDGETS'!$C$6:$C$105,MATCH($F155,'PEOPLE + BUDGETS'!$B$6:$B$105,0))="","",INDEX('PEOPLE + BUDGETS'!$C$6:$C$105,MATCH($F155,'PEOPLE + BUDGETS'!$B$6:$B$105,0))),"")))</f>
      </c>
      <c r="H155" s="80"/>
      <c r="I155" s="86"/>
      <c r="J155" s="80"/>
      <c r="K155" s="79"/>
      <c r="L155" s="82"/>
      <c r="M155" s="78">
        <f>IF($B155="","",IF(OR($K155="Arrived",$L155&lt;&gt;""),"Yes","No"))</f>
      </c>
      <c r="N155" s="79"/>
      <c r="O155" s="82"/>
      <c r="P155" s="86"/>
      <c r="Q155" s="79"/>
      <c r="R155" s="78">
        <f>IF($B155="","",IF(OR($K155="Cancelled",$K155="Returned"),"CLOSED",IF($M155="Yes","ARRIVED",IF($E155="","MISSING DATE",IF($E155&lt;TODAY(),"LATE",IF(AND($J155="",$E155-TODAY()&lt;=Set_ShipWindow),"NO TRACKING","ON TRACK"))))))</f>
      </c>
      <c r="S155" s="78">
        <f>IF($B155="","",IF($O155="","—",IF($O155&lt;TODAY(),"CLOSED",IF($O155-TODAY()&lt;=7,"CLOSING SOON","OPEN"))))</f>
      </c>
      <c r="T155" s="80"/>
      <c r="U155" s="78">
        <f>IF($B155="",0,IF(COUNTIF('ONLINE ORDERS'!$B$6:$B$155,$B155)&gt;1,1,0))</f>
      </c>
      <c r="V155" s="78">
        <f>IF($F155="",0,IF(COUNTIF('PEOPLE + BUDGETS'!$B$6:$B$105,$F155)=0,1,0))</f>
      </c>
      <c r="W155" s="75"/>
    </row>
    <row r="157" spans="2:2" x14ac:dyDescent="0.25">
      <c r="B157" s="91" t="s">
        <v>388</v>
      </c>
    </row>
  </sheetData>
  <autoFilter ref="B5:V155"/>
  <mergeCells count="1">
    <mergeCell ref="B1:C1"/>
  </mergeCells>
  <conditionalFormatting sqref="R6:R155">
    <cfRule type="containsText" dxfId="103" priority="1">
      <formula>NOT(ISERROR(SEARCH("OVER BUDGET",R6)))</formula>
    </cfRule>
  </conditionalFormatting>
  <conditionalFormatting sqref="R6:R155">
    <cfRule type="containsText" dxfId="104" priority="2">
      <formula>NOT(ISERROR(SEARCH("OVERDUE",R6)))</formula>
    </cfRule>
  </conditionalFormatting>
  <conditionalFormatting sqref="R6:R155">
    <cfRule type="containsText" dxfId="105" priority="3">
      <formula>NOT(ISERROR(SEARCH("LATE",R6)))</formula>
    </cfRule>
  </conditionalFormatting>
  <conditionalFormatting sqref="R6:R155">
    <cfRule type="containsText" dxfId="106" priority="4">
      <formula>NOT(ISERROR(SEARCH("WINDOW CLOSED",R6)))</formula>
    </cfRule>
  </conditionalFormatting>
  <conditionalFormatting sqref="R6:R155">
    <cfRule type="containsText" dxfId="107" priority="5">
      <formula>NOT(ISERROR(SEARCH("BALANCE OVERDUE",R6)))</formula>
    </cfRule>
  </conditionalFormatting>
  <conditionalFormatting sqref="R6:R155">
    <cfRule type="containsText" dxfId="108" priority="6">
      <formula>NOT(ISERROR(SEARCH("PREP OVERDUE",R6)))</formula>
    </cfRule>
  </conditionalFormatting>
  <conditionalFormatting sqref="R6:R155">
    <cfRule type="containsText" dxfId="109" priority="7">
      <formula>NOT(ISERROR(SEARCH("CHECK DUPLICATE",R6)))</formula>
    </cfRule>
  </conditionalFormatting>
  <conditionalFormatting sqref="R6:R155">
    <cfRule type="containsText" dxfId="110" priority="8">
      <formula>NOT(ISERROR(SEARCH("MISSING DATE",R6)))</formula>
    </cfRule>
  </conditionalFormatting>
  <conditionalFormatting sqref="R6:R155">
    <cfRule type="containsText" dxfId="111" priority="9">
      <formula>NOT(ISERROR(SEARCH("NOT FOUND",R6)))</formula>
    </cfRule>
  </conditionalFormatting>
  <conditionalFormatting sqref="R6:R155">
    <cfRule type="containsText" dxfId="112" priority="10">
      <formula>NOT(ISERROR(SEARCH("NEAR LIMIT",R6)))</formula>
    </cfRule>
  </conditionalFormatting>
  <conditionalFormatting sqref="R6:R155">
    <cfRule type="containsText" dxfId="113" priority="11">
      <formula>NOT(ISERROR(SEARCH("THIS WEEK",R6)))</formula>
    </cfRule>
  </conditionalFormatting>
  <conditionalFormatting sqref="R6:R155">
    <cfRule type="containsText" dxfId="114" priority="12">
      <formula>NOT(ISERROR(SEARCH("CLOSING SOON",R6)))</formula>
    </cfRule>
  </conditionalFormatting>
  <conditionalFormatting sqref="R6:R155">
    <cfRule type="containsText" dxfId="115" priority="13">
      <formula>NOT(ISERROR(SEARCH("NO TRACKING",R6)))</formula>
    </cfRule>
  </conditionalFormatting>
  <conditionalFormatting sqref="R6:R155">
    <cfRule type="containsText" dxfId="116" priority="14">
      <formula>NOT(ISERROR(SEARCH("LOW",R6)))</formula>
    </cfRule>
  </conditionalFormatting>
  <conditionalFormatting sqref="R6:R155">
    <cfRule type="containsText" dxfId="117" priority="15">
      <formula>NOT(ISERROR(SEARCH("AWAITING REFUND",R6)))</formula>
    </cfRule>
  </conditionalFormatting>
  <conditionalFormatting sqref="R6:R155">
    <cfRule type="containsText" dxfId="118" priority="16">
      <formula>NOT(ISERROR(SEARCH("BALANCE DUE SOON",R6)))</formula>
    </cfRule>
  </conditionalFormatting>
  <conditionalFormatting sqref="R6:R155">
    <cfRule type="containsText" dxfId="119" priority="17">
      <formula>NOT(ISERROR(SEARCH("TO BUY",R6)))</formula>
    </cfRule>
  </conditionalFormatting>
  <conditionalFormatting sqref="R6:R155">
    <cfRule type="containsText" dxfId="120" priority="18">
      <formula>NOT(ISERROR(SEARCH("NO DATE",R6)))</formula>
    </cfRule>
  </conditionalFormatting>
  <conditionalFormatting sqref="R6:R155">
    <cfRule type="containsText" dxfId="121" priority="19">
      <formula>NOT(ISERROR(SEARCH("NO COUNT",R6)))</formula>
    </cfRule>
  </conditionalFormatting>
  <conditionalFormatting sqref="R6:R155">
    <cfRule type="containsText" dxfId="122" priority="20">
      <formula>NOT(ISERROR(SEARCH("ON TRACK",R6)))</formula>
    </cfRule>
  </conditionalFormatting>
  <conditionalFormatting sqref="R6:R155">
    <cfRule type="containsText" dxfId="123" priority="21">
      <formula>NOT(ISERROR(SEARCH("COMPLETE",R6)))</formula>
    </cfRule>
  </conditionalFormatting>
  <conditionalFormatting sqref="R6:R155">
    <cfRule type="containsText" dxfId="124" priority="22">
      <formula>NOT(ISERROR(SEARCH("DONE",R6)))</formula>
    </cfRule>
  </conditionalFormatting>
  <conditionalFormatting sqref="R6:R155">
    <cfRule type="containsText" dxfId="125" priority="23">
      <formula>NOT(ISERROR(SEARCH("ARRIVED",R6)))</formula>
    </cfRule>
  </conditionalFormatting>
  <conditionalFormatting sqref="R6:R155">
    <cfRule type="containsText" dxfId="126" priority="24">
      <formula>NOT(ISERROR(SEARCH("SETTLED",R6)))</formula>
    </cfRule>
  </conditionalFormatting>
  <conditionalFormatting sqref="R6:R155">
    <cfRule type="containsText" dxfId="127" priority="25">
      <formula>NOT(ISERROR(SEARCH("AT BUDGET",R6)))</formula>
    </cfRule>
  </conditionalFormatting>
  <conditionalFormatting sqref="R6:R155">
    <cfRule type="containsText" dxfId="128" priority="26">
      <formula>NOT(ISERROR(SEARCH("IN STOCK",R6)))</formula>
    </cfRule>
  </conditionalFormatting>
  <conditionalFormatting sqref="R6:R155">
    <cfRule type="containsText" dxfId="129" priority="27">
      <formula>NOT(ISERROR(SEARCH("BOUGHT",R6)))</formula>
    </cfRule>
  </conditionalFormatting>
  <conditionalFormatting sqref="R6:R155">
    <cfRule type="containsText" dxfId="130" priority="28">
      <formula>NOT(ISERROR(SEARCH("READY",R6)))</formula>
    </cfRule>
  </conditionalFormatting>
  <conditionalFormatting sqref="R6:R155">
    <cfRule type="containsText" dxfId="131" priority="29">
      <formula>NOT(ISERROR(SEARCH("NOT SET",R6)))</formula>
    </cfRule>
  </conditionalFormatting>
  <conditionalFormatting sqref="R6:R155">
    <cfRule type="containsText" dxfId="132" priority="30">
      <formula>NOT(ISERROR(SEARCH("NOT STARTED",R6)))</formula>
    </cfRule>
  </conditionalFormatting>
  <conditionalFormatting sqref="R6:R155">
    <cfRule type="containsText" dxfId="133" priority="31">
      <formula>NOT(ISERROR(SEARCH("SCHEDULED",R6)))</formula>
    </cfRule>
  </conditionalFormatting>
  <conditionalFormatting sqref="R6:R155">
    <cfRule type="containsText" dxfId="134" priority="32">
      <formula>NOT(ISERROR(SEARCH("CLOSED",R6)))</formula>
    </cfRule>
  </conditionalFormatting>
  <conditionalFormatting sqref="R6:R155">
    <cfRule type="containsText" dxfId="135" priority="33">
      <formula>NOT(ISERROR(SEARCH("IN THE PANTRY",R6)))</formula>
    </cfRule>
  </conditionalFormatting>
  <conditionalFormatting sqref="R6:R155">
    <cfRule type="containsText" dxfId="136" priority="34">
      <formula>NOT(ISERROR(SEARCH("BALANCE OPEN",R6)))</formula>
    </cfRule>
  </conditionalFormatting>
  <conditionalFormatting sqref="S6:S155">
    <cfRule type="containsText" dxfId="137" priority="1">
      <formula>NOT(ISERROR(SEARCH("OVER BUDGET",S6)))</formula>
    </cfRule>
  </conditionalFormatting>
  <conditionalFormatting sqref="S6:S155">
    <cfRule type="containsText" dxfId="138" priority="2">
      <formula>NOT(ISERROR(SEARCH("OVERDUE",S6)))</formula>
    </cfRule>
  </conditionalFormatting>
  <conditionalFormatting sqref="S6:S155">
    <cfRule type="containsText" dxfId="139" priority="3">
      <formula>NOT(ISERROR(SEARCH("LATE",S6)))</formula>
    </cfRule>
  </conditionalFormatting>
  <conditionalFormatting sqref="S6:S155">
    <cfRule type="containsText" dxfId="140" priority="4">
      <formula>NOT(ISERROR(SEARCH("WINDOW CLOSED",S6)))</formula>
    </cfRule>
  </conditionalFormatting>
  <conditionalFormatting sqref="S6:S155">
    <cfRule type="containsText" dxfId="141" priority="5">
      <formula>NOT(ISERROR(SEARCH("BALANCE OVERDUE",S6)))</formula>
    </cfRule>
  </conditionalFormatting>
  <conditionalFormatting sqref="S6:S155">
    <cfRule type="containsText" dxfId="142" priority="6">
      <formula>NOT(ISERROR(SEARCH("PREP OVERDUE",S6)))</formula>
    </cfRule>
  </conditionalFormatting>
  <conditionalFormatting sqref="S6:S155">
    <cfRule type="containsText" dxfId="143" priority="7">
      <formula>NOT(ISERROR(SEARCH("CHECK DUPLICATE",S6)))</formula>
    </cfRule>
  </conditionalFormatting>
  <conditionalFormatting sqref="S6:S155">
    <cfRule type="containsText" dxfId="144" priority="8">
      <formula>NOT(ISERROR(SEARCH("MISSING DATE",S6)))</formula>
    </cfRule>
  </conditionalFormatting>
  <conditionalFormatting sqref="S6:S155">
    <cfRule type="containsText" dxfId="145" priority="9">
      <formula>NOT(ISERROR(SEARCH("NOT FOUND",S6)))</formula>
    </cfRule>
  </conditionalFormatting>
  <conditionalFormatting sqref="S6:S155">
    <cfRule type="containsText" dxfId="146" priority="10">
      <formula>NOT(ISERROR(SEARCH("NEAR LIMIT",S6)))</formula>
    </cfRule>
  </conditionalFormatting>
  <conditionalFormatting sqref="S6:S155">
    <cfRule type="containsText" dxfId="147" priority="11">
      <formula>NOT(ISERROR(SEARCH("THIS WEEK",S6)))</formula>
    </cfRule>
  </conditionalFormatting>
  <conditionalFormatting sqref="S6:S155">
    <cfRule type="containsText" dxfId="148" priority="12">
      <formula>NOT(ISERROR(SEARCH("CLOSING SOON",S6)))</formula>
    </cfRule>
  </conditionalFormatting>
  <conditionalFormatting sqref="S6:S155">
    <cfRule type="containsText" dxfId="149" priority="13">
      <formula>NOT(ISERROR(SEARCH("NO TRACKING",S6)))</formula>
    </cfRule>
  </conditionalFormatting>
  <conditionalFormatting sqref="S6:S155">
    <cfRule type="containsText" dxfId="150" priority="14">
      <formula>NOT(ISERROR(SEARCH("LOW",S6)))</formula>
    </cfRule>
  </conditionalFormatting>
  <conditionalFormatting sqref="S6:S155">
    <cfRule type="containsText" dxfId="151" priority="15">
      <formula>NOT(ISERROR(SEARCH("AWAITING REFUND",S6)))</formula>
    </cfRule>
  </conditionalFormatting>
  <conditionalFormatting sqref="S6:S155">
    <cfRule type="containsText" dxfId="152" priority="16">
      <formula>NOT(ISERROR(SEARCH("BALANCE DUE SOON",S6)))</formula>
    </cfRule>
  </conditionalFormatting>
  <conditionalFormatting sqref="S6:S155">
    <cfRule type="containsText" dxfId="153" priority="17">
      <formula>NOT(ISERROR(SEARCH("TO BUY",S6)))</formula>
    </cfRule>
  </conditionalFormatting>
  <conditionalFormatting sqref="S6:S155">
    <cfRule type="containsText" dxfId="154" priority="18">
      <formula>NOT(ISERROR(SEARCH("NO DATE",S6)))</formula>
    </cfRule>
  </conditionalFormatting>
  <conditionalFormatting sqref="S6:S155">
    <cfRule type="containsText" dxfId="155" priority="19">
      <formula>NOT(ISERROR(SEARCH("NO COUNT",S6)))</formula>
    </cfRule>
  </conditionalFormatting>
  <conditionalFormatting sqref="S6:S155">
    <cfRule type="containsText" dxfId="156" priority="20">
      <formula>NOT(ISERROR(SEARCH("ON TRACK",S6)))</formula>
    </cfRule>
  </conditionalFormatting>
  <conditionalFormatting sqref="S6:S155">
    <cfRule type="containsText" dxfId="157" priority="21">
      <formula>NOT(ISERROR(SEARCH("COMPLETE",S6)))</formula>
    </cfRule>
  </conditionalFormatting>
  <conditionalFormatting sqref="S6:S155">
    <cfRule type="containsText" dxfId="158" priority="22">
      <formula>NOT(ISERROR(SEARCH("DONE",S6)))</formula>
    </cfRule>
  </conditionalFormatting>
  <conditionalFormatting sqref="S6:S155">
    <cfRule type="containsText" dxfId="159" priority="23">
      <formula>NOT(ISERROR(SEARCH("ARRIVED",S6)))</formula>
    </cfRule>
  </conditionalFormatting>
  <conditionalFormatting sqref="S6:S155">
    <cfRule type="containsText" dxfId="160" priority="24">
      <formula>NOT(ISERROR(SEARCH("SETTLED",S6)))</formula>
    </cfRule>
  </conditionalFormatting>
  <conditionalFormatting sqref="S6:S155">
    <cfRule type="containsText" dxfId="161" priority="25">
      <formula>NOT(ISERROR(SEARCH("AT BUDGET",S6)))</formula>
    </cfRule>
  </conditionalFormatting>
  <conditionalFormatting sqref="S6:S155">
    <cfRule type="containsText" dxfId="162" priority="26">
      <formula>NOT(ISERROR(SEARCH("IN STOCK",S6)))</formula>
    </cfRule>
  </conditionalFormatting>
  <conditionalFormatting sqref="S6:S155">
    <cfRule type="containsText" dxfId="163" priority="27">
      <formula>NOT(ISERROR(SEARCH("BOUGHT",S6)))</formula>
    </cfRule>
  </conditionalFormatting>
  <conditionalFormatting sqref="S6:S155">
    <cfRule type="containsText" dxfId="164" priority="28">
      <formula>NOT(ISERROR(SEARCH("READY",S6)))</formula>
    </cfRule>
  </conditionalFormatting>
  <conditionalFormatting sqref="S6:S155">
    <cfRule type="containsText" dxfId="165" priority="29">
      <formula>NOT(ISERROR(SEARCH("NOT SET",S6)))</formula>
    </cfRule>
  </conditionalFormatting>
  <conditionalFormatting sqref="S6:S155">
    <cfRule type="containsText" dxfId="166" priority="30">
      <formula>NOT(ISERROR(SEARCH("NOT STARTED",S6)))</formula>
    </cfRule>
  </conditionalFormatting>
  <conditionalFormatting sqref="S6:S155">
    <cfRule type="containsText" dxfId="167" priority="31">
      <formula>NOT(ISERROR(SEARCH("SCHEDULED",S6)))</formula>
    </cfRule>
  </conditionalFormatting>
  <conditionalFormatting sqref="S6:S155">
    <cfRule type="containsText" dxfId="168" priority="32">
      <formula>NOT(ISERROR(SEARCH("CLOSED",S6)))</formula>
    </cfRule>
  </conditionalFormatting>
  <conditionalFormatting sqref="S6:S155">
    <cfRule type="containsText" dxfId="169" priority="33">
      <formula>NOT(ISERROR(SEARCH("IN THE PANTRY",S6)))</formula>
    </cfRule>
  </conditionalFormatting>
  <conditionalFormatting sqref="S6:S155">
    <cfRule type="containsText" dxfId="170" priority="34">
      <formula>NOT(ISERROR(SEARCH("BALANCE OPEN",S6)))</formula>
    </cfRule>
  </conditionalFormatting>
  <dataValidations count="9">
    <dataValidation type="custom" allowBlank="1" showErrorMessage="1" errorStyle="warning" errorTitle="That is not a date yet" error="Type a real date, so the workbook can count days with it. &quot;Before Christmas&quot; cannot be sorted." sqref="D6:D155">
      <formula1>=OR(D6="",ISNUMBER(D6))</formula1>
    </dataValidation>
    <dataValidation type="custom" allowBlank="1" showErrorMessage="1" errorStyle="warning" errorTitle="That is not a date yet" error="Type a real date, so the workbook can count days with it. &quot;Before Christmas&quot; cannot be sorted." sqref="E6:E155">
      <formula1>=OR(E6="",ISNUMBER(E6))</formula1>
    </dataValidation>
    <dataValidation type="custom" allowBlank="1" showErrorMessage="1" errorStyle="warning" errorTitle="That looks like text" error="Type the number on its own — no currency symbol and no words. The column adds the symbol for you." sqref="I6:I155">
      <formula1>=OR(I6="",ISNUMBER(I6))</formula1>
    </dataValidation>
    <dataValidation type="list" allowBlank="1" showErrorMessage="1" errorStyle="warning" errorTitle="Not one of the usual values" error="This column normally uses a value from the OrderStatus list on LISTS. You can keep what you typed, or add it to the list so it appears in the dropdown." sqref="K6:K155">
      <formula1>=List_OrderStatus</formula1>
    </dataValidation>
    <dataValidation type="custom" allowBlank="1" showErrorMessage="1" errorStyle="warning" errorTitle="That is not a date yet" error="Type a real date, so the workbook can count days with it. &quot;Before Christmas&quot; cannot be sorted." sqref="L6:L155">
      <formula1>=OR(L6="",ISNUMBER(L6))</formula1>
    </dataValidation>
    <dataValidation type="list" allowBlank="1" showErrorMessage="1" errorStyle="warning" errorTitle="Not one of the usual values" error="This column normally uses a value from the IssueType list on LISTS. You can keep what you typed, or add it to the list so it appears in the dropdown." sqref="N6:N155">
      <formula1>=List_IssueType</formula1>
    </dataValidation>
    <dataValidation type="custom" allowBlank="1" showErrorMessage="1" errorStyle="warning" errorTitle="That is not a date yet" error="Type a real date, so the workbook can count days with it. &quot;Before Christmas&quot; cannot be sorted." sqref="O6:O155">
      <formula1>=OR(O6="",ISNUMBER(O6))</formula1>
    </dataValidation>
    <dataValidation type="custom" allowBlank="1" showErrorMessage="1" errorStyle="warning" errorTitle="That looks like text" error="Type the number on its own — no currency symbol and no words. The column adds the symbol for you." sqref="P6:P155">
      <formula1>=OR(P6="",ISNUMBER(P6))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Q6:Q15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&amp;LONLINE ORDERS&amp;C&amp;P of &amp;N&amp;RThe Christmas Season Master Command Center™</oddFooter>
  </headerFooter>
  <legacyDrawing r:id="rId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X65"/>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2" max="4" width="11" customWidth="1"/>
    <col min="5" max="5" width="22" customWidth="1"/>
    <col min="6" max="7" width="20" customWidth="1"/>
    <col min="8" max="8" width="26" customWidth="1"/>
    <col min="9" max="9" width="30" customWidth="1"/>
    <col min="10" max="10" width="16" customWidth="1"/>
    <col min="11" max="11" width="17" customWidth="1"/>
    <col min="12" max="13" width="13" customWidth="1"/>
    <col min="14" max="14" width="17" customWidth="1"/>
    <col min="15" max="15" width="13" customWidth="1"/>
    <col min="16" max="16" width="11" customWidth="1"/>
    <col min="17" max="18" width="13" customWidth="1"/>
    <col min="19" max="19" width="17" customWidth="1"/>
    <col min="20" max="20" width="34" customWidth="1"/>
    <col min="21" max="23" width="18" hidden="1" customWidth="1"/>
    <col min="24" max="24" width="2" customWidth="1"/>
  </cols>
  <sheetData>
    <row r="1" ht="21" customHeight="1" spans="1:24" x14ac:dyDescent="0.25">
      <c r="A1" s="62"/>
      <c r="B1" s="63" t="s">
        <v>8</v>
      </c>
      <c r="C1" s="63"/>
      <c r="D1" s="63" t="s">
        <v>9</v>
      </c>
      <c r="E1" s="63"/>
      <c r="F1" s="63" t="s">
        <v>10</v>
      </c>
      <c r="G1" s="63" t="s">
        <v>11</v>
      </c>
      <c r="H1" s="63" t="s">
        <v>12</v>
      </c>
      <c r="I1" s="62"/>
      <c r="J1" s="62"/>
      <c r="K1" s="62"/>
      <c r="L1" s="62"/>
      <c r="M1" s="62"/>
      <c r="N1" s="62"/>
      <c r="O1" s="62"/>
      <c r="P1" s="62"/>
      <c r="Q1" s="62"/>
      <c r="R1" s="62"/>
      <c r="S1" s="62"/>
      <c r="T1" s="62"/>
      <c r="U1" s="62"/>
      <c r="V1" s="62"/>
      <c r="W1" s="62"/>
      <c r="X1" s="62"/>
    </row>
    <row r="2" ht="34" customHeight="1" spans="1:24" x14ac:dyDescent="0.25">
      <c r="A2" s="64"/>
      <c r="B2" s="65" t="s">
        <v>140</v>
      </c>
      <c r="C2" s="64"/>
      <c r="D2" s="64"/>
      <c r="E2" s="64"/>
      <c r="F2" s="64"/>
      <c r="G2" s="64"/>
      <c r="H2" s="64"/>
      <c r="I2" s="64"/>
      <c r="J2" s="64"/>
      <c r="K2" s="64"/>
      <c r="L2" s="64"/>
      <c r="M2" s="64"/>
      <c r="N2" s="64"/>
      <c r="O2" s="64"/>
      <c r="P2" s="64"/>
      <c r="Q2" s="64"/>
      <c r="R2" s="64"/>
      <c r="S2" s="64"/>
      <c r="T2" s="64"/>
      <c r="U2" s="64"/>
      <c r="V2" s="64"/>
      <c r="W2" s="64"/>
      <c r="X2" s="64"/>
    </row>
    <row r="3" ht="18" customHeight="1" spans="1:24" x14ac:dyDescent="0.25">
      <c r="A3" s="64"/>
      <c r="B3" s="66" t="s">
        <v>389</v>
      </c>
      <c r="C3" s="64"/>
      <c r="D3" s="64"/>
      <c r="E3" s="64"/>
      <c r="F3" s="64"/>
      <c r="G3" s="64"/>
      <c r="H3" s="64"/>
      <c r="I3" s="64"/>
      <c r="J3" s="64"/>
      <c r="K3" s="64"/>
      <c r="L3" s="64"/>
      <c r="M3" s="64"/>
      <c r="N3" s="64"/>
      <c r="O3" s="64"/>
      <c r="P3" s="64"/>
      <c r="Q3" s="64"/>
      <c r="R3" s="64"/>
      <c r="S3" s="64"/>
      <c r="T3" s="64"/>
      <c r="U3" s="64"/>
      <c r="V3" s="64"/>
      <c r="W3" s="64"/>
      <c r="X3" s="64"/>
    </row>
    <row r="4" ht="17" customHeight="1" spans="1:24" x14ac:dyDescent="0.25">
      <c r="A4" s="64"/>
      <c r="B4" s="67" t="s">
        <v>160</v>
      </c>
      <c r="C4" s="64"/>
      <c r="D4" s="64"/>
      <c r="E4" s="64"/>
      <c r="F4" s="64"/>
      <c r="G4" s="64"/>
      <c r="H4" s="64"/>
      <c r="I4" s="64"/>
      <c r="J4" s="64"/>
      <c r="K4" s="64"/>
      <c r="L4" s="64"/>
      <c r="M4" s="64"/>
      <c r="N4" s="64"/>
      <c r="O4" s="64"/>
      <c r="P4" s="64"/>
      <c r="Q4" s="64"/>
      <c r="R4" s="64"/>
      <c r="S4" s="64"/>
      <c r="T4" s="64"/>
      <c r="U4" s="64"/>
      <c r="V4" s="64"/>
      <c r="W4" s="64"/>
      <c r="X4" s="64"/>
    </row>
    <row r="5" ht="32" customHeight="1" spans="1:24" x14ac:dyDescent="0.25">
      <c r="A5" s="73"/>
      <c r="B5" s="74" t="s">
        <v>390</v>
      </c>
      <c r="C5" s="74" t="s">
        <v>312</v>
      </c>
      <c r="D5" s="74" t="s">
        <v>297</v>
      </c>
      <c r="E5" s="74" t="s">
        <v>391</v>
      </c>
      <c r="F5" s="74" t="s">
        <v>303</v>
      </c>
      <c r="G5" s="74" t="s">
        <v>298</v>
      </c>
      <c r="H5" s="74" t="s">
        <v>392</v>
      </c>
      <c r="I5" s="74" t="s">
        <v>352</v>
      </c>
      <c r="J5" s="74" t="s">
        <v>393</v>
      </c>
      <c r="K5" s="74" t="s">
        <v>300</v>
      </c>
      <c r="L5" s="74" t="s">
        <v>394</v>
      </c>
      <c r="M5" s="74" t="s">
        <v>320</v>
      </c>
      <c r="N5" s="74" t="s">
        <v>260</v>
      </c>
      <c r="O5" s="74" t="s">
        <v>372</v>
      </c>
      <c r="P5" s="74" t="s">
        <v>373</v>
      </c>
      <c r="Q5" s="74" t="s">
        <v>395</v>
      </c>
      <c r="R5" s="74" t="s">
        <v>396</v>
      </c>
      <c r="S5" s="74" t="s">
        <v>374</v>
      </c>
      <c r="T5" s="74" t="s">
        <v>179</v>
      </c>
      <c r="U5" s="74" t="s">
        <v>180</v>
      </c>
      <c r="V5" s="74" t="s">
        <v>325</v>
      </c>
      <c r="W5" s="74" t="s">
        <v>397</v>
      </c>
      <c r="X5" s="73"/>
    </row>
    <row r="6" ht="17" customHeight="1" spans="1:24" x14ac:dyDescent="0.25">
      <c r="A6" s="75"/>
      <c r="B6" s="76" t="s">
        <v>398</v>
      </c>
      <c r="C6" s="76" t="s">
        <v>382</v>
      </c>
      <c r="D6" s="76"/>
      <c r="E6" s="76"/>
      <c r="F6" s="78">
        <f>IF($B6="","",IF($C6="",$E6,IF($C6="","",IFERROR(IF(INDEX('ONLINE ORDERS'!$C$6:$C$155,MATCH($C6,'ONLINE ORDERS'!$B$6:$B$155,0))="","",INDEX('ONLINE ORDERS'!$C$6:$C$155,MATCH($C6,'ONLINE ORDERS'!$B$6:$B$155,0))),""))))</f>
      </c>
      <c r="G6" s="78">
        <f>IF($B6="","",IF($C6="","",IFERROR(IF(INDEX('ONLINE ORDERS'!$G$6:$G$155,MATCH($C6,'ONLINE ORDERS'!$B$6:$B$155,0))="","",INDEX('ONLINE ORDERS'!$G$6:$G$155,MATCH($C6,'ONLINE ORDERS'!$B$6:$B$155,0))),"")))</f>
      </c>
      <c r="H6" s="77"/>
      <c r="I6" s="92">
        <f>IF($B6="","",IF($C6="",$H6,IF($C6="","",IFERROR(IF(INDEX('ONLINE ORDERS'!$H$6:$H$155,MATCH($C6,'ONLINE ORDERS'!$B$6:$B$155,0))="","",INDEX('ONLINE ORDERS'!$H$6:$H$155,MATCH($C6,'ONLINE ORDERS'!$B$6:$B$155,0))),""))))</f>
      </c>
      <c r="J6" s="76" t="s">
        <v>399</v>
      </c>
      <c r="K6" s="76" t="s">
        <v>291</v>
      </c>
      <c r="L6" s="81">
        <v>46358</v>
      </c>
      <c r="M6" s="93">
        <f>IF($B6="","",IF($C6="","",IFERROR(IF(INDEX('ONLINE ORDERS'!$O$6:$O$155,MATCH($C6,'ONLINE ORDERS'!$B$6:$B$155,0))="","",INDEX('ONLINE ORDERS'!$O$6:$O$155,MATCH($C6,'ONLINE ORDERS'!$B$6:$B$155,0))),"")))</f>
      </c>
      <c r="N6" s="76" t="s">
        <v>400</v>
      </c>
      <c r="O6" s="84">
        <v>240</v>
      </c>
      <c r="P6" s="76" t="s">
        <v>194</v>
      </c>
      <c r="Q6" s="84"/>
      <c r="R6" s="85">
        <f>IF($B6="","",IF($P6="Yes",IF($Q6="",$O6,$Q6),0))</f>
      </c>
      <c r="S6" s="78">
        <f>IF($B6="","",IF($P6="Yes","SETTLED",IF($M6&lt;&gt;"",IF($M6&lt;TODAY(),"WINDOW CLOSED",IF($M6-TODAY()&lt;=7,"RETURN THIS WEEK","AWAITING REFUND")),"AWAITING REFUND")))</f>
      </c>
      <c r="T6" s="77" t="s">
        <v>401</v>
      </c>
      <c r="U6" s="78">
        <f>IF($B6="",0,IF(COUNTIF('RETURNS + EXCHANGES'!$B$6:$B$65,$B6)&gt;1,1,0))</f>
      </c>
      <c r="V6" s="78">
        <f>IF($C6="",0,IF(COUNTIF('ONLINE ORDERS'!$B$6:$B$155,$C6)=0,1,0))</f>
      </c>
      <c r="W6" s="78">
        <f>IF($D6="",0,IF(COUNTIF('GIFT PLANNER'!$B$6:$B$205,$D6)=0,1,0))</f>
      </c>
      <c r="X6" s="75"/>
    </row>
    <row r="7" ht="17" customHeight="1" spans="1:24" x14ac:dyDescent="0.25">
      <c r="A7" s="75"/>
      <c r="B7" s="76" t="s">
        <v>402</v>
      </c>
      <c r="C7" s="76"/>
      <c r="D7" s="76"/>
      <c r="E7" s="76" t="s">
        <v>363</v>
      </c>
      <c r="F7" s="78">
        <f>IF($B7="","",IF($C7="",$E7,IF($C7="","",IFERROR(IF(INDEX('ONLINE ORDERS'!$C$6:$C$155,MATCH($C7,'ONLINE ORDERS'!$B$6:$B$155,0))="","",INDEX('ONLINE ORDERS'!$C$6:$C$155,MATCH($C7,'ONLINE ORDERS'!$B$6:$B$155,0))),""))))</f>
      </c>
      <c r="G7" s="78">
        <f>IF($B7="","",IF($C7="","",IFERROR(IF(INDEX('ONLINE ORDERS'!$G$6:$G$155,MATCH($C7,'ONLINE ORDERS'!$B$6:$B$155,0))="","",INDEX('ONLINE ORDERS'!$G$6:$G$155,MATCH($C7,'ONLINE ORDERS'!$B$6:$B$155,0))),"")))</f>
      </c>
      <c r="H7" s="77" t="s">
        <v>403</v>
      </c>
      <c r="I7" s="92">
        <f>IF($B7="","",IF($C7="",$H7,IF($C7="","",IFERROR(IF(INDEX('ONLINE ORDERS'!$H$6:$H$155,MATCH($C7,'ONLINE ORDERS'!$B$6:$B$155,0))="","",INDEX('ONLINE ORDERS'!$H$6:$H$155,MATCH($C7,'ONLINE ORDERS'!$B$6:$B$155,0))),""))))</f>
      </c>
      <c r="J7" s="76" t="s">
        <v>404</v>
      </c>
      <c r="K7" s="76" t="s">
        <v>277</v>
      </c>
      <c r="L7" s="81">
        <v>46355</v>
      </c>
      <c r="M7" s="93">
        <f>IF($B7="","",IF($C7="","",IFERROR(IF(INDEX('ONLINE ORDERS'!$O$6:$O$155,MATCH($C7,'ONLINE ORDERS'!$B$6:$B$155,0))="","",INDEX('ONLINE ORDERS'!$O$6:$O$155,MATCH($C7,'ONLINE ORDERS'!$B$6:$B$155,0))),"")))</f>
      </c>
      <c r="N7" s="76" t="s">
        <v>405</v>
      </c>
      <c r="O7" s="84">
        <v>120</v>
      </c>
      <c r="P7" s="76" t="s">
        <v>185</v>
      </c>
      <c r="Q7" s="84">
        <v>120</v>
      </c>
      <c r="R7" s="85">
        <f>IF($B7="","",IF($P7="Yes",IF($Q7="",$O7,$Q7),0))</f>
      </c>
      <c r="S7" s="78">
        <f>IF($B7="","",IF($P7="Yes","SETTLED",IF($M7&lt;&gt;"",IF($M7&lt;TODAY(),"WINDOW CLOSED",IF($M7-TODAY()&lt;=7,"RETURN THIS WEEK","AWAITING REFUND")),"AWAITING REFUND")))</f>
      </c>
      <c r="T7" s="77" t="s">
        <v>406</v>
      </c>
      <c r="U7" s="78">
        <f>IF($B7="",0,IF(COUNTIF('RETURNS + EXCHANGES'!$B$6:$B$65,$B7)&gt;1,1,0))</f>
      </c>
      <c r="V7" s="78">
        <f>IF($C7="",0,IF(COUNTIF('ONLINE ORDERS'!$B$6:$B$155,$C7)=0,1,0))</f>
      </c>
      <c r="W7" s="78">
        <f>IF($D7="",0,IF(COUNTIF('GIFT PLANNER'!$B$6:$B$205,$D7)=0,1,0))</f>
      </c>
      <c r="X7" s="75"/>
    </row>
    <row r="8" ht="17" customHeight="1" spans="1:24" x14ac:dyDescent="0.25">
      <c r="A8" s="75"/>
      <c r="B8" s="76" t="s">
        <v>407</v>
      </c>
      <c r="C8" s="76" t="s">
        <v>382</v>
      </c>
      <c r="D8" s="76"/>
      <c r="E8" s="76"/>
      <c r="F8" s="78">
        <f>IF($B8="","",IF($C8="",$E8,IF($C8="","",IFERROR(IF(INDEX('ONLINE ORDERS'!$C$6:$C$155,MATCH($C8,'ONLINE ORDERS'!$B$6:$B$155,0))="","",INDEX('ONLINE ORDERS'!$C$6:$C$155,MATCH($C8,'ONLINE ORDERS'!$B$6:$B$155,0))),""))))</f>
      </c>
      <c r="G8" s="78">
        <f>IF($B8="","",IF($C8="","",IFERROR(IF(INDEX('ONLINE ORDERS'!$G$6:$G$155,MATCH($C8,'ONLINE ORDERS'!$B$6:$B$155,0))="","",INDEX('ONLINE ORDERS'!$G$6:$G$155,MATCH($C8,'ONLINE ORDERS'!$B$6:$B$155,0))),"")))</f>
      </c>
      <c r="H8" s="77"/>
      <c r="I8" s="92">
        <f>IF($B8="","",IF($C8="",$H8,IF($C8="","",IFERROR(IF(INDEX('ONLINE ORDERS'!$H$6:$H$155,MATCH($C8,'ONLINE ORDERS'!$B$6:$B$155,0))="","",INDEX('ONLINE ORDERS'!$H$6:$H$155,MATCH($C8,'ONLINE ORDERS'!$B$6:$B$155,0))),""))))</f>
      </c>
      <c r="J8" s="76" t="s">
        <v>404</v>
      </c>
      <c r="K8" s="76" t="s">
        <v>291</v>
      </c>
      <c r="L8" s="81"/>
      <c r="M8" s="93">
        <f>IF($B8="","",IF($C8="","",IFERROR(IF(INDEX('ONLINE ORDERS'!$O$6:$O$155,MATCH($C8,'ONLINE ORDERS'!$B$6:$B$155,0))="","",INDEX('ONLINE ORDERS'!$O$6:$O$155,MATCH($C8,'ONLINE ORDERS'!$B$6:$B$155,0))),"")))</f>
      </c>
      <c r="N8" s="76" t="s">
        <v>408</v>
      </c>
      <c r="O8" s="84">
        <v>60</v>
      </c>
      <c r="P8" s="76" t="s">
        <v>194</v>
      </c>
      <c r="Q8" s="84"/>
      <c r="R8" s="85">
        <f>IF($B8="","",IF($P8="Yes",IF($Q8="",$O8,$Q8),0))</f>
      </c>
      <c r="S8" s="78">
        <f>IF($B8="","",IF($P8="Yes","SETTLED",IF($M8&lt;&gt;"",IF($M8&lt;TODAY(),"WINDOW CLOSED",IF($M8-TODAY()&lt;=7,"RETURN THIS WEEK","AWAITING REFUND")),"AWAITING REFUND")))</f>
      </c>
      <c r="T8" s="77" t="s">
        <v>409</v>
      </c>
      <c r="U8" s="78">
        <f>IF($B8="",0,IF(COUNTIF('RETURNS + EXCHANGES'!$B$6:$B$65,$B8)&gt;1,1,0))</f>
      </c>
      <c r="V8" s="78">
        <f>IF($C8="",0,IF(COUNTIF('ONLINE ORDERS'!$B$6:$B$155,$C8)=0,1,0))</f>
      </c>
      <c r="W8" s="78">
        <f>IF($D8="",0,IF(COUNTIF('GIFT PLANNER'!$B$6:$B$205,$D8)=0,1,0))</f>
      </c>
      <c r="X8" s="75"/>
    </row>
    <row r="9" ht="17" customHeight="1" spans="1:24" x14ac:dyDescent="0.25">
      <c r="A9" s="75"/>
      <c r="B9" s="79"/>
      <c r="C9" s="79"/>
      <c r="D9" s="79"/>
      <c r="E9" s="79"/>
      <c r="F9" s="78">
        <f>IF($B9="","",IF($C9="",$E9,IF($C9="","",IFERROR(IF(INDEX('ONLINE ORDERS'!$C$6:$C$155,MATCH($C9,'ONLINE ORDERS'!$B$6:$B$155,0))="","",INDEX('ONLINE ORDERS'!$C$6:$C$155,MATCH($C9,'ONLINE ORDERS'!$B$6:$B$155,0))),""))))</f>
      </c>
      <c r="G9" s="78">
        <f>IF($B9="","",IF($C9="","",IFERROR(IF(INDEX('ONLINE ORDERS'!$G$6:$G$155,MATCH($C9,'ONLINE ORDERS'!$B$6:$B$155,0))="","",INDEX('ONLINE ORDERS'!$G$6:$G$155,MATCH($C9,'ONLINE ORDERS'!$B$6:$B$155,0))),"")))</f>
      </c>
      <c r="H9" s="80"/>
      <c r="I9" s="92">
        <f>IF($B9="","",IF($C9="",$H9,IF($C9="","",IFERROR(IF(INDEX('ONLINE ORDERS'!$H$6:$H$155,MATCH($C9,'ONLINE ORDERS'!$B$6:$B$155,0))="","",INDEX('ONLINE ORDERS'!$H$6:$H$155,MATCH($C9,'ONLINE ORDERS'!$B$6:$B$155,0))),""))))</f>
      </c>
      <c r="J9" s="79"/>
      <c r="K9" s="79"/>
      <c r="L9" s="82"/>
      <c r="M9" s="93">
        <f>IF($B9="","",IF($C9="","",IFERROR(IF(INDEX('ONLINE ORDERS'!$O$6:$O$155,MATCH($C9,'ONLINE ORDERS'!$B$6:$B$155,0))="","",INDEX('ONLINE ORDERS'!$O$6:$O$155,MATCH($C9,'ONLINE ORDERS'!$B$6:$B$155,0))),"")))</f>
      </c>
      <c r="N9" s="79"/>
      <c r="O9" s="86"/>
      <c r="P9" s="79"/>
      <c r="Q9" s="86"/>
      <c r="R9" s="85">
        <f>IF($B9="","",IF($P9="Yes",IF($Q9="",$O9,$Q9),0))</f>
      </c>
      <c r="S9" s="78">
        <f>IF($B9="","",IF($P9="Yes","SETTLED",IF($M9&lt;&gt;"",IF($M9&lt;TODAY(),"WINDOW CLOSED",IF($M9-TODAY()&lt;=7,"RETURN THIS WEEK","AWAITING REFUND")),"AWAITING REFUND")))</f>
      </c>
      <c r="T9" s="80"/>
      <c r="U9" s="78">
        <f>IF($B9="",0,IF(COUNTIF('RETURNS + EXCHANGES'!$B$6:$B$65,$B9)&gt;1,1,0))</f>
      </c>
      <c r="V9" s="78">
        <f>IF($C9="",0,IF(COUNTIF('ONLINE ORDERS'!$B$6:$B$155,$C9)=0,1,0))</f>
      </c>
      <c r="W9" s="78">
        <f>IF($D9="",0,IF(COUNTIF('GIFT PLANNER'!$B$6:$B$205,$D9)=0,1,0))</f>
      </c>
      <c r="X9" s="75"/>
    </row>
    <row r="10" ht="17" customHeight="1" spans="1:24" x14ac:dyDescent="0.25">
      <c r="A10" s="75"/>
      <c r="B10" s="79"/>
      <c r="C10" s="79"/>
      <c r="D10" s="79"/>
      <c r="E10" s="79"/>
      <c r="F10" s="78">
        <f>IF($B10="","",IF($C10="",$E10,IF($C10="","",IFERROR(IF(INDEX('ONLINE ORDERS'!$C$6:$C$155,MATCH($C10,'ONLINE ORDERS'!$B$6:$B$155,0))="","",INDEX('ONLINE ORDERS'!$C$6:$C$155,MATCH($C10,'ONLINE ORDERS'!$B$6:$B$155,0))),""))))</f>
      </c>
      <c r="G10" s="78">
        <f>IF($B10="","",IF($C10="","",IFERROR(IF(INDEX('ONLINE ORDERS'!$G$6:$G$155,MATCH($C10,'ONLINE ORDERS'!$B$6:$B$155,0))="","",INDEX('ONLINE ORDERS'!$G$6:$G$155,MATCH($C10,'ONLINE ORDERS'!$B$6:$B$155,0))),"")))</f>
      </c>
      <c r="H10" s="80"/>
      <c r="I10" s="92">
        <f>IF($B10="","",IF($C10="",$H10,IF($C10="","",IFERROR(IF(INDEX('ONLINE ORDERS'!$H$6:$H$155,MATCH($C10,'ONLINE ORDERS'!$B$6:$B$155,0))="","",INDEX('ONLINE ORDERS'!$H$6:$H$155,MATCH($C10,'ONLINE ORDERS'!$B$6:$B$155,0))),""))))</f>
      </c>
      <c r="J10" s="79"/>
      <c r="K10" s="79"/>
      <c r="L10" s="82"/>
      <c r="M10" s="93">
        <f>IF($B10="","",IF($C10="","",IFERROR(IF(INDEX('ONLINE ORDERS'!$O$6:$O$155,MATCH($C10,'ONLINE ORDERS'!$B$6:$B$155,0))="","",INDEX('ONLINE ORDERS'!$O$6:$O$155,MATCH($C10,'ONLINE ORDERS'!$B$6:$B$155,0))),"")))</f>
      </c>
      <c r="N10" s="79"/>
      <c r="O10" s="86"/>
      <c r="P10" s="79"/>
      <c r="Q10" s="86"/>
      <c r="R10" s="85">
        <f>IF($B10="","",IF($P10="Yes",IF($Q10="",$O10,$Q10),0))</f>
      </c>
      <c r="S10" s="78">
        <f>IF($B10="","",IF($P10="Yes","SETTLED",IF($M10&lt;&gt;"",IF($M10&lt;TODAY(),"WINDOW CLOSED",IF($M10-TODAY()&lt;=7,"RETURN THIS WEEK","AWAITING REFUND")),"AWAITING REFUND")))</f>
      </c>
      <c r="T10" s="80"/>
      <c r="U10" s="78">
        <f>IF($B10="",0,IF(COUNTIF('RETURNS + EXCHANGES'!$B$6:$B$65,$B10)&gt;1,1,0))</f>
      </c>
      <c r="V10" s="78">
        <f>IF($C10="",0,IF(COUNTIF('ONLINE ORDERS'!$B$6:$B$155,$C10)=0,1,0))</f>
      </c>
      <c r="W10" s="78">
        <f>IF($D10="",0,IF(COUNTIF('GIFT PLANNER'!$B$6:$B$205,$D10)=0,1,0))</f>
      </c>
      <c r="X10" s="75"/>
    </row>
    <row r="11" ht="17" customHeight="1" spans="1:24" x14ac:dyDescent="0.25">
      <c r="A11" s="75"/>
      <c r="B11" s="79"/>
      <c r="C11" s="79"/>
      <c r="D11" s="79"/>
      <c r="E11" s="79"/>
      <c r="F11" s="78">
        <f>IF($B11="","",IF($C11="",$E11,IF($C11="","",IFERROR(IF(INDEX('ONLINE ORDERS'!$C$6:$C$155,MATCH($C11,'ONLINE ORDERS'!$B$6:$B$155,0))="","",INDEX('ONLINE ORDERS'!$C$6:$C$155,MATCH($C11,'ONLINE ORDERS'!$B$6:$B$155,0))),""))))</f>
      </c>
      <c r="G11" s="78">
        <f>IF($B11="","",IF($C11="","",IFERROR(IF(INDEX('ONLINE ORDERS'!$G$6:$G$155,MATCH($C11,'ONLINE ORDERS'!$B$6:$B$155,0))="","",INDEX('ONLINE ORDERS'!$G$6:$G$155,MATCH($C11,'ONLINE ORDERS'!$B$6:$B$155,0))),"")))</f>
      </c>
      <c r="H11" s="80"/>
      <c r="I11" s="92">
        <f>IF($B11="","",IF($C11="",$H11,IF($C11="","",IFERROR(IF(INDEX('ONLINE ORDERS'!$H$6:$H$155,MATCH($C11,'ONLINE ORDERS'!$B$6:$B$155,0))="","",INDEX('ONLINE ORDERS'!$H$6:$H$155,MATCH($C11,'ONLINE ORDERS'!$B$6:$B$155,0))),""))))</f>
      </c>
      <c r="J11" s="79"/>
      <c r="K11" s="79"/>
      <c r="L11" s="82"/>
      <c r="M11" s="93">
        <f>IF($B11="","",IF($C11="","",IFERROR(IF(INDEX('ONLINE ORDERS'!$O$6:$O$155,MATCH($C11,'ONLINE ORDERS'!$B$6:$B$155,0))="","",INDEX('ONLINE ORDERS'!$O$6:$O$155,MATCH($C11,'ONLINE ORDERS'!$B$6:$B$155,0))),"")))</f>
      </c>
      <c r="N11" s="79"/>
      <c r="O11" s="86"/>
      <c r="P11" s="79"/>
      <c r="Q11" s="86"/>
      <c r="R11" s="85">
        <f>IF($B11="","",IF($P11="Yes",IF($Q11="",$O11,$Q11),0))</f>
      </c>
      <c r="S11" s="78">
        <f>IF($B11="","",IF($P11="Yes","SETTLED",IF($M11&lt;&gt;"",IF($M11&lt;TODAY(),"WINDOW CLOSED",IF($M11-TODAY()&lt;=7,"RETURN THIS WEEK","AWAITING REFUND")),"AWAITING REFUND")))</f>
      </c>
      <c r="T11" s="80"/>
      <c r="U11" s="78">
        <f>IF($B11="",0,IF(COUNTIF('RETURNS + EXCHANGES'!$B$6:$B$65,$B11)&gt;1,1,0))</f>
      </c>
      <c r="V11" s="78">
        <f>IF($C11="",0,IF(COUNTIF('ONLINE ORDERS'!$B$6:$B$155,$C11)=0,1,0))</f>
      </c>
      <c r="W11" s="78">
        <f>IF($D11="",0,IF(COUNTIF('GIFT PLANNER'!$B$6:$B$205,$D11)=0,1,0))</f>
      </c>
      <c r="X11" s="75"/>
    </row>
    <row r="12" ht="17" customHeight="1" spans="1:24" x14ac:dyDescent="0.25">
      <c r="A12" s="75"/>
      <c r="B12" s="79"/>
      <c r="C12" s="79"/>
      <c r="D12" s="79"/>
      <c r="E12" s="79"/>
      <c r="F12" s="78">
        <f>IF($B12="","",IF($C12="",$E12,IF($C12="","",IFERROR(IF(INDEX('ONLINE ORDERS'!$C$6:$C$155,MATCH($C12,'ONLINE ORDERS'!$B$6:$B$155,0))="","",INDEX('ONLINE ORDERS'!$C$6:$C$155,MATCH($C12,'ONLINE ORDERS'!$B$6:$B$155,0))),""))))</f>
      </c>
      <c r="G12" s="78">
        <f>IF($B12="","",IF($C12="","",IFERROR(IF(INDEX('ONLINE ORDERS'!$G$6:$G$155,MATCH($C12,'ONLINE ORDERS'!$B$6:$B$155,0))="","",INDEX('ONLINE ORDERS'!$G$6:$G$155,MATCH($C12,'ONLINE ORDERS'!$B$6:$B$155,0))),"")))</f>
      </c>
      <c r="H12" s="80"/>
      <c r="I12" s="92">
        <f>IF($B12="","",IF($C12="",$H12,IF($C12="","",IFERROR(IF(INDEX('ONLINE ORDERS'!$H$6:$H$155,MATCH($C12,'ONLINE ORDERS'!$B$6:$B$155,0))="","",INDEX('ONLINE ORDERS'!$H$6:$H$155,MATCH($C12,'ONLINE ORDERS'!$B$6:$B$155,0))),""))))</f>
      </c>
      <c r="J12" s="79"/>
      <c r="K12" s="79"/>
      <c r="L12" s="82"/>
      <c r="M12" s="93">
        <f>IF($B12="","",IF($C12="","",IFERROR(IF(INDEX('ONLINE ORDERS'!$O$6:$O$155,MATCH($C12,'ONLINE ORDERS'!$B$6:$B$155,0))="","",INDEX('ONLINE ORDERS'!$O$6:$O$155,MATCH($C12,'ONLINE ORDERS'!$B$6:$B$155,0))),"")))</f>
      </c>
      <c r="N12" s="79"/>
      <c r="O12" s="86"/>
      <c r="P12" s="79"/>
      <c r="Q12" s="86"/>
      <c r="R12" s="85">
        <f>IF($B12="","",IF($P12="Yes",IF($Q12="",$O12,$Q12),0))</f>
      </c>
      <c r="S12" s="78">
        <f>IF($B12="","",IF($P12="Yes","SETTLED",IF($M12&lt;&gt;"",IF($M12&lt;TODAY(),"WINDOW CLOSED",IF($M12-TODAY()&lt;=7,"RETURN THIS WEEK","AWAITING REFUND")),"AWAITING REFUND")))</f>
      </c>
      <c r="T12" s="80"/>
      <c r="U12" s="78">
        <f>IF($B12="",0,IF(COUNTIF('RETURNS + EXCHANGES'!$B$6:$B$65,$B12)&gt;1,1,0))</f>
      </c>
      <c r="V12" s="78">
        <f>IF($C12="",0,IF(COUNTIF('ONLINE ORDERS'!$B$6:$B$155,$C12)=0,1,0))</f>
      </c>
      <c r="W12" s="78">
        <f>IF($D12="",0,IF(COUNTIF('GIFT PLANNER'!$B$6:$B$205,$D12)=0,1,0))</f>
      </c>
      <c r="X12" s="75"/>
    </row>
    <row r="13" ht="17" customHeight="1" spans="1:24" x14ac:dyDescent="0.25">
      <c r="A13" s="75"/>
      <c r="B13" s="79"/>
      <c r="C13" s="79"/>
      <c r="D13" s="79"/>
      <c r="E13" s="79"/>
      <c r="F13" s="78">
        <f>IF($B13="","",IF($C13="",$E13,IF($C13="","",IFERROR(IF(INDEX('ONLINE ORDERS'!$C$6:$C$155,MATCH($C13,'ONLINE ORDERS'!$B$6:$B$155,0))="","",INDEX('ONLINE ORDERS'!$C$6:$C$155,MATCH($C13,'ONLINE ORDERS'!$B$6:$B$155,0))),""))))</f>
      </c>
      <c r="G13" s="78">
        <f>IF($B13="","",IF($C13="","",IFERROR(IF(INDEX('ONLINE ORDERS'!$G$6:$G$155,MATCH($C13,'ONLINE ORDERS'!$B$6:$B$155,0))="","",INDEX('ONLINE ORDERS'!$G$6:$G$155,MATCH($C13,'ONLINE ORDERS'!$B$6:$B$155,0))),"")))</f>
      </c>
      <c r="H13" s="80"/>
      <c r="I13" s="92">
        <f>IF($B13="","",IF($C13="",$H13,IF($C13="","",IFERROR(IF(INDEX('ONLINE ORDERS'!$H$6:$H$155,MATCH($C13,'ONLINE ORDERS'!$B$6:$B$155,0))="","",INDEX('ONLINE ORDERS'!$H$6:$H$155,MATCH($C13,'ONLINE ORDERS'!$B$6:$B$155,0))),""))))</f>
      </c>
      <c r="J13" s="79"/>
      <c r="K13" s="79"/>
      <c r="L13" s="82"/>
      <c r="M13" s="93">
        <f>IF($B13="","",IF($C13="","",IFERROR(IF(INDEX('ONLINE ORDERS'!$O$6:$O$155,MATCH($C13,'ONLINE ORDERS'!$B$6:$B$155,0))="","",INDEX('ONLINE ORDERS'!$O$6:$O$155,MATCH($C13,'ONLINE ORDERS'!$B$6:$B$155,0))),"")))</f>
      </c>
      <c r="N13" s="79"/>
      <c r="O13" s="86"/>
      <c r="P13" s="79"/>
      <c r="Q13" s="86"/>
      <c r="R13" s="85">
        <f>IF($B13="","",IF($P13="Yes",IF($Q13="",$O13,$Q13),0))</f>
      </c>
      <c r="S13" s="78">
        <f>IF($B13="","",IF($P13="Yes","SETTLED",IF($M13&lt;&gt;"",IF($M13&lt;TODAY(),"WINDOW CLOSED",IF($M13-TODAY()&lt;=7,"RETURN THIS WEEK","AWAITING REFUND")),"AWAITING REFUND")))</f>
      </c>
      <c r="T13" s="80"/>
      <c r="U13" s="78">
        <f>IF($B13="",0,IF(COUNTIF('RETURNS + EXCHANGES'!$B$6:$B$65,$B13)&gt;1,1,0))</f>
      </c>
      <c r="V13" s="78">
        <f>IF($C13="",0,IF(COUNTIF('ONLINE ORDERS'!$B$6:$B$155,$C13)=0,1,0))</f>
      </c>
      <c r="W13" s="78">
        <f>IF($D13="",0,IF(COUNTIF('GIFT PLANNER'!$B$6:$B$205,$D13)=0,1,0))</f>
      </c>
      <c r="X13" s="75"/>
    </row>
    <row r="14" ht="17" customHeight="1" spans="1:24" x14ac:dyDescent="0.25">
      <c r="A14" s="75"/>
      <c r="B14" s="79"/>
      <c r="C14" s="79"/>
      <c r="D14" s="79"/>
      <c r="E14" s="79"/>
      <c r="F14" s="78">
        <f>IF($B14="","",IF($C14="",$E14,IF($C14="","",IFERROR(IF(INDEX('ONLINE ORDERS'!$C$6:$C$155,MATCH($C14,'ONLINE ORDERS'!$B$6:$B$155,0))="","",INDEX('ONLINE ORDERS'!$C$6:$C$155,MATCH($C14,'ONLINE ORDERS'!$B$6:$B$155,0))),""))))</f>
      </c>
      <c r="G14" s="78">
        <f>IF($B14="","",IF($C14="","",IFERROR(IF(INDEX('ONLINE ORDERS'!$G$6:$G$155,MATCH($C14,'ONLINE ORDERS'!$B$6:$B$155,0))="","",INDEX('ONLINE ORDERS'!$G$6:$G$155,MATCH($C14,'ONLINE ORDERS'!$B$6:$B$155,0))),"")))</f>
      </c>
      <c r="H14" s="80"/>
      <c r="I14" s="92">
        <f>IF($B14="","",IF($C14="",$H14,IF($C14="","",IFERROR(IF(INDEX('ONLINE ORDERS'!$H$6:$H$155,MATCH($C14,'ONLINE ORDERS'!$B$6:$B$155,0))="","",INDEX('ONLINE ORDERS'!$H$6:$H$155,MATCH($C14,'ONLINE ORDERS'!$B$6:$B$155,0))),""))))</f>
      </c>
      <c r="J14" s="79"/>
      <c r="K14" s="79"/>
      <c r="L14" s="82"/>
      <c r="M14" s="93">
        <f>IF($B14="","",IF($C14="","",IFERROR(IF(INDEX('ONLINE ORDERS'!$O$6:$O$155,MATCH($C14,'ONLINE ORDERS'!$B$6:$B$155,0))="","",INDEX('ONLINE ORDERS'!$O$6:$O$155,MATCH($C14,'ONLINE ORDERS'!$B$6:$B$155,0))),"")))</f>
      </c>
      <c r="N14" s="79"/>
      <c r="O14" s="86"/>
      <c r="P14" s="79"/>
      <c r="Q14" s="86"/>
      <c r="R14" s="85">
        <f>IF($B14="","",IF($P14="Yes",IF($Q14="",$O14,$Q14),0))</f>
      </c>
      <c r="S14" s="78">
        <f>IF($B14="","",IF($P14="Yes","SETTLED",IF($M14&lt;&gt;"",IF($M14&lt;TODAY(),"WINDOW CLOSED",IF($M14-TODAY()&lt;=7,"RETURN THIS WEEK","AWAITING REFUND")),"AWAITING REFUND")))</f>
      </c>
      <c r="T14" s="80"/>
      <c r="U14" s="78">
        <f>IF($B14="",0,IF(COUNTIF('RETURNS + EXCHANGES'!$B$6:$B$65,$B14)&gt;1,1,0))</f>
      </c>
      <c r="V14" s="78">
        <f>IF($C14="",0,IF(COUNTIF('ONLINE ORDERS'!$B$6:$B$155,$C14)=0,1,0))</f>
      </c>
      <c r="W14" s="78">
        <f>IF($D14="",0,IF(COUNTIF('GIFT PLANNER'!$B$6:$B$205,$D14)=0,1,0))</f>
      </c>
      <c r="X14" s="75"/>
    </row>
    <row r="15" ht="17" customHeight="1" spans="1:24" x14ac:dyDescent="0.25">
      <c r="A15" s="75"/>
      <c r="B15" s="79"/>
      <c r="C15" s="79"/>
      <c r="D15" s="79"/>
      <c r="E15" s="79"/>
      <c r="F15" s="78">
        <f>IF($B15="","",IF($C15="",$E15,IF($C15="","",IFERROR(IF(INDEX('ONLINE ORDERS'!$C$6:$C$155,MATCH($C15,'ONLINE ORDERS'!$B$6:$B$155,0))="","",INDEX('ONLINE ORDERS'!$C$6:$C$155,MATCH($C15,'ONLINE ORDERS'!$B$6:$B$155,0))),""))))</f>
      </c>
      <c r="G15" s="78">
        <f>IF($B15="","",IF($C15="","",IFERROR(IF(INDEX('ONLINE ORDERS'!$G$6:$G$155,MATCH($C15,'ONLINE ORDERS'!$B$6:$B$155,0))="","",INDEX('ONLINE ORDERS'!$G$6:$G$155,MATCH($C15,'ONLINE ORDERS'!$B$6:$B$155,0))),"")))</f>
      </c>
      <c r="H15" s="80"/>
      <c r="I15" s="92">
        <f>IF($B15="","",IF($C15="",$H15,IF($C15="","",IFERROR(IF(INDEX('ONLINE ORDERS'!$H$6:$H$155,MATCH($C15,'ONLINE ORDERS'!$B$6:$B$155,0))="","",INDEX('ONLINE ORDERS'!$H$6:$H$155,MATCH($C15,'ONLINE ORDERS'!$B$6:$B$155,0))),""))))</f>
      </c>
      <c r="J15" s="79"/>
      <c r="K15" s="79"/>
      <c r="L15" s="82"/>
      <c r="M15" s="93">
        <f>IF($B15="","",IF($C15="","",IFERROR(IF(INDEX('ONLINE ORDERS'!$O$6:$O$155,MATCH($C15,'ONLINE ORDERS'!$B$6:$B$155,0))="","",INDEX('ONLINE ORDERS'!$O$6:$O$155,MATCH($C15,'ONLINE ORDERS'!$B$6:$B$155,0))),"")))</f>
      </c>
      <c r="N15" s="79"/>
      <c r="O15" s="86"/>
      <c r="P15" s="79"/>
      <c r="Q15" s="86"/>
      <c r="R15" s="85">
        <f>IF($B15="","",IF($P15="Yes",IF($Q15="",$O15,$Q15),0))</f>
      </c>
      <c r="S15" s="78">
        <f>IF($B15="","",IF($P15="Yes","SETTLED",IF($M15&lt;&gt;"",IF($M15&lt;TODAY(),"WINDOW CLOSED",IF($M15-TODAY()&lt;=7,"RETURN THIS WEEK","AWAITING REFUND")),"AWAITING REFUND")))</f>
      </c>
      <c r="T15" s="80"/>
      <c r="U15" s="78">
        <f>IF($B15="",0,IF(COUNTIF('RETURNS + EXCHANGES'!$B$6:$B$65,$B15)&gt;1,1,0))</f>
      </c>
      <c r="V15" s="78">
        <f>IF($C15="",0,IF(COUNTIF('ONLINE ORDERS'!$B$6:$B$155,$C15)=0,1,0))</f>
      </c>
      <c r="W15" s="78">
        <f>IF($D15="",0,IF(COUNTIF('GIFT PLANNER'!$B$6:$B$205,$D15)=0,1,0))</f>
      </c>
      <c r="X15" s="75"/>
    </row>
    <row r="16" ht="17" customHeight="1" spans="1:24" x14ac:dyDescent="0.25">
      <c r="A16" s="75"/>
      <c r="B16" s="79"/>
      <c r="C16" s="79"/>
      <c r="D16" s="79"/>
      <c r="E16" s="79"/>
      <c r="F16" s="78">
        <f>IF($B16="","",IF($C16="",$E16,IF($C16="","",IFERROR(IF(INDEX('ONLINE ORDERS'!$C$6:$C$155,MATCH($C16,'ONLINE ORDERS'!$B$6:$B$155,0))="","",INDEX('ONLINE ORDERS'!$C$6:$C$155,MATCH($C16,'ONLINE ORDERS'!$B$6:$B$155,0))),""))))</f>
      </c>
      <c r="G16" s="78">
        <f>IF($B16="","",IF($C16="","",IFERROR(IF(INDEX('ONLINE ORDERS'!$G$6:$G$155,MATCH($C16,'ONLINE ORDERS'!$B$6:$B$155,0))="","",INDEX('ONLINE ORDERS'!$G$6:$G$155,MATCH($C16,'ONLINE ORDERS'!$B$6:$B$155,0))),"")))</f>
      </c>
      <c r="H16" s="80"/>
      <c r="I16" s="92">
        <f>IF($B16="","",IF($C16="",$H16,IF($C16="","",IFERROR(IF(INDEX('ONLINE ORDERS'!$H$6:$H$155,MATCH($C16,'ONLINE ORDERS'!$B$6:$B$155,0))="","",INDEX('ONLINE ORDERS'!$H$6:$H$155,MATCH($C16,'ONLINE ORDERS'!$B$6:$B$155,0))),""))))</f>
      </c>
      <c r="J16" s="79"/>
      <c r="K16" s="79"/>
      <c r="L16" s="82"/>
      <c r="M16" s="93">
        <f>IF($B16="","",IF($C16="","",IFERROR(IF(INDEX('ONLINE ORDERS'!$O$6:$O$155,MATCH($C16,'ONLINE ORDERS'!$B$6:$B$155,0))="","",INDEX('ONLINE ORDERS'!$O$6:$O$155,MATCH($C16,'ONLINE ORDERS'!$B$6:$B$155,0))),"")))</f>
      </c>
      <c r="N16" s="79"/>
      <c r="O16" s="86"/>
      <c r="P16" s="79"/>
      <c r="Q16" s="86"/>
      <c r="R16" s="85">
        <f>IF($B16="","",IF($P16="Yes",IF($Q16="",$O16,$Q16),0))</f>
      </c>
      <c r="S16" s="78">
        <f>IF($B16="","",IF($P16="Yes","SETTLED",IF($M16&lt;&gt;"",IF($M16&lt;TODAY(),"WINDOW CLOSED",IF($M16-TODAY()&lt;=7,"RETURN THIS WEEK","AWAITING REFUND")),"AWAITING REFUND")))</f>
      </c>
      <c r="T16" s="80"/>
      <c r="U16" s="78">
        <f>IF($B16="",0,IF(COUNTIF('RETURNS + EXCHANGES'!$B$6:$B$65,$B16)&gt;1,1,0))</f>
      </c>
      <c r="V16" s="78">
        <f>IF($C16="",0,IF(COUNTIF('ONLINE ORDERS'!$B$6:$B$155,$C16)=0,1,0))</f>
      </c>
      <c r="W16" s="78">
        <f>IF($D16="",0,IF(COUNTIF('GIFT PLANNER'!$B$6:$B$205,$D16)=0,1,0))</f>
      </c>
      <c r="X16" s="75"/>
    </row>
    <row r="17" ht="17" customHeight="1" spans="1:24" x14ac:dyDescent="0.25">
      <c r="A17" s="75"/>
      <c r="B17" s="79"/>
      <c r="C17" s="79"/>
      <c r="D17" s="79"/>
      <c r="E17" s="79"/>
      <c r="F17" s="78">
        <f>IF($B17="","",IF($C17="",$E17,IF($C17="","",IFERROR(IF(INDEX('ONLINE ORDERS'!$C$6:$C$155,MATCH($C17,'ONLINE ORDERS'!$B$6:$B$155,0))="","",INDEX('ONLINE ORDERS'!$C$6:$C$155,MATCH($C17,'ONLINE ORDERS'!$B$6:$B$155,0))),""))))</f>
      </c>
      <c r="G17" s="78">
        <f>IF($B17="","",IF($C17="","",IFERROR(IF(INDEX('ONLINE ORDERS'!$G$6:$G$155,MATCH($C17,'ONLINE ORDERS'!$B$6:$B$155,0))="","",INDEX('ONLINE ORDERS'!$G$6:$G$155,MATCH($C17,'ONLINE ORDERS'!$B$6:$B$155,0))),"")))</f>
      </c>
      <c r="H17" s="80"/>
      <c r="I17" s="92">
        <f>IF($B17="","",IF($C17="",$H17,IF($C17="","",IFERROR(IF(INDEX('ONLINE ORDERS'!$H$6:$H$155,MATCH($C17,'ONLINE ORDERS'!$B$6:$B$155,0))="","",INDEX('ONLINE ORDERS'!$H$6:$H$155,MATCH($C17,'ONLINE ORDERS'!$B$6:$B$155,0))),""))))</f>
      </c>
      <c r="J17" s="79"/>
      <c r="K17" s="79"/>
      <c r="L17" s="82"/>
      <c r="M17" s="93">
        <f>IF($B17="","",IF($C17="","",IFERROR(IF(INDEX('ONLINE ORDERS'!$O$6:$O$155,MATCH($C17,'ONLINE ORDERS'!$B$6:$B$155,0))="","",INDEX('ONLINE ORDERS'!$O$6:$O$155,MATCH($C17,'ONLINE ORDERS'!$B$6:$B$155,0))),"")))</f>
      </c>
      <c r="N17" s="79"/>
      <c r="O17" s="86"/>
      <c r="P17" s="79"/>
      <c r="Q17" s="86"/>
      <c r="R17" s="85">
        <f>IF($B17="","",IF($P17="Yes",IF($Q17="",$O17,$Q17),0))</f>
      </c>
      <c r="S17" s="78">
        <f>IF($B17="","",IF($P17="Yes","SETTLED",IF($M17&lt;&gt;"",IF($M17&lt;TODAY(),"WINDOW CLOSED",IF($M17-TODAY()&lt;=7,"RETURN THIS WEEK","AWAITING REFUND")),"AWAITING REFUND")))</f>
      </c>
      <c r="T17" s="80"/>
      <c r="U17" s="78">
        <f>IF($B17="",0,IF(COUNTIF('RETURNS + EXCHANGES'!$B$6:$B$65,$B17)&gt;1,1,0))</f>
      </c>
      <c r="V17" s="78">
        <f>IF($C17="",0,IF(COUNTIF('ONLINE ORDERS'!$B$6:$B$155,$C17)=0,1,0))</f>
      </c>
      <c r="W17" s="78">
        <f>IF($D17="",0,IF(COUNTIF('GIFT PLANNER'!$B$6:$B$205,$D17)=0,1,0))</f>
      </c>
      <c r="X17" s="75"/>
    </row>
    <row r="18" ht="17" customHeight="1" spans="1:24" x14ac:dyDescent="0.25">
      <c r="A18" s="75"/>
      <c r="B18" s="79"/>
      <c r="C18" s="79"/>
      <c r="D18" s="79"/>
      <c r="E18" s="79"/>
      <c r="F18" s="78">
        <f>IF($B18="","",IF($C18="",$E18,IF($C18="","",IFERROR(IF(INDEX('ONLINE ORDERS'!$C$6:$C$155,MATCH($C18,'ONLINE ORDERS'!$B$6:$B$155,0))="","",INDEX('ONLINE ORDERS'!$C$6:$C$155,MATCH($C18,'ONLINE ORDERS'!$B$6:$B$155,0))),""))))</f>
      </c>
      <c r="G18" s="78">
        <f>IF($B18="","",IF($C18="","",IFERROR(IF(INDEX('ONLINE ORDERS'!$G$6:$G$155,MATCH($C18,'ONLINE ORDERS'!$B$6:$B$155,0))="","",INDEX('ONLINE ORDERS'!$G$6:$G$155,MATCH($C18,'ONLINE ORDERS'!$B$6:$B$155,0))),"")))</f>
      </c>
      <c r="H18" s="80"/>
      <c r="I18" s="92">
        <f>IF($B18="","",IF($C18="",$H18,IF($C18="","",IFERROR(IF(INDEX('ONLINE ORDERS'!$H$6:$H$155,MATCH($C18,'ONLINE ORDERS'!$B$6:$B$155,0))="","",INDEX('ONLINE ORDERS'!$H$6:$H$155,MATCH($C18,'ONLINE ORDERS'!$B$6:$B$155,0))),""))))</f>
      </c>
      <c r="J18" s="79"/>
      <c r="K18" s="79"/>
      <c r="L18" s="82"/>
      <c r="M18" s="93">
        <f>IF($B18="","",IF($C18="","",IFERROR(IF(INDEX('ONLINE ORDERS'!$O$6:$O$155,MATCH($C18,'ONLINE ORDERS'!$B$6:$B$155,0))="","",INDEX('ONLINE ORDERS'!$O$6:$O$155,MATCH($C18,'ONLINE ORDERS'!$B$6:$B$155,0))),"")))</f>
      </c>
      <c r="N18" s="79"/>
      <c r="O18" s="86"/>
      <c r="P18" s="79"/>
      <c r="Q18" s="86"/>
      <c r="R18" s="85">
        <f>IF($B18="","",IF($P18="Yes",IF($Q18="",$O18,$Q18),0))</f>
      </c>
      <c r="S18" s="78">
        <f>IF($B18="","",IF($P18="Yes","SETTLED",IF($M18&lt;&gt;"",IF($M18&lt;TODAY(),"WINDOW CLOSED",IF($M18-TODAY()&lt;=7,"RETURN THIS WEEK","AWAITING REFUND")),"AWAITING REFUND")))</f>
      </c>
      <c r="T18" s="80"/>
      <c r="U18" s="78">
        <f>IF($B18="",0,IF(COUNTIF('RETURNS + EXCHANGES'!$B$6:$B$65,$B18)&gt;1,1,0))</f>
      </c>
      <c r="V18" s="78">
        <f>IF($C18="",0,IF(COUNTIF('ONLINE ORDERS'!$B$6:$B$155,$C18)=0,1,0))</f>
      </c>
      <c r="W18" s="78">
        <f>IF($D18="",0,IF(COUNTIF('GIFT PLANNER'!$B$6:$B$205,$D18)=0,1,0))</f>
      </c>
      <c r="X18" s="75"/>
    </row>
    <row r="19" ht="17" customHeight="1" spans="1:24" x14ac:dyDescent="0.25">
      <c r="A19" s="75"/>
      <c r="B19" s="79"/>
      <c r="C19" s="79"/>
      <c r="D19" s="79"/>
      <c r="E19" s="79"/>
      <c r="F19" s="78">
        <f>IF($B19="","",IF($C19="",$E19,IF($C19="","",IFERROR(IF(INDEX('ONLINE ORDERS'!$C$6:$C$155,MATCH($C19,'ONLINE ORDERS'!$B$6:$B$155,0))="","",INDEX('ONLINE ORDERS'!$C$6:$C$155,MATCH($C19,'ONLINE ORDERS'!$B$6:$B$155,0))),""))))</f>
      </c>
      <c r="G19" s="78">
        <f>IF($B19="","",IF($C19="","",IFERROR(IF(INDEX('ONLINE ORDERS'!$G$6:$G$155,MATCH($C19,'ONLINE ORDERS'!$B$6:$B$155,0))="","",INDEX('ONLINE ORDERS'!$G$6:$G$155,MATCH($C19,'ONLINE ORDERS'!$B$6:$B$155,0))),"")))</f>
      </c>
      <c r="H19" s="80"/>
      <c r="I19" s="92">
        <f>IF($B19="","",IF($C19="",$H19,IF($C19="","",IFERROR(IF(INDEX('ONLINE ORDERS'!$H$6:$H$155,MATCH($C19,'ONLINE ORDERS'!$B$6:$B$155,0))="","",INDEX('ONLINE ORDERS'!$H$6:$H$155,MATCH($C19,'ONLINE ORDERS'!$B$6:$B$155,0))),""))))</f>
      </c>
      <c r="J19" s="79"/>
      <c r="K19" s="79"/>
      <c r="L19" s="82"/>
      <c r="M19" s="93">
        <f>IF($B19="","",IF($C19="","",IFERROR(IF(INDEX('ONLINE ORDERS'!$O$6:$O$155,MATCH($C19,'ONLINE ORDERS'!$B$6:$B$155,0))="","",INDEX('ONLINE ORDERS'!$O$6:$O$155,MATCH($C19,'ONLINE ORDERS'!$B$6:$B$155,0))),"")))</f>
      </c>
      <c r="N19" s="79"/>
      <c r="O19" s="86"/>
      <c r="P19" s="79"/>
      <c r="Q19" s="86"/>
      <c r="R19" s="85">
        <f>IF($B19="","",IF($P19="Yes",IF($Q19="",$O19,$Q19),0))</f>
      </c>
      <c r="S19" s="78">
        <f>IF($B19="","",IF($P19="Yes","SETTLED",IF($M19&lt;&gt;"",IF($M19&lt;TODAY(),"WINDOW CLOSED",IF($M19-TODAY()&lt;=7,"RETURN THIS WEEK","AWAITING REFUND")),"AWAITING REFUND")))</f>
      </c>
      <c r="T19" s="80"/>
      <c r="U19" s="78">
        <f>IF($B19="",0,IF(COUNTIF('RETURNS + EXCHANGES'!$B$6:$B$65,$B19)&gt;1,1,0))</f>
      </c>
      <c r="V19" s="78">
        <f>IF($C19="",0,IF(COUNTIF('ONLINE ORDERS'!$B$6:$B$155,$C19)=0,1,0))</f>
      </c>
      <c r="W19" s="78">
        <f>IF($D19="",0,IF(COUNTIF('GIFT PLANNER'!$B$6:$B$205,$D19)=0,1,0))</f>
      </c>
      <c r="X19" s="75"/>
    </row>
    <row r="20" ht="17" customHeight="1" spans="1:24" x14ac:dyDescent="0.25">
      <c r="A20" s="75"/>
      <c r="B20" s="79"/>
      <c r="C20" s="79"/>
      <c r="D20" s="79"/>
      <c r="E20" s="79"/>
      <c r="F20" s="78">
        <f>IF($B20="","",IF($C20="",$E20,IF($C20="","",IFERROR(IF(INDEX('ONLINE ORDERS'!$C$6:$C$155,MATCH($C20,'ONLINE ORDERS'!$B$6:$B$155,0))="","",INDEX('ONLINE ORDERS'!$C$6:$C$155,MATCH($C20,'ONLINE ORDERS'!$B$6:$B$155,0))),""))))</f>
      </c>
      <c r="G20" s="78">
        <f>IF($B20="","",IF($C20="","",IFERROR(IF(INDEX('ONLINE ORDERS'!$G$6:$G$155,MATCH($C20,'ONLINE ORDERS'!$B$6:$B$155,0))="","",INDEX('ONLINE ORDERS'!$G$6:$G$155,MATCH($C20,'ONLINE ORDERS'!$B$6:$B$155,0))),"")))</f>
      </c>
      <c r="H20" s="80"/>
      <c r="I20" s="92">
        <f>IF($B20="","",IF($C20="",$H20,IF($C20="","",IFERROR(IF(INDEX('ONLINE ORDERS'!$H$6:$H$155,MATCH($C20,'ONLINE ORDERS'!$B$6:$B$155,0))="","",INDEX('ONLINE ORDERS'!$H$6:$H$155,MATCH($C20,'ONLINE ORDERS'!$B$6:$B$155,0))),""))))</f>
      </c>
      <c r="J20" s="79"/>
      <c r="K20" s="79"/>
      <c r="L20" s="82"/>
      <c r="M20" s="93">
        <f>IF($B20="","",IF($C20="","",IFERROR(IF(INDEX('ONLINE ORDERS'!$O$6:$O$155,MATCH($C20,'ONLINE ORDERS'!$B$6:$B$155,0))="","",INDEX('ONLINE ORDERS'!$O$6:$O$155,MATCH($C20,'ONLINE ORDERS'!$B$6:$B$155,0))),"")))</f>
      </c>
      <c r="N20" s="79"/>
      <c r="O20" s="86"/>
      <c r="P20" s="79"/>
      <c r="Q20" s="86"/>
      <c r="R20" s="85">
        <f>IF($B20="","",IF($P20="Yes",IF($Q20="",$O20,$Q20),0))</f>
      </c>
      <c r="S20" s="78">
        <f>IF($B20="","",IF($P20="Yes","SETTLED",IF($M20&lt;&gt;"",IF($M20&lt;TODAY(),"WINDOW CLOSED",IF($M20-TODAY()&lt;=7,"RETURN THIS WEEK","AWAITING REFUND")),"AWAITING REFUND")))</f>
      </c>
      <c r="T20" s="80"/>
      <c r="U20" s="78">
        <f>IF($B20="",0,IF(COUNTIF('RETURNS + EXCHANGES'!$B$6:$B$65,$B20)&gt;1,1,0))</f>
      </c>
      <c r="V20" s="78">
        <f>IF($C20="",0,IF(COUNTIF('ONLINE ORDERS'!$B$6:$B$155,$C20)=0,1,0))</f>
      </c>
      <c r="W20" s="78">
        <f>IF($D20="",0,IF(COUNTIF('GIFT PLANNER'!$B$6:$B$205,$D20)=0,1,0))</f>
      </c>
      <c r="X20" s="75"/>
    </row>
    <row r="21" ht="17" customHeight="1" spans="1:24" x14ac:dyDescent="0.25">
      <c r="A21" s="75"/>
      <c r="B21" s="79"/>
      <c r="C21" s="79"/>
      <c r="D21" s="79"/>
      <c r="E21" s="79"/>
      <c r="F21" s="78">
        <f>IF($B21="","",IF($C21="",$E21,IF($C21="","",IFERROR(IF(INDEX('ONLINE ORDERS'!$C$6:$C$155,MATCH($C21,'ONLINE ORDERS'!$B$6:$B$155,0))="","",INDEX('ONLINE ORDERS'!$C$6:$C$155,MATCH($C21,'ONLINE ORDERS'!$B$6:$B$155,0))),""))))</f>
      </c>
      <c r="G21" s="78">
        <f>IF($B21="","",IF($C21="","",IFERROR(IF(INDEX('ONLINE ORDERS'!$G$6:$G$155,MATCH($C21,'ONLINE ORDERS'!$B$6:$B$155,0))="","",INDEX('ONLINE ORDERS'!$G$6:$G$155,MATCH($C21,'ONLINE ORDERS'!$B$6:$B$155,0))),"")))</f>
      </c>
      <c r="H21" s="80"/>
      <c r="I21" s="92">
        <f>IF($B21="","",IF($C21="",$H21,IF($C21="","",IFERROR(IF(INDEX('ONLINE ORDERS'!$H$6:$H$155,MATCH($C21,'ONLINE ORDERS'!$B$6:$B$155,0))="","",INDEX('ONLINE ORDERS'!$H$6:$H$155,MATCH($C21,'ONLINE ORDERS'!$B$6:$B$155,0))),""))))</f>
      </c>
      <c r="J21" s="79"/>
      <c r="K21" s="79"/>
      <c r="L21" s="82"/>
      <c r="M21" s="93">
        <f>IF($B21="","",IF($C21="","",IFERROR(IF(INDEX('ONLINE ORDERS'!$O$6:$O$155,MATCH($C21,'ONLINE ORDERS'!$B$6:$B$155,0))="","",INDEX('ONLINE ORDERS'!$O$6:$O$155,MATCH($C21,'ONLINE ORDERS'!$B$6:$B$155,0))),"")))</f>
      </c>
      <c r="N21" s="79"/>
      <c r="O21" s="86"/>
      <c r="P21" s="79"/>
      <c r="Q21" s="86"/>
      <c r="R21" s="85">
        <f>IF($B21="","",IF($P21="Yes",IF($Q21="",$O21,$Q21),0))</f>
      </c>
      <c r="S21" s="78">
        <f>IF($B21="","",IF($P21="Yes","SETTLED",IF($M21&lt;&gt;"",IF($M21&lt;TODAY(),"WINDOW CLOSED",IF($M21-TODAY()&lt;=7,"RETURN THIS WEEK","AWAITING REFUND")),"AWAITING REFUND")))</f>
      </c>
      <c r="T21" s="80"/>
      <c r="U21" s="78">
        <f>IF($B21="",0,IF(COUNTIF('RETURNS + EXCHANGES'!$B$6:$B$65,$B21)&gt;1,1,0))</f>
      </c>
      <c r="V21" s="78">
        <f>IF($C21="",0,IF(COUNTIF('ONLINE ORDERS'!$B$6:$B$155,$C21)=0,1,0))</f>
      </c>
      <c r="W21" s="78">
        <f>IF($D21="",0,IF(COUNTIF('GIFT PLANNER'!$B$6:$B$205,$D21)=0,1,0))</f>
      </c>
      <c r="X21" s="75"/>
    </row>
    <row r="22" ht="17" customHeight="1" spans="1:24" x14ac:dyDescent="0.25">
      <c r="A22" s="75"/>
      <c r="B22" s="79"/>
      <c r="C22" s="79"/>
      <c r="D22" s="79"/>
      <c r="E22" s="79"/>
      <c r="F22" s="78">
        <f>IF($B22="","",IF($C22="",$E22,IF($C22="","",IFERROR(IF(INDEX('ONLINE ORDERS'!$C$6:$C$155,MATCH($C22,'ONLINE ORDERS'!$B$6:$B$155,0))="","",INDEX('ONLINE ORDERS'!$C$6:$C$155,MATCH($C22,'ONLINE ORDERS'!$B$6:$B$155,0))),""))))</f>
      </c>
      <c r="G22" s="78">
        <f>IF($B22="","",IF($C22="","",IFERROR(IF(INDEX('ONLINE ORDERS'!$G$6:$G$155,MATCH($C22,'ONLINE ORDERS'!$B$6:$B$155,0))="","",INDEX('ONLINE ORDERS'!$G$6:$G$155,MATCH($C22,'ONLINE ORDERS'!$B$6:$B$155,0))),"")))</f>
      </c>
      <c r="H22" s="80"/>
      <c r="I22" s="92">
        <f>IF($B22="","",IF($C22="",$H22,IF($C22="","",IFERROR(IF(INDEX('ONLINE ORDERS'!$H$6:$H$155,MATCH($C22,'ONLINE ORDERS'!$B$6:$B$155,0))="","",INDEX('ONLINE ORDERS'!$H$6:$H$155,MATCH($C22,'ONLINE ORDERS'!$B$6:$B$155,0))),""))))</f>
      </c>
      <c r="J22" s="79"/>
      <c r="K22" s="79"/>
      <c r="L22" s="82"/>
      <c r="M22" s="93">
        <f>IF($B22="","",IF($C22="","",IFERROR(IF(INDEX('ONLINE ORDERS'!$O$6:$O$155,MATCH($C22,'ONLINE ORDERS'!$B$6:$B$155,0))="","",INDEX('ONLINE ORDERS'!$O$6:$O$155,MATCH($C22,'ONLINE ORDERS'!$B$6:$B$155,0))),"")))</f>
      </c>
      <c r="N22" s="79"/>
      <c r="O22" s="86"/>
      <c r="P22" s="79"/>
      <c r="Q22" s="86"/>
      <c r="R22" s="85">
        <f>IF($B22="","",IF($P22="Yes",IF($Q22="",$O22,$Q22),0))</f>
      </c>
      <c r="S22" s="78">
        <f>IF($B22="","",IF($P22="Yes","SETTLED",IF($M22&lt;&gt;"",IF($M22&lt;TODAY(),"WINDOW CLOSED",IF($M22-TODAY()&lt;=7,"RETURN THIS WEEK","AWAITING REFUND")),"AWAITING REFUND")))</f>
      </c>
      <c r="T22" s="80"/>
      <c r="U22" s="78">
        <f>IF($B22="",0,IF(COUNTIF('RETURNS + EXCHANGES'!$B$6:$B$65,$B22)&gt;1,1,0))</f>
      </c>
      <c r="V22" s="78">
        <f>IF($C22="",0,IF(COUNTIF('ONLINE ORDERS'!$B$6:$B$155,$C22)=0,1,0))</f>
      </c>
      <c r="W22" s="78">
        <f>IF($D22="",0,IF(COUNTIF('GIFT PLANNER'!$B$6:$B$205,$D22)=0,1,0))</f>
      </c>
      <c r="X22" s="75"/>
    </row>
    <row r="23" ht="17" customHeight="1" spans="1:24" x14ac:dyDescent="0.25">
      <c r="A23" s="75"/>
      <c r="B23" s="79"/>
      <c r="C23" s="79"/>
      <c r="D23" s="79"/>
      <c r="E23" s="79"/>
      <c r="F23" s="78">
        <f>IF($B23="","",IF($C23="",$E23,IF($C23="","",IFERROR(IF(INDEX('ONLINE ORDERS'!$C$6:$C$155,MATCH($C23,'ONLINE ORDERS'!$B$6:$B$155,0))="","",INDEX('ONLINE ORDERS'!$C$6:$C$155,MATCH($C23,'ONLINE ORDERS'!$B$6:$B$155,0))),""))))</f>
      </c>
      <c r="G23" s="78">
        <f>IF($B23="","",IF($C23="","",IFERROR(IF(INDEX('ONLINE ORDERS'!$G$6:$G$155,MATCH($C23,'ONLINE ORDERS'!$B$6:$B$155,0))="","",INDEX('ONLINE ORDERS'!$G$6:$G$155,MATCH($C23,'ONLINE ORDERS'!$B$6:$B$155,0))),"")))</f>
      </c>
      <c r="H23" s="80"/>
      <c r="I23" s="92">
        <f>IF($B23="","",IF($C23="",$H23,IF($C23="","",IFERROR(IF(INDEX('ONLINE ORDERS'!$H$6:$H$155,MATCH($C23,'ONLINE ORDERS'!$B$6:$B$155,0))="","",INDEX('ONLINE ORDERS'!$H$6:$H$155,MATCH($C23,'ONLINE ORDERS'!$B$6:$B$155,0))),""))))</f>
      </c>
      <c r="J23" s="79"/>
      <c r="K23" s="79"/>
      <c r="L23" s="82"/>
      <c r="M23" s="93">
        <f>IF($B23="","",IF($C23="","",IFERROR(IF(INDEX('ONLINE ORDERS'!$O$6:$O$155,MATCH($C23,'ONLINE ORDERS'!$B$6:$B$155,0))="","",INDEX('ONLINE ORDERS'!$O$6:$O$155,MATCH($C23,'ONLINE ORDERS'!$B$6:$B$155,0))),"")))</f>
      </c>
      <c r="N23" s="79"/>
      <c r="O23" s="86"/>
      <c r="P23" s="79"/>
      <c r="Q23" s="86"/>
      <c r="R23" s="85">
        <f>IF($B23="","",IF($P23="Yes",IF($Q23="",$O23,$Q23),0))</f>
      </c>
      <c r="S23" s="78">
        <f>IF($B23="","",IF($P23="Yes","SETTLED",IF($M23&lt;&gt;"",IF($M23&lt;TODAY(),"WINDOW CLOSED",IF($M23-TODAY()&lt;=7,"RETURN THIS WEEK","AWAITING REFUND")),"AWAITING REFUND")))</f>
      </c>
      <c r="T23" s="80"/>
      <c r="U23" s="78">
        <f>IF($B23="",0,IF(COUNTIF('RETURNS + EXCHANGES'!$B$6:$B$65,$B23)&gt;1,1,0))</f>
      </c>
      <c r="V23" s="78">
        <f>IF($C23="",0,IF(COUNTIF('ONLINE ORDERS'!$B$6:$B$155,$C23)=0,1,0))</f>
      </c>
      <c r="W23" s="78">
        <f>IF($D23="",0,IF(COUNTIF('GIFT PLANNER'!$B$6:$B$205,$D23)=0,1,0))</f>
      </c>
      <c r="X23" s="75"/>
    </row>
    <row r="24" ht="17" customHeight="1" spans="1:24" x14ac:dyDescent="0.25">
      <c r="A24" s="75"/>
      <c r="B24" s="79"/>
      <c r="C24" s="79"/>
      <c r="D24" s="79"/>
      <c r="E24" s="79"/>
      <c r="F24" s="78">
        <f>IF($B24="","",IF($C24="",$E24,IF($C24="","",IFERROR(IF(INDEX('ONLINE ORDERS'!$C$6:$C$155,MATCH($C24,'ONLINE ORDERS'!$B$6:$B$155,0))="","",INDEX('ONLINE ORDERS'!$C$6:$C$155,MATCH($C24,'ONLINE ORDERS'!$B$6:$B$155,0))),""))))</f>
      </c>
      <c r="G24" s="78">
        <f>IF($B24="","",IF($C24="","",IFERROR(IF(INDEX('ONLINE ORDERS'!$G$6:$G$155,MATCH($C24,'ONLINE ORDERS'!$B$6:$B$155,0))="","",INDEX('ONLINE ORDERS'!$G$6:$G$155,MATCH($C24,'ONLINE ORDERS'!$B$6:$B$155,0))),"")))</f>
      </c>
      <c r="H24" s="80"/>
      <c r="I24" s="92">
        <f>IF($B24="","",IF($C24="",$H24,IF($C24="","",IFERROR(IF(INDEX('ONLINE ORDERS'!$H$6:$H$155,MATCH($C24,'ONLINE ORDERS'!$B$6:$B$155,0))="","",INDEX('ONLINE ORDERS'!$H$6:$H$155,MATCH($C24,'ONLINE ORDERS'!$B$6:$B$155,0))),""))))</f>
      </c>
      <c r="J24" s="79"/>
      <c r="K24" s="79"/>
      <c r="L24" s="82"/>
      <c r="M24" s="93">
        <f>IF($B24="","",IF($C24="","",IFERROR(IF(INDEX('ONLINE ORDERS'!$O$6:$O$155,MATCH($C24,'ONLINE ORDERS'!$B$6:$B$155,0))="","",INDEX('ONLINE ORDERS'!$O$6:$O$155,MATCH($C24,'ONLINE ORDERS'!$B$6:$B$155,0))),"")))</f>
      </c>
      <c r="N24" s="79"/>
      <c r="O24" s="86"/>
      <c r="P24" s="79"/>
      <c r="Q24" s="86"/>
      <c r="R24" s="85">
        <f>IF($B24="","",IF($P24="Yes",IF($Q24="",$O24,$Q24),0))</f>
      </c>
      <c r="S24" s="78">
        <f>IF($B24="","",IF($P24="Yes","SETTLED",IF($M24&lt;&gt;"",IF($M24&lt;TODAY(),"WINDOW CLOSED",IF($M24-TODAY()&lt;=7,"RETURN THIS WEEK","AWAITING REFUND")),"AWAITING REFUND")))</f>
      </c>
      <c r="T24" s="80"/>
      <c r="U24" s="78">
        <f>IF($B24="",0,IF(COUNTIF('RETURNS + EXCHANGES'!$B$6:$B$65,$B24)&gt;1,1,0))</f>
      </c>
      <c r="V24" s="78">
        <f>IF($C24="",0,IF(COUNTIF('ONLINE ORDERS'!$B$6:$B$155,$C24)=0,1,0))</f>
      </c>
      <c r="W24" s="78">
        <f>IF($D24="",0,IF(COUNTIF('GIFT PLANNER'!$B$6:$B$205,$D24)=0,1,0))</f>
      </c>
      <c r="X24" s="75"/>
    </row>
    <row r="25" ht="17" customHeight="1" spans="1:24" x14ac:dyDescent="0.25">
      <c r="A25" s="75"/>
      <c r="B25" s="79"/>
      <c r="C25" s="79"/>
      <c r="D25" s="79"/>
      <c r="E25" s="79"/>
      <c r="F25" s="78">
        <f>IF($B25="","",IF($C25="",$E25,IF($C25="","",IFERROR(IF(INDEX('ONLINE ORDERS'!$C$6:$C$155,MATCH($C25,'ONLINE ORDERS'!$B$6:$B$155,0))="","",INDEX('ONLINE ORDERS'!$C$6:$C$155,MATCH($C25,'ONLINE ORDERS'!$B$6:$B$155,0))),""))))</f>
      </c>
      <c r="G25" s="78">
        <f>IF($B25="","",IF($C25="","",IFERROR(IF(INDEX('ONLINE ORDERS'!$G$6:$G$155,MATCH($C25,'ONLINE ORDERS'!$B$6:$B$155,0))="","",INDEX('ONLINE ORDERS'!$G$6:$G$155,MATCH($C25,'ONLINE ORDERS'!$B$6:$B$155,0))),"")))</f>
      </c>
      <c r="H25" s="80"/>
      <c r="I25" s="92">
        <f>IF($B25="","",IF($C25="",$H25,IF($C25="","",IFERROR(IF(INDEX('ONLINE ORDERS'!$H$6:$H$155,MATCH($C25,'ONLINE ORDERS'!$B$6:$B$155,0))="","",INDEX('ONLINE ORDERS'!$H$6:$H$155,MATCH($C25,'ONLINE ORDERS'!$B$6:$B$155,0))),""))))</f>
      </c>
      <c r="J25" s="79"/>
      <c r="K25" s="79"/>
      <c r="L25" s="82"/>
      <c r="M25" s="93">
        <f>IF($B25="","",IF($C25="","",IFERROR(IF(INDEX('ONLINE ORDERS'!$O$6:$O$155,MATCH($C25,'ONLINE ORDERS'!$B$6:$B$155,0))="","",INDEX('ONLINE ORDERS'!$O$6:$O$155,MATCH($C25,'ONLINE ORDERS'!$B$6:$B$155,0))),"")))</f>
      </c>
      <c r="N25" s="79"/>
      <c r="O25" s="86"/>
      <c r="P25" s="79"/>
      <c r="Q25" s="86"/>
      <c r="R25" s="85">
        <f>IF($B25="","",IF($P25="Yes",IF($Q25="",$O25,$Q25),0))</f>
      </c>
      <c r="S25" s="78">
        <f>IF($B25="","",IF($P25="Yes","SETTLED",IF($M25&lt;&gt;"",IF($M25&lt;TODAY(),"WINDOW CLOSED",IF($M25-TODAY()&lt;=7,"RETURN THIS WEEK","AWAITING REFUND")),"AWAITING REFUND")))</f>
      </c>
      <c r="T25" s="80"/>
      <c r="U25" s="78">
        <f>IF($B25="",0,IF(COUNTIF('RETURNS + EXCHANGES'!$B$6:$B$65,$B25)&gt;1,1,0))</f>
      </c>
      <c r="V25" s="78">
        <f>IF($C25="",0,IF(COUNTIF('ONLINE ORDERS'!$B$6:$B$155,$C25)=0,1,0))</f>
      </c>
      <c r="W25" s="78">
        <f>IF($D25="",0,IF(COUNTIF('GIFT PLANNER'!$B$6:$B$205,$D25)=0,1,0))</f>
      </c>
      <c r="X25" s="75"/>
    </row>
    <row r="26" ht="17" customHeight="1" spans="1:24" x14ac:dyDescent="0.25">
      <c r="A26" s="75"/>
      <c r="B26" s="79"/>
      <c r="C26" s="79"/>
      <c r="D26" s="79"/>
      <c r="E26" s="79"/>
      <c r="F26" s="78">
        <f>IF($B26="","",IF($C26="",$E26,IF($C26="","",IFERROR(IF(INDEX('ONLINE ORDERS'!$C$6:$C$155,MATCH($C26,'ONLINE ORDERS'!$B$6:$B$155,0))="","",INDEX('ONLINE ORDERS'!$C$6:$C$155,MATCH($C26,'ONLINE ORDERS'!$B$6:$B$155,0))),""))))</f>
      </c>
      <c r="G26" s="78">
        <f>IF($B26="","",IF($C26="","",IFERROR(IF(INDEX('ONLINE ORDERS'!$G$6:$G$155,MATCH($C26,'ONLINE ORDERS'!$B$6:$B$155,0))="","",INDEX('ONLINE ORDERS'!$G$6:$G$155,MATCH($C26,'ONLINE ORDERS'!$B$6:$B$155,0))),"")))</f>
      </c>
      <c r="H26" s="80"/>
      <c r="I26" s="92">
        <f>IF($B26="","",IF($C26="",$H26,IF($C26="","",IFERROR(IF(INDEX('ONLINE ORDERS'!$H$6:$H$155,MATCH($C26,'ONLINE ORDERS'!$B$6:$B$155,0))="","",INDEX('ONLINE ORDERS'!$H$6:$H$155,MATCH($C26,'ONLINE ORDERS'!$B$6:$B$155,0))),""))))</f>
      </c>
      <c r="J26" s="79"/>
      <c r="K26" s="79"/>
      <c r="L26" s="82"/>
      <c r="M26" s="93">
        <f>IF($B26="","",IF($C26="","",IFERROR(IF(INDEX('ONLINE ORDERS'!$O$6:$O$155,MATCH($C26,'ONLINE ORDERS'!$B$6:$B$155,0))="","",INDEX('ONLINE ORDERS'!$O$6:$O$155,MATCH($C26,'ONLINE ORDERS'!$B$6:$B$155,0))),"")))</f>
      </c>
      <c r="N26" s="79"/>
      <c r="O26" s="86"/>
      <c r="P26" s="79"/>
      <c r="Q26" s="86"/>
      <c r="R26" s="85">
        <f>IF($B26="","",IF($P26="Yes",IF($Q26="",$O26,$Q26),0))</f>
      </c>
      <c r="S26" s="78">
        <f>IF($B26="","",IF($P26="Yes","SETTLED",IF($M26&lt;&gt;"",IF($M26&lt;TODAY(),"WINDOW CLOSED",IF($M26-TODAY()&lt;=7,"RETURN THIS WEEK","AWAITING REFUND")),"AWAITING REFUND")))</f>
      </c>
      <c r="T26" s="80"/>
      <c r="U26" s="78">
        <f>IF($B26="",0,IF(COUNTIF('RETURNS + EXCHANGES'!$B$6:$B$65,$B26)&gt;1,1,0))</f>
      </c>
      <c r="V26" s="78">
        <f>IF($C26="",0,IF(COUNTIF('ONLINE ORDERS'!$B$6:$B$155,$C26)=0,1,0))</f>
      </c>
      <c r="W26" s="78">
        <f>IF($D26="",0,IF(COUNTIF('GIFT PLANNER'!$B$6:$B$205,$D26)=0,1,0))</f>
      </c>
      <c r="X26" s="75"/>
    </row>
    <row r="27" ht="17" customHeight="1" spans="1:24" x14ac:dyDescent="0.25">
      <c r="A27" s="75"/>
      <c r="B27" s="79"/>
      <c r="C27" s="79"/>
      <c r="D27" s="79"/>
      <c r="E27" s="79"/>
      <c r="F27" s="78">
        <f>IF($B27="","",IF($C27="",$E27,IF($C27="","",IFERROR(IF(INDEX('ONLINE ORDERS'!$C$6:$C$155,MATCH($C27,'ONLINE ORDERS'!$B$6:$B$155,0))="","",INDEX('ONLINE ORDERS'!$C$6:$C$155,MATCH($C27,'ONLINE ORDERS'!$B$6:$B$155,0))),""))))</f>
      </c>
      <c r="G27" s="78">
        <f>IF($B27="","",IF($C27="","",IFERROR(IF(INDEX('ONLINE ORDERS'!$G$6:$G$155,MATCH($C27,'ONLINE ORDERS'!$B$6:$B$155,0))="","",INDEX('ONLINE ORDERS'!$G$6:$G$155,MATCH($C27,'ONLINE ORDERS'!$B$6:$B$155,0))),"")))</f>
      </c>
      <c r="H27" s="80"/>
      <c r="I27" s="92">
        <f>IF($B27="","",IF($C27="",$H27,IF($C27="","",IFERROR(IF(INDEX('ONLINE ORDERS'!$H$6:$H$155,MATCH($C27,'ONLINE ORDERS'!$B$6:$B$155,0))="","",INDEX('ONLINE ORDERS'!$H$6:$H$155,MATCH($C27,'ONLINE ORDERS'!$B$6:$B$155,0))),""))))</f>
      </c>
      <c r="J27" s="79"/>
      <c r="K27" s="79"/>
      <c r="L27" s="82"/>
      <c r="M27" s="93">
        <f>IF($B27="","",IF($C27="","",IFERROR(IF(INDEX('ONLINE ORDERS'!$O$6:$O$155,MATCH($C27,'ONLINE ORDERS'!$B$6:$B$155,0))="","",INDEX('ONLINE ORDERS'!$O$6:$O$155,MATCH($C27,'ONLINE ORDERS'!$B$6:$B$155,0))),"")))</f>
      </c>
      <c r="N27" s="79"/>
      <c r="O27" s="86"/>
      <c r="P27" s="79"/>
      <c r="Q27" s="86"/>
      <c r="R27" s="85">
        <f>IF($B27="","",IF($P27="Yes",IF($Q27="",$O27,$Q27),0))</f>
      </c>
      <c r="S27" s="78">
        <f>IF($B27="","",IF($P27="Yes","SETTLED",IF($M27&lt;&gt;"",IF($M27&lt;TODAY(),"WINDOW CLOSED",IF($M27-TODAY()&lt;=7,"RETURN THIS WEEK","AWAITING REFUND")),"AWAITING REFUND")))</f>
      </c>
      <c r="T27" s="80"/>
      <c r="U27" s="78">
        <f>IF($B27="",0,IF(COUNTIF('RETURNS + EXCHANGES'!$B$6:$B$65,$B27)&gt;1,1,0))</f>
      </c>
      <c r="V27" s="78">
        <f>IF($C27="",0,IF(COUNTIF('ONLINE ORDERS'!$B$6:$B$155,$C27)=0,1,0))</f>
      </c>
      <c r="W27" s="78">
        <f>IF($D27="",0,IF(COUNTIF('GIFT PLANNER'!$B$6:$B$205,$D27)=0,1,0))</f>
      </c>
      <c r="X27" s="75"/>
    </row>
    <row r="28" ht="17" customHeight="1" spans="1:24" x14ac:dyDescent="0.25">
      <c r="A28" s="75"/>
      <c r="B28" s="79"/>
      <c r="C28" s="79"/>
      <c r="D28" s="79"/>
      <c r="E28" s="79"/>
      <c r="F28" s="78">
        <f>IF($B28="","",IF($C28="",$E28,IF($C28="","",IFERROR(IF(INDEX('ONLINE ORDERS'!$C$6:$C$155,MATCH($C28,'ONLINE ORDERS'!$B$6:$B$155,0))="","",INDEX('ONLINE ORDERS'!$C$6:$C$155,MATCH($C28,'ONLINE ORDERS'!$B$6:$B$155,0))),""))))</f>
      </c>
      <c r="G28" s="78">
        <f>IF($B28="","",IF($C28="","",IFERROR(IF(INDEX('ONLINE ORDERS'!$G$6:$G$155,MATCH($C28,'ONLINE ORDERS'!$B$6:$B$155,0))="","",INDEX('ONLINE ORDERS'!$G$6:$G$155,MATCH($C28,'ONLINE ORDERS'!$B$6:$B$155,0))),"")))</f>
      </c>
      <c r="H28" s="80"/>
      <c r="I28" s="92">
        <f>IF($B28="","",IF($C28="",$H28,IF($C28="","",IFERROR(IF(INDEX('ONLINE ORDERS'!$H$6:$H$155,MATCH($C28,'ONLINE ORDERS'!$B$6:$B$155,0))="","",INDEX('ONLINE ORDERS'!$H$6:$H$155,MATCH($C28,'ONLINE ORDERS'!$B$6:$B$155,0))),""))))</f>
      </c>
      <c r="J28" s="79"/>
      <c r="K28" s="79"/>
      <c r="L28" s="82"/>
      <c r="M28" s="93">
        <f>IF($B28="","",IF($C28="","",IFERROR(IF(INDEX('ONLINE ORDERS'!$O$6:$O$155,MATCH($C28,'ONLINE ORDERS'!$B$6:$B$155,0))="","",INDEX('ONLINE ORDERS'!$O$6:$O$155,MATCH($C28,'ONLINE ORDERS'!$B$6:$B$155,0))),"")))</f>
      </c>
      <c r="N28" s="79"/>
      <c r="O28" s="86"/>
      <c r="P28" s="79"/>
      <c r="Q28" s="86"/>
      <c r="R28" s="85">
        <f>IF($B28="","",IF($P28="Yes",IF($Q28="",$O28,$Q28),0))</f>
      </c>
      <c r="S28" s="78">
        <f>IF($B28="","",IF($P28="Yes","SETTLED",IF($M28&lt;&gt;"",IF($M28&lt;TODAY(),"WINDOW CLOSED",IF($M28-TODAY()&lt;=7,"RETURN THIS WEEK","AWAITING REFUND")),"AWAITING REFUND")))</f>
      </c>
      <c r="T28" s="80"/>
      <c r="U28" s="78">
        <f>IF($B28="",0,IF(COUNTIF('RETURNS + EXCHANGES'!$B$6:$B$65,$B28)&gt;1,1,0))</f>
      </c>
      <c r="V28" s="78">
        <f>IF($C28="",0,IF(COUNTIF('ONLINE ORDERS'!$B$6:$B$155,$C28)=0,1,0))</f>
      </c>
      <c r="W28" s="78">
        <f>IF($D28="",0,IF(COUNTIF('GIFT PLANNER'!$B$6:$B$205,$D28)=0,1,0))</f>
      </c>
      <c r="X28" s="75"/>
    </row>
    <row r="29" ht="17" customHeight="1" spans="1:24" x14ac:dyDescent="0.25">
      <c r="A29" s="75"/>
      <c r="B29" s="79"/>
      <c r="C29" s="79"/>
      <c r="D29" s="79"/>
      <c r="E29" s="79"/>
      <c r="F29" s="78">
        <f>IF($B29="","",IF($C29="",$E29,IF($C29="","",IFERROR(IF(INDEX('ONLINE ORDERS'!$C$6:$C$155,MATCH($C29,'ONLINE ORDERS'!$B$6:$B$155,0))="","",INDEX('ONLINE ORDERS'!$C$6:$C$155,MATCH($C29,'ONLINE ORDERS'!$B$6:$B$155,0))),""))))</f>
      </c>
      <c r="G29" s="78">
        <f>IF($B29="","",IF($C29="","",IFERROR(IF(INDEX('ONLINE ORDERS'!$G$6:$G$155,MATCH($C29,'ONLINE ORDERS'!$B$6:$B$155,0))="","",INDEX('ONLINE ORDERS'!$G$6:$G$155,MATCH($C29,'ONLINE ORDERS'!$B$6:$B$155,0))),"")))</f>
      </c>
      <c r="H29" s="80"/>
      <c r="I29" s="92">
        <f>IF($B29="","",IF($C29="",$H29,IF($C29="","",IFERROR(IF(INDEX('ONLINE ORDERS'!$H$6:$H$155,MATCH($C29,'ONLINE ORDERS'!$B$6:$B$155,0))="","",INDEX('ONLINE ORDERS'!$H$6:$H$155,MATCH($C29,'ONLINE ORDERS'!$B$6:$B$155,0))),""))))</f>
      </c>
      <c r="J29" s="79"/>
      <c r="K29" s="79"/>
      <c r="L29" s="82"/>
      <c r="M29" s="93">
        <f>IF($B29="","",IF($C29="","",IFERROR(IF(INDEX('ONLINE ORDERS'!$O$6:$O$155,MATCH($C29,'ONLINE ORDERS'!$B$6:$B$155,0))="","",INDEX('ONLINE ORDERS'!$O$6:$O$155,MATCH($C29,'ONLINE ORDERS'!$B$6:$B$155,0))),"")))</f>
      </c>
      <c r="N29" s="79"/>
      <c r="O29" s="86"/>
      <c r="P29" s="79"/>
      <c r="Q29" s="86"/>
      <c r="R29" s="85">
        <f>IF($B29="","",IF($P29="Yes",IF($Q29="",$O29,$Q29),0))</f>
      </c>
      <c r="S29" s="78">
        <f>IF($B29="","",IF($P29="Yes","SETTLED",IF($M29&lt;&gt;"",IF($M29&lt;TODAY(),"WINDOW CLOSED",IF($M29-TODAY()&lt;=7,"RETURN THIS WEEK","AWAITING REFUND")),"AWAITING REFUND")))</f>
      </c>
      <c r="T29" s="80"/>
      <c r="U29" s="78">
        <f>IF($B29="",0,IF(COUNTIF('RETURNS + EXCHANGES'!$B$6:$B$65,$B29)&gt;1,1,0))</f>
      </c>
      <c r="V29" s="78">
        <f>IF($C29="",0,IF(COUNTIF('ONLINE ORDERS'!$B$6:$B$155,$C29)=0,1,0))</f>
      </c>
      <c r="W29" s="78">
        <f>IF($D29="",0,IF(COUNTIF('GIFT PLANNER'!$B$6:$B$205,$D29)=0,1,0))</f>
      </c>
      <c r="X29" s="75"/>
    </row>
    <row r="30" ht="17" customHeight="1" spans="1:24" x14ac:dyDescent="0.25">
      <c r="A30" s="75"/>
      <c r="B30" s="79"/>
      <c r="C30" s="79"/>
      <c r="D30" s="79"/>
      <c r="E30" s="79"/>
      <c r="F30" s="78">
        <f>IF($B30="","",IF($C30="",$E30,IF($C30="","",IFERROR(IF(INDEX('ONLINE ORDERS'!$C$6:$C$155,MATCH($C30,'ONLINE ORDERS'!$B$6:$B$155,0))="","",INDEX('ONLINE ORDERS'!$C$6:$C$155,MATCH($C30,'ONLINE ORDERS'!$B$6:$B$155,0))),""))))</f>
      </c>
      <c r="G30" s="78">
        <f>IF($B30="","",IF($C30="","",IFERROR(IF(INDEX('ONLINE ORDERS'!$G$6:$G$155,MATCH($C30,'ONLINE ORDERS'!$B$6:$B$155,0))="","",INDEX('ONLINE ORDERS'!$G$6:$G$155,MATCH($C30,'ONLINE ORDERS'!$B$6:$B$155,0))),"")))</f>
      </c>
      <c r="H30" s="80"/>
      <c r="I30" s="92">
        <f>IF($B30="","",IF($C30="",$H30,IF($C30="","",IFERROR(IF(INDEX('ONLINE ORDERS'!$H$6:$H$155,MATCH($C30,'ONLINE ORDERS'!$B$6:$B$155,0))="","",INDEX('ONLINE ORDERS'!$H$6:$H$155,MATCH($C30,'ONLINE ORDERS'!$B$6:$B$155,0))),""))))</f>
      </c>
      <c r="J30" s="79"/>
      <c r="K30" s="79"/>
      <c r="L30" s="82"/>
      <c r="M30" s="93">
        <f>IF($B30="","",IF($C30="","",IFERROR(IF(INDEX('ONLINE ORDERS'!$O$6:$O$155,MATCH($C30,'ONLINE ORDERS'!$B$6:$B$155,0))="","",INDEX('ONLINE ORDERS'!$O$6:$O$155,MATCH($C30,'ONLINE ORDERS'!$B$6:$B$155,0))),"")))</f>
      </c>
      <c r="N30" s="79"/>
      <c r="O30" s="86"/>
      <c r="P30" s="79"/>
      <c r="Q30" s="86"/>
      <c r="R30" s="85">
        <f>IF($B30="","",IF($P30="Yes",IF($Q30="",$O30,$Q30),0))</f>
      </c>
      <c r="S30" s="78">
        <f>IF($B30="","",IF($P30="Yes","SETTLED",IF($M30&lt;&gt;"",IF($M30&lt;TODAY(),"WINDOW CLOSED",IF($M30-TODAY()&lt;=7,"RETURN THIS WEEK","AWAITING REFUND")),"AWAITING REFUND")))</f>
      </c>
      <c r="T30" s="80"/>
      <c r="U30" s="78">
        <f>IF($B30="",0,IF(COUNTIF('RETURNS + EXCHANGES'!$B$6:$B$65,$B30)&gt;1,1,0))</f>
      </c>
      <c r="V30" s="78">
        <f>IF($C30="",0,IF(COUNTIF('ONLINE ORDERS'!$B$6:$B$155,$C30)=0,1,0))</f>
      </c>
      <c r="W30" s="78">
        <f>IF($D30="",0,IF(COUNTIF('GIFT PLANNER'!$B$6:$B$205,$D30)=0,1,0))</f>
      </c>
      <c r="X30" s="75"/>
    </row>
    <row r="31" ht="17" customHeight="1" spans="1:24" x14ac:dyDescent="0.25">
      <c r="A31" s="75"/>
      <c r="B31" s="79"/>
      <c r="C31" s="79"/>
      <c r="D31" s="79"/>
      <c r="E31" s="79"/>
      <c r="F31" s="78">
        <f>IF($B31="","",IF($C31="",$E31,IF($C31="","",IFERROR(IF(INDEX('ONLINE ORDERS'!$C$6:$C$155,MATCH($C31,'ONLINE ORDERS'!$B$6:$B$155,0))="","",INDEX('ONLINE ORDERS'!$C$6:$C$155,MATCH($C31,'ONLINE ORDERS'!$B$6:$B$155,0))),""))))</f>
      </c>
      <c r="G31" s="78">
        <f>IF($B31="","",IF($C31="","",IFERROR(IF(INDEX('ONLINE ORDERS'!$G$6:$G$155,MATCH($C31,'ONLINE ORDERS'!$B$6:$B$155,0))="","",INDEX('ONLINE ORDERS'!$G$6:$G$155,MATCH($C31,'ONLINE ORDERS'!$B$6:$B$155,0))),"")))</f>
      </c>
      <c r="H31" s="80"/>
      <c r="I31" s="92">
        <f>IF($B31="","",IF($C31="",$H31,IF($C31="","",IFERROR(IF(INDEX('ONLINE ORDERS'!$H$6:$H$155,MATCH($C31,'ONLINE ORDERS'!$B$6:$B$155,0))="","",INDEX('ONLINE ORDERS'!$H$6:$H$155,MATCH($C31,'ONLINE ORDERS'!$B$6:$B$155,0))),""))))</f>
      </c>
      <c r="J31" s="79"/>
      <c r="K31" s="79"/>
      <c r="L31" s="82"/>
      <c r="M31" s="93">
        <f>IF($B31="","",IF($C31="","",IFERROR(IF(INDEX('ONLINE ORDERS'!$O$6:$O$155,MATCH($C31,'ONLINE ORDERS'!$B$6:$B$155,0))="","",INDEX('ONLINE ORDERS'!$O$6:$O$155,MATCH($C31,'ONLINE ORDERS'!$B$6:$B$155,0))),"")))</f>
      </c>
      <c r="N31" s="79"/>
      <c r="O31" s="86"/>
      <c r="P31" s="79"/>
      <c r="Q31" s="86"/>
      <c r="R31" s="85">
        <f>IF($B31="","",IF($P31="Yes",IF($Q31="",$O31,$Q31),0))</f>
      </c>
      <c r="S31" s="78">
        <f>IF($B31="","",IF($P31="Yes","SETTLED",IF($M31&lt;&gt;"",IF($M31&lt;TODAY(),"WINDOW CLOSED",IF($M31-TODAY()&lt;=7,"RETURN THIS WEEK","AWAITING REFUND")),"AWAITING REFUND")))</f>
      </c>
      <c r="T31" s="80"/>
      <c r="U31" s="78">
        <f>IF($B31="",0,IF(COUNTIF('RETURNS + EXCHANGES'!$B$6:$B$65,$B31)&gt;1,1,0))</f>
      </c>
      <c r="V31" s="78">
        <f>IF($C31="",0,IF(COUNTIF('ONLINE ORDERS'!$B$6:$B$155,$C31)=0,1,0))</f>
      </c>
      <c r="W31" s="78">
        <f>IF($D31="",0,IF(COUNTIF('GIFT PLANNER'!$B$6:$B$205,$D31)=0,1,0))</f>
      </c>
      <c r="X31" s="75"/>
    </row>
    <row r="32" ht="17" customHeight="1" spans="1:24" x14ac:dyDescent="0.25">
      <c r="A32" s="75"/>
      <c r="B32" s="79"/>
      <c r="C32" s="79"/>
      <c r="D32" s="79"/>
      <c r="E32" s="79"/>
      <c r="F32" s="78">
        <f>IF($B32="","",IF($C32="",$E32,IF($C32="","",IFERROR(IF(INDEX('ONLINE ORDERS'!$C$6:$C$155,MATCH($C32,'ONLINE ORDERS'!$B$6:$B$155,0))="","",INDEX('ONLINE ORDERS'!$C$6:$C$155,MATCH($C32,'ONLINE ORDERS'!$B$6:$B$155,0))),""))))</f>
      </c>
      <c r="G32" s="78">
        <f>IF($B32="","",IF($C32="","",IFERROR(IF(INDEX('ONLINE ORDERS'!$G$6:$G$155,MATCH($C32,'ONLINE ORDERS'!$B$6:$B$155,0))="","",INDEX('ONLINE ORDERS'!$G$6:$G$155,MATCH($C32,'ONLINE ORDERS'!$B$6:$B$155,0))),"")))</f>
      </c>
      <c r="H32" s="80"/>
      <c r="I32" s="92">
        <f>IF($B32="","",IF($C32="",$H32,IF($C32="","",IFERROR(IF(INDEX('ONLINE ORDERS'!$H$6:$H$155,MATCH($C32,'ONLINE ORDERS'!$B$6:$B$155,0))="","",INDEX('ONLINE ORDERS'!$H$6:$H$155,MATCH($C32,'ONLINE ORDERS'!$B$6:$B$155,0))),""))))</f>
      </c>
      <c r="J32" s="79"/>
      <c r="K32" s="79"/>
      <c r="L32" s="82"/>
      <c r="M32" s="93">
        <f>IF($B32="","",IF($C32="","",IFERROR(IF(INDEX('ONLINE ORDERS'!$O$6:$O$155,MATCH($C32,'ONLINE ORDERS'!$B$6:$B$155,0))="","",INDEX('ONLINE ORDERS'!$O$6:$O$155,MATCH($C32,'ONLINE ORDERS'!$B$6:$B$155,0))),"")))</f>
      </c>
      <c r="N32" s="79"/>
      <c r="O32" s="86"/>
      <c r="P32" s="79"/>
      <c r="Q32" s="86"/>
      <c r="R32" s="85">
        <f>IF($B32="","",IF($P32="Yes",IF($Q32="",$O32,$Q32),0))</f>
      </c>
      <c r="S32" s="78">
        <f>IF($B32="","",IF($P32="Yes","SETTLED",IF($M32&lt;&gt;"",IF($M32&lt;TODAY(),"WINDOW CLOSED",IF($M32-TODAY()&lt;=7,"RETURN THIS WEEK","AWAITING REFUND")),"AWAITING REFUND")))</f>
      </c>
      <c r="T32" s="80"/>
      <c r="U32" s="78">
        <f>IF($B32="",0,IF(COUNTIF('RETURNS + EXCHANGES'!$B$6:$B$65,$B32)&gt;1,1,0))</f>
      </c>
      <c r="V32" s="78">
        <f>IF($C32="",0,IF(COUNTIF('ONLINE ORDERS'!$B$6:$B$155,$C32)=0,1,0))</f>
      </c>
      <c r="W32" s="78">
        <f>IF($D32="",0,IF(COUNTIF('GIFT PLANNER'!$B$6:$B$205,$D32)=0,1,0))</f>
      </c>
      <c r="X32" s="75"/>
    </row>
    <row r="33" ht="17" customHeight="1" spans="1:24" x14ac:dyDescent="0.25">
      <c r="A33" s="75"/>
      <c r="B33" s="79"/>
      <c r="C33" s="79"/>
      <c r="D33" s="79"/>
      <c r="E33" s="79"/>
      <c r="F33" s="78">
        <f>IF($B33="","",IF($C33="",$E33,IF($C33="","",IFERROR(IF(INDEX('ONLINE ORDERS'!$C$6:$C$155,MATCH($C33,'ONLINE ORDERS'!$B$6:$B$155,0))="","",INDEX('ONLINE ORDERS'!$C$6:$C$155,MATCH($C33,'ONLINE ORDERS'!$B$6:$B$155,0))),""))))</f>
      </c>
      <c r="G33" s="78">
        <f>IF($B33="","",IF($C33="","",IFERROR(IF(INDEX('ONLINE ORDERS'!$G$6:$G$155,MATCH($C33,'ONLINE ORDERS'!$B$6:$B$155,0))="","",INDEX('ONLINE ORDERS'!$G$6:$G$155,MATCH($C33,'ONLINE ORDERS'!$B$6:$B$155,0))),"")))</f>
      </c>
      <c r="H33" s="80"/>
      <c r="I33" s="92">
        <f>IF($B33="","",IF($C33="",$H33,IF($C33="","",IFERROR(IF(INDEX('ONLINE ORDERS'!$H$6:$H$155,MATCH($C33,'ONLINE ORDERS'!$B$6:$B$155,0))="","",INDEX('ONLINE ORDERS'!$H$6:$H$155,MATCH($C33,'ONLINE ORDERS'!$B$6:$B$155,0))),""))))</f>
      </c>
      <c r="J33" s="79"/>
      <c r="K33" s="79"/>
      <c r="L33" s="82"/>
      <c r="M33" s="93">
        <f>IF($B33="","",IF($C33="","",IFERROR(IF(INDEX('ONLINE ORDERS'!$O$6:$O$155,MATCH($C33,'ONLINE ORDERS'!$B$6:$B$155,0))="","",INDEX('ONLINE ORDERS'!$O$6:$O$155,MATCH($C33,'ONLINE ORDERS'!$B$6:$B$155,0))),"")))</f>
      </c>
      <c r="N33" s="79"/>
      <c r="O33" s="86"/>
      <c r="P33" s="79"/>
      <c r="Q33" s="86"/>
      <c r="R33" s="85">
        <f>IF($B33="","",IF($P33="Yes",IF($Q33="",$O33,$Q33),0))</f>
      </c>
      <c r="S33" s="78">
        <f>IF($B33="","",IF($P33="Yes","SETTLED",IF($M33&lt;&gt;"",IF($M33&lt;TODAY(),"WINDOW CLOSED",IF($M33-TODAY()&lt;=7,"RETURN THIS WEEK","AWAITING REFUND")),"AWAITING REFUND")))</f>
      </c>
      <c r="T33" s="80"/>
      <c r="U33" s="78">
        <f>IF($B33="",0,IF(COUNTIF('RETURNS + EXCHANGES'!$B$6:$B$65,$B33)&gt;1,1,0))</f>
      </c>
      <c r="V33" s="78">
        <f>IF($C33="",0,IF(COUNTIF('ONLINE ORDERS'!$B$6:$B$155,$C33)=0,1,0))</f>
      </c>
      <c r="W33" s="78">
        <f>IF($D33="",0,IF(COUNTIF('GIFT PLANNER'!$B$6:$B$205,$D33)=0,1,0))</f>
      </c>
      <c r="X33" s="75"/>
    </row>
    <row r="34" ht="17" customHeight="1" spans="1:24" x14ac:dyDescent="0.25">
      <c r="A34" s="75"/>
      <c r="B34" s="79"/>
      <c r="C34" s="79"/>
      <c r="D34" s="79"/>
      <c r="E34" s="79"/>
      <c r="F34" s="78">
        <f>IF($B34="","",IF($C34="",$E34,IF($C34="","",IFERROR(IF(INDEX('ONLINE ORDERS'!$C$6:$C$155,MATCH($C34,'ONLINE ORDERS'!$B$6:$B$155,0))="","",INDEX('ONLINE ORDERS'!$C$6:$C$155,MATCH($C34,'ONLINE ORDERS'!$B$6:$B$155,0))),""))))</f>
      </c>
      <c r="G34" s="78">
        <f>IF($B34="","",IF($C34="","",IFERROR(IF(INDEX('ONLINE ORDERS'!$G$6:$G$155,MATCH($C34,'ONLINE ORDERS'!$B$6:$B$155,0))="","",INDEX('ONLINE ORDERS'!$G$6:$G$155,MATCH($C34,'ONLINE ORDERS'!$B$6:$B$155,0))),"")))</f>
      </c>
      <c r="H34" s="80"/>
      <c r="I34" s="92">
        <f>IF($B34="","",IF($C34="",$H34,IF($C34="","",IFERROR(IF(INDEX('ONLINE ORDERS'!$H$6:$H$155,MATCH($C34,'ONLINE ORDERS'!$B$6:$B$155,0))="","",INDEX('ONLINE ORDERS'!$H$6:$H$155,MATCH($C34,'ONLINE ORDERS'!$B$6:$B$155,0))),""))))</f>
      </c>
      <c r="J34" s="79"/>
      <c r="K34" s="79"/>
      <c r="L34" s="82"/>
      <c r="M34" s="93">
        <f>IF($B34="","",IF($C34="","",IFERROR(IF(INDEX('ONLINE ORDERS'!$O$6:$O$155,MATCH($C34,'ONLINE ORDERS'!$B$6:$B$155,0))="","",INDEX('ONLINE ORDERS'!$O$6:$O$155,MATCH($C34,'ONLINE ORDERS'!$B$6:$B$155,0))),"")))</f>
      </c>
      <c r="N34" s="79"/>
      <c r="O34" s="86"/>
      <c r="P34" s="79"/>
      <c r="Q34" s="86"/>
      <c r="R34" s="85">
        <f>IF($B34="","",IF($P34="Yes",IF($Q34="",$O34,$Q34),0))</f>
      </c>
      <c r="S34" s="78">
        <f>IF($B34="","",IF($P34="Yes","SETTLED",IF($M34&lt;&gt;"",IF($M34&lt;TODAY(),"WINDOW CLOSED",IF($M34-TODAY()&lt;=7,"RETURN THIS WEEK","AWAITING REFUND")),"AWAITING REFUND")))</f>
      </c>
      <c r="T34" s="80"/>
      <c r="U34" s="78">
        <f>IF($B34="",0,IF(COUNTIF('RETURNS + EXCHANGES'!$B$6:$B$65,$B34)&gt;1,1,0))</f>
      </c>
      <c r="V34" s="78">
        <f>IF($C34="",0,IF(COUNTIF('ONLINE ORDERS'!$B$6:$B$155,$C34)=0,1,0))</f>
      </c>
      <c r="W34" s="78">
        <f>IF($D34="",0,IF(COUNTIF('GIFT PLANNER'!$B$6:$B$205,$D34)=0,1,0))</f>
      </c>
      <c r="X34" s="75"/>
    </row>
    <row r="35" ht="17" customHeight="1" spans="1:24" x14ac:dyDescent="0.25">
      <c r="A35" s="75"/>
      <c r="B35" s="79"/>
      <c r="C35" s="79"/>
      <c r="D35" s="79"/>
      <c r="E35" s="79"/>
      <c r="F35" s="78">
        <f>IF($B35="","",IF($C35="",$E35,IF($C35="","",IFERROR(IF(INDEX('ONLINE ORDERS'!$C$6:$C$155,MATCH($C35,'ONLINE ORDERS'!$B$6:$B$155,0))="","",INDEX('ONLINE ORDERS'!$C$6:$C$155,MATCH($C35,'ONLINE ORDERS'!$B$6:$B$155,0))),""))))</f>
      </c>
      <c r="G35" s="78">
        <f>IF($B35="","",IF($C35="","",IFERROR(IF(INDEX('ONLINE ORDERS'!$G$6:$G$155,MATCH($C35,'ONLINE ORDERS'!$B$6:$B$155,0))="","",INDEX('ONLINE ORDERS'!$G$6:$G$155,MATCH($C35,'ONLINE ORDERS'!$B$6:$B$155,0))),"")))</f>
      </c>
      <c r="H35" s="80"/>
      <c r="I35" s="92">
        <f>IF($B35="","",IF($C35="",$H35,IF($C35="","",IFERROR(IF(INDEX('ONLINE ORDERS'!$H$6:$H$155,MATCH($C35,'ONLINE ORDERS'!$B$6:$B$155,0))="","",INDEX('ONLINE ORDERS'!$H$6:$H$155,MATCH($C35,'ONLINE ORDERS'!$B$6:$B$155,0))),""))))</f>
      </c>
      <c r="J35" s="79"/>
      <c r="K35" s="79"/>
      <c r="L35" s="82"/>
      <c r="M35" s="93">
        <f>IF($B35="","",IF($C35="","",IFERROR(IF(INDEX('ONLINE ORDERS'!$O$6:$O$155,MATCH($C35,'ONLINE ORDERS'!$B$6:$B$155,0))="","",INDEX('ONLINE ORDERS'!$O$6:$O$155,MATCH($C35,'ONLINE ORDERS'!$B$6:$B$155,0))),"")))</f>
      </c>
      <c r="N35" s="79"/>
      <c r="O35" s="86"/>
      <c r="P35" s="79"/>
      <c r="Q35" s="86"/>
      <c r="R35" s="85">
        <f>IF($B35="","",IF($P35="Yes",IF($Q35="",$O35,$Q35),0))</f>
      </c>
      <c r="S35" s="78">
        <f>IF($B35="","",IF($P35="Yes","SETTLED",IF($M35&lt;&gt;"",IF($M35&lt;TODAY(),"WINDOW CLOSED",IF($M35-TODAY()&lt;=7,"RETURN THIS WEEK","AWAITING REFUND")),"AWAITING REFUND")))</f>
      </c>
      <c r="T35" s="80"/>
      <c r="U35" s="78">
        <f>IF($B35="",0,IF(COUNTIF('RETURNS + EXCHANGES'!$B$6:$B$65,$B35)&gt;1,1,0))</f>
      </c>
      <c r="V35" s="78">
        <f>IF($C35="",0,IF(COUNTIF('ONLINE ORDERS'!$B$6:$B$155,$C35)=0,1,0))</f>
      </c>
      <c r="W35" s="78">
        <f>IF($D35="",0,IF(COUNTIF('GIFT PLANNER'!$B$6:$B$205,$D35)=0,1,0))</f>
      </c>
      <c r="X35" s="75"/>
    </row>
    <row r="36" ht="17" customHeight="1" spans="1:24" x14ac:dyDescent="0.25">
      <c r="A36" s="75"/>
      <c r="B36" s="79"/>
      <c r="C36" s="79"/>
      <c r="D36" s="79"/>
      <c r="E36" s="79"/>
      <c r="F36" s="78">
        <f>IF($B36="","",IF($C36="",$E36,IF($C36="","",IFERROR(IF(INDEX('ONLINE ORDERS'!$C$6:$C$155,MATCH($C36,'ONLINE ORDERS'!$B$6:$B$155,0))="","",INDEX('ONLINE ORDERS'!$C$6:$C$155,MATCH($C36,'ONLINE ORDERS'!$B$6:$B$155,0))),""))))</f>
      </c>
      <c r="G36" s="78">
        <f>IF($B36="","",IF($C36="","",IFERROR(IF(INDEX('ONLINE ORDERS'!$G$6:$G$155,MATCH($C36,'ONLINE ORDERS'!$B$6:$B$155,0))="","",INDEX('ONLINE ORDERS'!$G$6:$G$155,MATCH($C36,'ONLINE ORDERS'!$B$6:$B$155,0))),"")))</f>
      </c>
      <c r="H36" s="80"/>
      <c r="I36" s="92">
        <f>IF($B36="","",IF($C36="",$H36,IF($C36="","",IFERROR(IF(INDEX('ONLINE ORDERS'!$H$6:$H$155,MATCH($C36,'ONLINE ORDERS'!$B$6:$B$155,0))="","",INDEX('ONLINE ORDERS'!$H$6:$H$155,MATCH($C36,'ONLINE ORDERS'!$B$6:$B$155,0))),""))))</f>
      </c>
      <c r="J36" s="79"/>
      <c r="K36" s="79"/>
      <c r="L36" s="82"/>
      <c r="M36" s="93">
        <f>IF($B36="","",IF($C36="","",IFERROR(IF(INDEX('ONLINE ORDERS'!$O$6:$O$155,MATCH($C36,'ONLINE ORDERS'!$B$6:$B$155,0))="","",INDEX('ONLINE ORDERS'!$O$6:$O$155,MATCH($C36,'ONLINE ORDERS'!$B$6:$B$155,0))),"")))</f>
      </c>
      <c r="N36" s="79"/>
      <c r="O36" s="86"/>
      <c r="P36" s="79"/>
      <c r="Q36" s="86"/>
      <c r="R36" s="85">
        <f>IF($B36="","",IF($P36="Yes",IF($Q36="",$O36,$Q36),0))</f>
      </c>
      <c r="S36" s="78">
        <f>IF($B36="","",IF($P36="Yes","SETTLED",IF($M36&lt;&gt;"",IF($M36&lt;TODAY(),"WINDOW CLOSED",IF($M36-TODAY()&lt;=7,"RETURN THIS WEEK","AWAITING REFUND")),"AWAITING REFUND")))</f>
      </c>
      <c r="T36" s="80"/>
      <c r="U36" s="78">
        <f>IF($B36="",0,IF(COUNTIF('RETURNS + EXCHANGES'!$B$6:$B$65,$B36)&gt;1,1,0))</f>
      </c>
      <c r="V36" s="78">
        <f>IF($C36="",0,IF(COUNTIF('ONLINE ORDERS'!$B$6:$B$155,$C36)=0,1,0))</f>
      </c>
      <c r="W36" s="78">
        <f>IF($D36="",0,IF(COUNTIF('GIFT PLANNER'!$B$6:$B$205,$D36)=0,1,0))</f>
      </c>
      <c r="X36" s="75"/>
    </row>
    <row r="37" ht="17" customHeight="1" spans="1:24" x14ac:dyDescent="0.25">
      <c r="A37" s="75"/>
      <c r="B37" s="79"/>
      <c r="C37" s="79"/>
      <c r="D37" s="79"/>
      <c r="E37" s="79"/>
      <c r="F37" s="78">
        <f>IF($B37="","",IF($C37="",$E37,IF($C37="","",IFERROR(IF(INDEX('ONLINE ORDERS'!$C$6:$C$155,MATCH($C37,'ONLINE ORDERS'!$B$6:$B$155,0))="","",INDEX('ONLINE ORDERS'!$C$6:$C$155,MATCH($C37,'ONLINE ORDERS'!$B$6:$B$155,0))),""))))</f>
      </c>
      <c r="G37" s="78">
        <f>IF($B37="","",IF($C37="","",IFERROR(IF(INDEX('ONLINE ORDERS'!$G$6:$G$155,MATCH($C37,'ONLINE ORDERS'!$B$6:$B$155,0))="","",INDEX('ONLINE ORDERS'!$G$6:$G$155,MATCH($C37,'ONLINE ORDERS'!$B$6:$B$155,0))),"")))</f>
      </c>
      <c r="H37" s="80"/>
      <c r="I37" s="92">
        <f>IF($B37="","",IF($C37="",$H37,IF($C37="","",IFERROR(IF(INDEX('ONLINE ORDERS'!$H$6:$H$155,MATCH($C37,'ONLINE ORDERS'!$B$6:$B$155,0))="","",INDEX('ONLINE ORDERS'!$H$6:$H$155,MATCH($C37,'ONLINE ORDERS'!$B$6:$B$155,0))),""))))</f>
      </c>
      <c r="J37" s="79"/>
      <c r="K37" s="79"/>
      <c r="L37" s="82"/>
      <c r="M37" s="93">
        <f>IF($B37="","",IF($C37="","",IFERROR(IF(INDEX('ONLINE ORDERS'!$O$6:$O$155,MATCH($C37,'ONLINE ORDERS'!$B$6:$B$155,0))="","",INDEX('ONLINE ORDERS'!$O$6:$O$155,MATCH($C37,'ONLINE ORDERS'!$B$6:$B$155,0))),"")))</f>
      </c>
      <c r="N37" s="79"/>
      <c r="O37" s="86"/>
      <c r="P37" s="79"/>
      <c r="Q37" s="86"/>
      <c r="R37" s="85">
        <f>IF($B37="","",IF($P37="Yes",IF($Q37="",$O37,$Q37),0))</f>
      </c>
      <c r="S37" s="78">
        <f>IF($B37="","",IF($P37="Yes","SETTLED",IF($M37&lt;&gt;"",IF($M37&lt;TODAY(),"WINDOW CLOSED",IF($M37-TODAY()&lt;=7,"RETURN THIS WEEK","AWAITING REFUND")),"AWAITING REFUND")))</f>
      </c>
      <c r="T37" s="80"/>
      <c r="U37" s="78">
        <f>IF($B37="",0,IF(COUNTIF('RETURNS + EXCHANGES'!$B$6:$B$65,$B37)&gt;1,1,0))</f>
      </c>
      <c r="V37" s="78">
        <f>IF($C37="",0,IF(COUNTIF('ONLINE ORDERS'!$B$6:$B$155,$C37)=0,1,0))</f>
      </c>
      <c r="W37" s="78">
        <f>IF($D37="",0,IF(COUNTIF('GIFT PLANNER'!$B$6:$B$205,$D37)=0,1,0))</f>
      </c>
      <c r="X37" s="75"/>
    </row>
    <row r="38" ht="17" customHeight="1" spans="1:24" x14ac:dyDescent="0.25">
      <c r="A38" s="75"/>
      <c r="B38" s="79"/>
      <c r="C38" s="79"/>
      <c r="D38" s="79"/>
      <c r="E38" s="79"/>
      <c r="F38" s="78">
        <f>IF($B38="","",IF($C38="",$E38,IF($C38="","",IFERROR(IF(INDEX('ONLINE ORDERS'!$C$6:$C$155,MATCH($C38,'ONLINE ORDERS'!$B$6:$B$155,0))="","",INDEX('ONLINE ORDERS'!$C$6:$C$155,MATCH($C38,'ONLINE ORDERS'!$B$6:$B$155,0))),""))))</f>
      </c>
      <c r="G38" s="78">
        <f>IF($B38="","",IF($C38="","",IFERROR(IF(INDEX('ONLINE ORDERS'!$G$6:$G$155,MATCH($C38,'ONLINE ORDERS'!$B$6:$B$155,0))="","",INDEX('ONLINE ORDERS'!$G$6:$G$155,MATCH($C38,'ONLINE ORDERS'!$B$6:$B$155,0))),"")))</f>
      </c>
      <c r="H38" s="80"/>
      <c r="I38" s="92">
        <f>IF($B38="","",IF($C38="",$H38,IF($C38="","",IFERROR(IF(INDEX('ONLINE ORDERS'!$H$6:$H$155,MATCH($C38,'ONLINE ORDERS'!$B$6:$B$155,0))="","",INDEX('ONLINE ORDERS'!$H$6:$H$155,MATCH($C38,'ONLINE ORDERS'!$B$6:$B$155,0))),""))))</f>
      </c>
      <c r="J38" s="79"/>
      <c r="K38" s="79"/>
      <c r="L38" s="82"/>
      <c r="M38" s="93">
        <f>IF($B38="","",IF($C38="","",IFERROR(IF(INDEX('ONLINE ORDERS'!$O$6:$O$155,MATCH($C38,'ONLINE ORDERS'!$B$6:$B$155,0))="","",INDEX('ONLINE ORDERS'!$O$6:$O$155,MATCH($C38,'ONLINE ORDERS'!$B$6:$B$155,0))),"")))</f>
      </c>
      <c r="N38" s="79"/>
      <c r="O38" s="86"/>
      <c r="P38" s="79"/>
      <c r="Q38" s="86"/>
      <c r="R38" s="85">
        <f>IF($B38="","",IF($P38="Yes",IF($Q38="",$O38,$Q38),0))</f>
      </c>
      <c r="S38" s="78">
        <f>IF($B38="","",IF($P38="Yes","SETTLED",IF($M38&lt;&gt;"",IF($M38&lt;TODAY(),"WINDOW CLOSED",IF($M38-TODAY()&lt;=7,"RETURN THIS WEEK","AWAITING REFUND")),"AWAITING REFUND")))</f>
      </c>
      <c r="T38" s="80"/>
      <c r="U38" s="78">
        <f>IF($B38="",0,IF(COUNTIF('RETURNS + EXCHANGES'!$B$6:$B$65,$B38)&gt;1,1,0))</f>
      </c>
      <c r="V38" s="78">
        <f>IF($C38="",0,IF(COUNTIF('ONLINE ORDERS'!$B$6:$B$155,$C38)=0,1,0))</f>
      </c>
      <c r="W38" s="78">
        <f>IF($D38="",0,IF(COUNTIF('GIFT PLANNER'!$B$6:$B$205,$D38)=0,1,0))</f>
      </c>
      <c r="X38" s="75"/>
    </row>
    <row r="39" ht="17" customHeight="1" spans="1:24" x14ac:dyDescent="0.25">
      <c r="A39" s="75"/>
      <c r="B39" s="79"/>
      <c r="C39" s="79"/>
      <c r="D39" s="79"/>
      <c r="E39" s="79"/>
      <c r="F39" s="78">
        <f>IF($B39="","",IF($C39="",$E39,IF($C39="","",IFERROR(IF(INDEX('ONLINE ORDERS'!$C$6:$C$155,MATCH($C39,'ONLINE ORDERS'!$B$6:$B$155,0))="","",INDEX('ONLINE ORDERS'!$C$6:$C$155,MATCH($C39,'ONLINE ORDERS'!$B$6:$B$155,0))),""))))</f>
      </c>
      <c r="G39" s="78">
        <f>IF($B39="","",IF($C39="","",IFERROR(IF(INDEX('ONLINE ORDERS'!$G$6:$G$155,MATCH($C39,'ONLINE ORDERS'!$B$6:$B$155,0))="","",INDEX('ONLINE ORDERS'!$G$6:$G$155,MATCH($C39,'ONLINE ORDERS'!$B$6:$B$155,0))),"")))</f>
      </c>
      <c r="H39" s="80"/>
      <c r="I39" s="92">
        <f>IF($B39="","",IF($C39="",$H39,IF($C39="","",IFERROR(IF(INDEX('ONLINE ORDERS'!$H$6:$H$155,MATCH($C39,'ONLINE ORDERS'!$B$6:$B$155,0))="","",INDEX('ONLINE ORDERS'!$H$6:$H$155,MATCH($C39,'ONLINE ORDERS'!$B$6:$B$155,0))),""))))</f>
      </c>
      <c r="J39" s="79"/>
      <c r="K39" s="79"/>
      <c r="L39" s="82"/>
      <c r="M39" s="93">
        <f>IF($B39="","",IF($C39="","",IFERROR(IF(INDEX('ONLINE ORDERS'!$O$6:$O$155,MATCH($C39,'ONLINE ORDERS'!$B$6:$B$155,0))="","",INDEX('ONLINE ORDERS'!$O$6:$O$155,MATCH($C39,'ONLINE ORDERS'!$B$6:$B$155,0))),"")))</f>
      </c>
      <c r="N39" s="79"/>
      <c r="O39" s="86"/>
      <c r="P39" s="79"/>
      <c r="Q39" s="86"/>
      <c r="R39" s="85">
        <f>IF($B39="","",IF($P39="Yes",IF($Q39="",$O39,$Q39),0))</f>
      </c>
      <c r="S39" s="78">
        <f>IF($B39="","",IF($P39="Yes","SETTLED",IF($M39&lt;&gt;"",IF($M39&lt;TODAY(),"WINDOW CLOSED",IF($M39-TODAY()&lt;=7,"RETURN THIS WEEK","AWAITING REFUND")),"AWAITING REFUND")))</f>
      </c>
      <c r="T39" s="80"/>
      <c r="U39" s="78">
        <f>IF($B39="",0,IF(COUNTIF('RETURNS + EXCHANGES'!$B$6:$B$65,$B39)&gt;1,1,0))</f>
      </c>
      <c r="V39" s="78">
        <f>IF($C39="",0,IF(COUNTIF('ONLINE ORDERS'!$B$6:$B$155,$C39)=0,1,0))</f>
      </c>
      <c r="W39" s="78">
        <f>IF($D39="",0,IF(COUNTIF('GIFT PLANNER'!$B$6:$B$205,$D39)=0,1,0))</f>
      </c>
      <c r="X39" s="75"/>
    </row>
    <row r="40" ht="17" customHeight="1" spans="1:24" x14ac:dyDescent="0.25">
      <c r="A40" s="75"/>
      <c r="B40" s="79"/>
      <c r="C40" s="79"/>
      <c r="D40" s="79"/>
      <c r="E40" s="79"/>
      <c r="F40" s="78">
        <f>IF($B40="","",IF($C40="",$E40,IF($C40="","",IFERROR(IF(INDEX('ONLINE ORDERS'!$C$6:$C$155,MATCH($C40,'ONLINE ORDERS'!$B$6:$B$155,0))="","",INDEX('ONLINE ORDERS'!$C$6:$C$155,MATCH($C40,'ONLINE ORDERS'!$B$6:$B$155,0))),""))))</f>
      </c>
      <c r="G40" s="78">
        <f>IF($B40="","",IF($C40="","",IFERROR(IF(INDEX('ONLINE ORDERS'!$G$6:$G$155,MATCH($C40,'ONLINE ORDERS'!$B$6:$B$155,0))="","",INDEX('ONLINE ORDERS'!$G$6:$G$155,MATCH($C40,'ONLINE ORDERS'!$B$6:$B$155,0))),"")))</f>
      </c>
      <c r="H40" s="80"/>
      <c r="I40" s="92">
        <f>IF($B40="","",IF($C40="",$H40,IF($C40="","",IFERROR(IF(INDEX('ONLINE ORDERS'!$H$6:$H$155,MATCH($C40,'ONLINE ORDERS'!$B$6:$B$155,0))="","",INDEX('ONLINE ORDERS'!$H$6:$H$155,MATCH($C40,'ONLINE ORDERS'!$B$6:$B$155,0))),""))))</f>
      </c>
      <c r="J40" s="79"/>
      <c r="K40" s="79"/>
      <c r="L40" s="82"/>
      <c r="M40" s="93">
        <f>IF($B40="","",IF($C40="","",IFERROR(IF(INDEX('ONLINE ORDERS'!$O$6:$O$155,MATCH($C40,'ONLINE ORDERS'!$B$6:$B$155,0))="","",INDEX('ONLINE ORDERS'!$O$6:$O$155,MATCH($C40,'ONLINE ORDERS'!$B$6:$B$155,0))),"")))</f>
      </c>
      <c r="N40" s="79"/>
      <c r="O40" s="86"/>
      <c r="P40" s="79"/>
      <c r="Q40" s="86"/>
      <c r="R40" s="85">
        <f>IF($B40="","",IF($P40="Yes",IF($Q40="",$O40,$Q40),0))</f>
      </c>
      <c r="S40" s="78">
        <f>IF($B40="","",IF($P40="Yes","SETTLED",IF($M40&lt;&gt;"",IF($M40&lt;TODAY(),"WINDOW CLOSED",IF($M40-TODAY()&lt;=7,"RETURN THIS WEEK","AWAITING REFUND")),"AWAITING REFUND")))</f>
      </c>
      <c r="T40" s="80"/>
      <c r="U40" s="78">
        <f>IF($B40="",0,IF(COUNTIF('RETURNS + EXCHANGES'!$B$6:$B$65,$B40)&gt;1,1,0))</f>
      </c>
      <c r="V40" s="78">
        <f>IF($C40="",0,IF(COUNTIF('ONLINE ORDERS'!$B$6:$B$155,$C40)=0,1,0))</f>
      </c>
      <c r="W40" s="78">
        <f>IF($D40="",0,IF(COUNTIF('GIFT PLANNER'!$B$6:$B$205,$D40)=0,1,0))</f>
      </c>
      <c r="X40" s="75"/>
    </row>
    <row r="41" ht="17" customHeight="1" spans="1:24" x14ac:dyDescent="0.25">
      <c r="A41" s="75"/>
      <c r="B41" s="79"/>
      <c r="C41" s="79"/>
      <c r="D41" s="79"/>
      <c r="E41" s="79"/>
      <c r="F41" s="78">
        <f>IF($B41="","",IF($C41="",$E41,IF($C41="","",IFERROR(IF(INDEX('ONLINE ORDERS'!$C$6:$C$155,MATCH($C41,'ONLINE ORDERS'!$B$6:$B$155,0))="","",INDEX('ONLINE ORDERS'!$C$6:$C$155,MATCH($C41,'ONLINE ORDERS'!$B$6:$B$155,0))),""))))</f>
      </c>
      <c r="G41" s="78">
        <f>IF($B41="","",IF($C41="","",IFERROR(IF(INDEX('ONLINE ORDERS'!$G$6:$G$155,MATCH($C41,'ONLINE ORDERS'!$B$6:$B$155,0))="","",INDEX('ONLINE ORDERS'!$G$6:$G$155,MATCH($C41,'ONLINE ORDERS'!$B$6:$B$155,0))),"")))</f>
      </c>
      <c r="H41" s="80"/>
      <c r="I41" s="92">
        <f>IF($B41="","",IF($C41="",$H41,IF($C41="","",IFERROR(IF(INDEX('ONLINE ORDERS'!$H$6:$H$155,MATCH($C41,'ONLINE ORDERS'!$B$6:$B$155,0))="","",INDEX('ONLINE ORDERS'!$H$6:$H$155,MATCH($C41,'ONLINE ORDERS'!$B$6:$B$155,0))),""))))</f>
      </c>
      <c r="J41" s="79"/>
      <c r="K41" s="79"/>
      <c r="L41" s="82"/>
      <c r="M41" s="93">
        <f>IF($B41="","",IF($C41="","",IFERROR(IF(INDEX('ONLINE ORDERS'!$O$6:$O$155,MATCH($C41,'ONLINE ORDERS'!$B$6:$B$155,0))="","",INDEX('ONLINE ORDERS'!$O$6:$O$155,MATCH($C41,'ONLINE ORDERS'!$B$6:$B$155,0))),"")))</f>
      </c>
      <c r="N41" s="79"/>
      <c r="O41" s="86"/>
      <c r="P41" s="79"/>
      <c r="Q41" s="86"/>
      <c r="R41" s="85">
        <f>IF($B41="","",IF($P41="Yes",IF($Q41="",$O41,$Q41),0))</f>
      </c>
      <c r="S41" s="78">
        <f>IF($B41="","",IF($P41="Yes","SETTLED",IF($M41&lt;&gt;"",IF($M41&lt;TODAY(),"WINDOW CLOSED",IF($M41-TODAY()&lt;=7,"RETURN THIS WEEK","AWAITING REFUND")),"AWAITING REFUND")))</f>
      </c>
      <c r="T41" s="80"/>
      <c r="U41" s="78">
        <f>IF($B41="",0,IF(COUNTIF('RETURNS + EXCHANGES'!$B$6:$B$65,$B41)&gt;1,1,0))</f>
      </c>
      <c r="V41" s="78">
        <f>IF($C41="",0,IF(COUNTIF('ONLINE ORDERS'!$B$6:$B$155,$C41)=0,1,0))</f>
      </c>
      <c r="W41" s="78">
        <f>IF($D41="",0,IF(COUNTIF('GIFT PLANNER'!$B$6:$B$205,$D41)=0,1,0))</f>
      </c>
      <c r="X41" s="75"/>
    </row>
    <row r="42" ht="17" customHeight="1" spans="1:24" x14ac:dyDescent="0.25">
      <c r="A42" s="75"/>
      <c r="B42" s="79"/>
      <c r="C42" s="79"/>
      <c r="D42" s="79"/>
      <c r="E42" s="79"/>
      <c r="F42" s="78">
        <f>IF($B42="","",IF($C42="",$E42,IF($C42="","",IFERROR(IF(INDEX('ONLINE ORDERS'!$C$6:$C$155,MATCH($C42,'ONLINE ORDERS'!$B$6:$B$155,0))="","",INDEX('ONLINE ORDERS'!$C$6:$C$155,MATCH($C42,'ONLINE ORDERS'!$B$6:$B$155,0))),""))))</f>
      </c>
      <c r="G42" s="78">
        <f>IF($B42="","",IF($C42="","",IFERROR(IF(INDEX('ONLINE ORDERS'!$G$6:$G$155,MATCH($C42,'ONLINE ORDERS'!$B$6:$B$155,0))="","",INDEX('ONLINE ORDERS'!$G$6:$G$155,MATCH($C42,'ONLINE ORDERS'!$B$6:$B$155,0))),"")))</f>
      </c>
      <c r="H42" s="80"/>
      <c r="I42" s="92">
        <f>IF($B42="","",IF($C42="",$H42,IF($C42="","",IFERROR(IF(INDEX('ONLINE ORDERS'!$H$6:$H$155,MATCH($C42,'ONLINE ORDERS'!$B$6:$B$155,0))="","",INDEX('ONLINE ORDERS'!$H$6:$H$155,MATCH($C42,'ONLINE ORDERS'!$B$6:$B$155,0))),""))))</f>
      </c>
      <c r="J42" s="79"/>
      <c r="K42" s="79"/>
      <c r="L42" s="82"/>
      <c r="M42" s="93">
        <f>IF($B42="","",IF($C42="","",IFERROR(IF(INDEX('ONLINE ORDERS'!$O$6:$O$155,MATCH($C42,'ONLINE ORDERS'!$B$6:$B$155,0))="","",INDEX('ONLINE ORDERS'!$O$6:$O$155,MATCH($C42,'ONLINE ORDERS'!$B$6:$B$155,0))),"")))</f>
      </c>
      <c r="N42" s="79"/>
      <c r="O42" s="86"/>
      <c r="P42" s="79"/>
      <c r="Q42" s="86"/>
      <c r="R42" s="85">
        <f>IF($B42="","",IF($P42="Yes",IF($Q42="",$O42,$Q42),0))</f>
      </c>
      <c r="S42" s="78">
        <f>IF($B42="","",IF($P42="Yes","SETTLED",IF($M42&lt;&gt;"",IF($M42&lt;TODAY(),"WINDOW CLOSED",IF($M42-TODAY()&lt;=7,"RETURN THIS WEEK","AWAITING REFUND")),"AWAITING REFUND")))</f>
      </c>
      <c r="T42" s="80"/>
      <c r="U42" s="78">
        <f>IF($B42="",0,IF(COUNTIF('RETURNS + EXCHANGES'!$B$6:$B$65,$B42)&gt;1,1,0))</f>
      </c>
      <c r="V42" s="78">
        <f>IF($C42="",0,IF(COUNTIF('ONLINE ORDERS'!$B$6:$B$155,$C42)=0,1,0))</f>
      </c>
      <c r="W42" s="78">
        <f>IF($D42="",0,IF(COUNTIF('GIFT PLANNER'!$B$6:$B$205,$D42)=0,1,0))</f>
      </c>
      <c r="X42" s="75"/>
    </row>
    <row r="43" ht="17" customHeight="1" spans="1:24" x14ac:dyDescent="0.25">
      <c r="A43" s="75"/>
      <c r="B43" s="79"/>
      <c r="C43" s="79"/>
      <c r="D43" s="79"/>
      <c r="E43" s="79"/>
      <c r="F43" s="78">
        <f>IF($B43="","",IF($C43="",$E43,IF($C43="","",IFERROR(IF(INDEX('ONLINE ORDERS'!$C$6:$C$155,MATCH($C43,'ONLINE ORDERS'!$B$6:$B$155,0))="","",INDEX('ONLINE ORDERS'!$C$6:$C$155,MATCH($C43,'ONLINE ORDERS'!$B$6:$B$155,0))),""))))</f>
      </c>
      <c r="G43" s="78">
        <f>IF($B43="","",IF($C43="","",IFERROR(IF(INDEX('ONLINE ORDERS'!$G$6:$G$155,MATCH($C43,'ONLINE ORDERS'!$B$6:$B$155,0))="","",INDEX('ONLINE ORDERS'!$G$6:$G$155,MATCH($C43,'ONLINE ORDERS'!$B$6:$B$155,0))),"")))</f>
      </c>
      <c r="H43" s="80"/>
      <c r="I43" s="92">
        <f>IF($B43="","",IF($C43="",$H43,IF($C43="","",IFERROR(IF(INDEX('ONLINE ORDERS'!$H$6:$H$155,MATCH($C43,'ONLINE ORDERS'!$B$6:$B$155,0))="","",INDEX('ONLINE ORDERS'!$H$6:$H$155,MATCH($C43,'ONLINE ORDERS'!$B$6:$B$155,0))),""))))</f>
      </c>
      <c r="J43" s="79"/>
      <c r="K43" s="79"/>
      <c r="L43" s="82"/>
      <c r="M43" s="93">
        <f>IF($B43="","",IF($C43="","",IFERROR(IF(INDEX('ONLINE ORDERS'!$O$6:$O$155,MATCH($C43,'ONLINE ORDERS'!$B$6:$B$155,0))="","",INDEX('ONLINE ORDERS'!$O$6:$O$155,MATCH($C43,'ONLINE ORDERS'!$B$6:$B$155,0))),"")))</f>
      </c>
      <c r="N43" s="79"/>
      <c r="O43" s="86"/>
      <c r="P43" s="79"/>
      <c r="Q43" s="86"/>
      <c r="R43" s="85">
        <f>IF($B43="","",IF($P43="Yes",IF($Q43="",$O43,$Q43),0))</f>
      </c>
      <c r="S43" s="78">
        <f>IF($B43="","",IF($P43="Yes","SETTLED",IF($M43&lt;&gt;"",IF($M43&lt;TODAY(),"WINDOW CLOSED",IF($M43-TODAY()&lt;=7,"RETURN THIS WEEK","AWAITING REFUND")),"AWAITING REFUND")))</f>
      </c>
      <c r="T43" s="80"/>
      <c r="U43" s="78">
        <f>IF($B43="",0,IF(COUNTIF('RETURNS + EXCHANGES'!$B$6:$B$65,$B43)&gt;1,1,0))</f>
      </c>
      <c r="V43" s="78">
        <f>IF($C43="",0,IF(COUNTIF('ONLINE ORDERS'!$B$6:$B$155,$C43)=0,1,0))</f>
      </c>
      <c r="W43" s="78">
        <f>IF($D43="",0,IF(COUNTIF('GIFT PLANNER'!$B$6:$B$205,$D43)=0,1,0))</f>
      </c>
      <c r="X43" s="75"/>
    </row>
    <row r="44" ht="17" customHeight="1" spans="1:24" x14ac:dyDescent="0.25">
      <c r="A44" s="75"/>
      <c r="B44" s="79"/>
      <c r="C44" s="79"/>
      <c r="D44" s="79"/>
      <c r="E44" s="79"/>
      <c r="F44" s="78">
        <f>IF($B44="","",IF($C44="",$E44,IF($C44="","",IFERROR(IF(INDEX('ONLINE ORDERS'!$C$6:$C$155,MATCH($C44,'ONLINE ORDERS'!$B$6:$B$155,0))="","",INDEX('ONLINE ORDERS'!$C$6:$C$155,MATCH($C44,'ONLINE ORDERS'!$B$6:$B$155,0))),""))))</f>
      </c>
      <c r="G44" s="78">
        <f>IF($B44="","",IF($C44="","",IFERROR(IF(INDEX('ONLINE ORDERS'!$G$6:$G$155,MATCH($C44,'ONLINE ORDERS'!$B$6:$B$155,0))="","",INDEX('ONLINE ORDERS'!$G$6:$G$155,MATCH($C44,'ONLINE ORDERS'!$B$6:$B$155,0))),"")))</f>
      </c>
      <c r="H44" s="80"/>
      <c r="I44" s="92">
        <f>IF($B44="","",IF($C44="",$H44,IF($C44="","",IFERROR(IF(INDEX('ONLINE ORDERS'!$H$6:$H$155,MATCH($C44,'ONLINE ORDERS'!$B$6:$B$155,0))="","",INDEX('ONLINE ORDERS'!$H$6:$H$155,MATCH($C44,'ONLINE ORDERS'!$B$6:$B$155,0))),""))))</f>
      </c>
      <c r="J44" s="79"/>
      <c r="K44" s="79"/>
      <c r="L44" s="82"/>
      <c r="M44" s="93">
        <f>IF($B44="","",IF($C44="","",IFERROR(IF(INDEX('ONLINE ORDERS'!$O$6:$O$155,MATCH($C44,'ONLINE ORDERS'!$B$6:$B$155,0))="","",INDEX('ONLINE ORDERS'!$O$6:$O$155,MATCH($C44,'ONLINE ORDERS'!$B$6:$B$155,0))),"")))</f>
      </c>
      <c r="N44" s="79"/>
      <c r="O44" s="86"/>
      <c r="P44" s="79"/>
      <c r="Q44" s="86"/>
      <c r="R44" s="85">
        <f>IF($B44="","",IF($P44="Yes",IF($Q44="",$O44,$Q44),0))</f>
      </c>
      <c r="S44" s="78">
        <f>IF($B44="","",IF($P44="Yes","SETTLED",IF($M44&lt;&gt;"",IF($M44&lt;TODAY(),"WINDOW CLOSED",IF($M44-TODAY()&lt;=7,"RETURN THIS WEEK","AWAITING REFUND")),"AWAITING REFUND")))</f>
      </c>
      <c r="T44" s="80"/>
      <c r="U44" s="78">
        <f>IF($B44="",0,IF(COUNTIF('RETURNS + EXCHANGES'!$B$6:$B$65,$B44)&gt;1,1,0))</f>
      </c>
      <c r="V44" s="78">
        <f>IF($C44="",0,IF(COUNTIF('ONLINE ORDERS'!$B$6:$B$155,$C44)=0,1,0))</f>
      </c>
      <c r="W44" s="78">
        <f>IF($D44="",0,IF(COUNTIF('GIFT PLANNER'!$B$6:$B$205,$D44)=0,1,0))</f>
      </c>
      <c r="X44" s="75"/>
    </row>
    <row r="45" ht="17" customHeight="1" spans="1:24" x14ac:dyDescent="0.25">
      <c r="A45" s="75"/>
      <c r="B45" s="79"/>
      <c r="C45" s="79"/>
      <c r="D45" s="79"/>
      <c r="E45" s="79"/>
      <c r="F45" s="78">
        <f>IF($B45="","",IF($C45="",$E45,IF($C45="","",IFERROR(IF(INDEX('ONLINE ORDERS'!$C$6:$C$155,MATCH($C45,'ONLINE ORDERS'!$B$6:$B$155,0))="","",INDEX('ONLINE ORDERS'!$C$6:$C$155,MATCH($C45,'ONLINE ORDERS'!$B$6:$B$155,0))),""))))</f>
      </c>
      <c r="G45" s="78">
        <f>IF($B45="","",IF($C45="","",IFERROR(IF(INDEX('ONLINE ORDERS'!$G$6:$G$155,MATCH($C45,'ONLINE ORDERS'!$B$6:$B$155,0))="","",INDEX('ONLINE ORDERS'!$G$6:$G$155,MATCH($C45,'ONLINE ORDERS'!$B$6:$B$155,0))),"")))</f>
      </c>
      <c r="H45" s="80"/>
      <c r="I45" s="92">
        <f>IF($B45="","",IF($C45="",$H45,IF($C45="","",IFERROR(IF(INDEX('ONLINE ORDERS'!$H$6:$H$155,MATCH($C45,'ONLINE ORDERS'!$B$6:$B$155,0))="","",INDEX('ONLINE ORDERS'!$H$6:$H$155,MATCH($C45,'ONLINE ORDERS'!$B$6:$B$155,0))),""))))</f>
      </c>
      <c r="J45" s="79"/>
      <c r="K45" s="79"/>
      <c r="L45" s="82"/>
      <c r="M45" s="93">
        <f>IF($B45="","",IF($C45="","",IFERROR(IF(INDEX('ONLINE ORDERS'!$O$6:$O$155,MATCH($C45,'ONLINE ORDERS'!$B$6:$B$155,0))="","",INDEX('ONLINE ORDERS'!$O$6:$O$155,MATCH($C45,'ONLINE ORDERS'!$B$6:$B$155,0))),"")))</f>
      </c>
      <c r="N45" s="79"/>
      <c r="O45" s="86"/>
      <c r="P45" s="79"/>
      <c r="Q45" s="86"/>
      <c r="R45" s="85">
        <f>IF($B45="","",IF($P45="Yes",IF($Q45="",$O45,$Q45),0))</f>
      </c>
      <c r="S45" s="78">
        <f>IF($B45="","",IF($P45="Yes","SETTLED",IF($M45&lt;&gt;"",IF($M45&lt;TODAY(),"WINDOW CLOSED",IF($M45-TODAY()&lt;=7,"RETURN THIS WEEK","AWAITING REFUND")),"AWAITING REFUND")))</f>
      </c>
      <c r="T45" s="80"/>
      <c r="U45" s="78">
        <f>IF($B45="",0,IF(COUNTIF('RETURNS + EXCHANGES'!$B$6:$B$65,$B45)&gt;1,1,0))</f>
      </c>
      <c r="V45" s="78">
        <f>IF($C45="",0,IF(COUNTIF('ONLINE ORDERS'!$B$6:$B$155,$C45)=0,1,0))</f>
      </c>
      <c r="W45" s="78">
        <f>IF($D45="",0,IF(COUNTIF('GIFT PLANNER'!$B$6:$B$205,$D45)=0,1,0))</f>
      </c>
      <c r="X45" s="75"/>
    </row>
    <row r="46" ht="17" customHeight="1" spans="1:24" x14ac:dyDescent="0.25">
      <c r="A46" s="75"/>
      <c r="B46" s="79"/>
      <c r="C46" s="79"/>
      <c r="D46" s="79"/>
      <c r="E46" s="79"/>
      <c r="F46" s="78">
        <f>IF($B46="","",IF($C46="",$E46,IF($C46="","",IFERROR(IF(INDEX('ONLINE ORDERS'!$C$6:$C$155,MATCH($C46,'ONLINE ORDERS'!$B$6:$B$155,0))="","",INDEX('ONLINE ORDERS'!$C$6:$C$155,MATCH($C46,'ONLINE ORDERS'!$B$6:$B$155,0))),""))))</f>
      </c>
      <c r="G46" s="78">
        <f>IF($B46="","",IF($C46="","",IFERROR(IF(INDEX('ONLINE ORDERS'!$G$6:$G$155,MATCH($C46,'ONLINE ORDERS'!$B$6:$B$155,0))="","",INDEX('ONLINE ORDERS'!$G$6:$G$155,MATCH($C46,'ONLINE ORDERS'!$B$6:$B$155,0))),"")))</f>
      </c>
      <c r="H46" s="80"/>
      <c r="I46" s="92">
        <f>IF($B46="","",IF($C46="",$H46,IF($C46="","",IFERROR(IF(INDEX('ONLINE ORDERS'!$H$6:$H$155,MATCH($C46,'ONLINE ORDERS'!$B$6:$B$155,0))="","",INDEX('ONLINE ORDERS'!$H$6:$H$155,MATCH($C46,'ONLINE ORDERS'!$B$6:$B$155,0))),""))))</f>
      </c>
      <c r="J46" s="79"/>
      <c r="K46" s="79"/>
      <c r="L46" s="82"/>
      <c r="M46" s="93">
        <f>IF($B46="","",IF($C46="","",IFERROR(IF(INDEX('ONLINE ORDERS'!$O$6:$O$155,MATCH($C46,'ONLINE ORDERS'!$B$6:$B$155,0))="","",INDEX('ONLINE ORDERS'!$O$6:$O$155,MATCH($C46,'ONLINE ORDERS'!$B$6:$B$155,0))),"")))</f>
      </c>
      <c r="N46" s="79"/>
      <c r="O46" s="86"/>
      <c r="P46" s="79"/>
      <c r="Q46" s="86"/>
      <c r="R46" s="85">
        <f>IF($B46="","",IF($P46="Yes",IF($Q46="",$O46,$Q46),0))</f>
      </c>
      <c r="S46" s="78">
        <f>IF($B46="","",IF($P46="Yes","SETTLED",IF($M46&lt;&gt;"",IF($M46&lt;TODAY(),"WINDOW CLOSED",IF($M46-TODAY()&lt;=7,"RETURN THIS WEEK","AWAITING REFUND")),"AWAITING REFUND")))</f>
      </c>
      <c r="T46" s="80"/>
      <c r="U46" s="78">
        <f>IF($B46="",0,IF(COUNTIF('RETURNS + EXCHANGES'!$B$6:$B$65,$B46)&gt;1,1,0))</f>
      </c>
      <c r="V46" s="78">
        <f>IF($C46="",0,IF(COUNTIF('ONLINE ORDERS'!$B$6:$B$155,$C46)=0,1,0))</f>
      </c>
      <c r="W46" s="78">
        <f>IF($D46="",0,IF(COUNTIF('GIFT PLANNER'!$B$6:$B$205,$D46)=0,1,0))</f>
      </c>
      <c r="X46" s="75"/>
    </row>
    <row r="47" ht="17" customHeight="1" spans="1:24" x14ac:dyDescent="0.25">
      <c r="A47" s="75"/>
      <c r="B47" s="79"/>
      <c r="C47" s="79"/>
      <c r="D47" s="79"/>
      <c r="E47" s="79"/>
      <c r="F47" s="78">
        <f>IF($B47="","",IF($C47="",$E47,IF($C47="","",IFERROR(IF(INDEX('ONLINE ORDERS'!$C$6:$C$155,MATCH($C47,'ONLINE ORDERS'!$B$6:$B$155,0))="","",INDEX('ONLINE ORDERS'!$C$6:$C$155,MATCH($C47,'ONLINE ORDERS'!$B$6:$B$155,0))),""))))</f>
      </c>
      <c r="G47" s="78">
        <f>IF($B47="","",IF($C47="","",IFERROR(IF(INDEX('ONLINE ORDERS'!$G$6:$G$155,MATCH($C47,'ONLINE ORDERS'!$B$6:$B$155,0))="","",INDEX('ONLINE ORDERS'!$G$6:$G$155,MATCH($C47,'ONLINE ORDERS'!$B$6:$B$155,0))),"")))</f>
      </c>
      <c r="H47" s="80"/>
      <c r="I47" s="92">
        <f>IF($B47="","",IF($C47="",$H47,IF($C47="","",IFERROR(IF(INDEX('ONLINE ORDERS'!$H$6:$H$155,MATCH($C47,'ONLINE ORDERS'!$B$6:$B$155,0))="","",INDEX('ONLINE ORDERS'!$H$6:$H$155,MATCH($C47,'ONLINE ORDERS'!$B$6:$B$155,0))),""))))</f>
      </c>
      <c r="J47" s="79"/>
      <c r="K47" s="79"/>
      <c r="L47" s="82"/>
      <c r="M47" s="93">
        <f>IF($B47="","",IF($C47="","",IFERROR(IF(INDEX('ONLINE ORDERS'!$O$6:$O$155,MATCH($C47,'ONLINE ORDERS'!$B$6:$B$155,0))="","",INDEX('ONLINE ORDERS'!$O$6:$O$155,MATCH($C47,'ONLINE ORDERS'!$B$6:$B$155,0))),"")))</f>
      </c>
      <c r="N47" s="79"/>
      <c r="O47" s="86"/>
      <c r="P47" s="79"/>
      <c r="Q47" s="86"/>
      <c r="R47" s="85">
        <f>IF($B47="","",IF($P47="Yes",IF($Q47="",$O47,$Q47),0))</f>
      </c>
      <c r="S47" s="78">
        <f>IF($B47="","",IF($P47="Yes","SETTLED",IF($M47&lt;&gt;"",IF($M47&lt;TODAY(),"WINDOW CLOSED",IF($M47-TODAY()&lt;=7,"RETURN THIS WEEK","AWAITING REFUND")),"AWAITING REFUND")))</f>
      </c>
      <c r="T47" s="80"/>
      <c r="U47" s="78">
        <f>IF($B47="",0,IF(COUNTIF('RETURNS + EXCHANGES'!$B$6:$B$65,$B47)&gt;1,1,0))</f>
      </c>
      <c r="V47" s="78">
        <f>IF($C47="",0,IF(COUNTIF('ONLINE ORDERS'!$B$6:$B$155,$C47)=0,1,0))</f>
      </c>
      <c r="W47" s="78">
        <f>IF($D47="",0,IF(COUNTIF('GIFT PLANNER'!$B$6:$B$205,$D47)=0,1,0))</f>
      </c>
      <c r="X47" s="75"/>
    </row>
    <row r="48" ht="17" customHeight="1" spans="1:24" x14ac:dyDescent="0.25">
      <c r="A48" s="75"/>
      <c r="B48" s="79"/>
      <c r="C48" s="79"/>
      <c r="D48" s="79"/>
      <c r="E48" s="79"/>
      <c r="F48" s="78">
        <f>IF($B48="","",IF($C48="",$E48,IF($C48="","",IFERROR(IF(INDEX('ONLINE ORDERS'!$C$6:$C$155,MATCH($C48,'ONLINE ORDERS'!$B$6:$B$155,0))="","",INDEX('ONLINE ORDERS'!$C$6:$C$155,MATCH($C48,'ONLINE ORDERS'!$B$6:$B$155,0))),""))))</f>
      </c>
      <c r="G48" s="78">
        <f>IF($B48="","",IF($C48="","",IFERROR(IF(INDEX('ONLINE ORDERS'!$G$6:$G$155,MATCH($C48,'ONLINE ORDERS'!$B$6:$B$155,0))="","",INDEX('ONLINE ORDERS'!$G$6:$G$155,MATCH($C48,'ONLINE ORDERS'!$B$6:$B$155,0))),"")))</f>
      </c>
      <c r="H48" s="80"/>
      <c r="I48" s="92">
        <f>IF($B48="","",IF($C48="",$H48,IF($C48="","",IFERROR(IF(INDEX('ONLINE ORDERS'!$H$6:$H$155,MATCH($C48,'ONLINE ORDERS'!$B$6:$B$155,0))="","",INDEX('ONLINE ORDERS'!$H$6:$H$155,MATCH($C48,'ONLINE ORDERS'!$B$6:$B$155,0))),""))))</f>
      </c>
      <c r="J48" s="79"/>
      <c r="K48" s="79"/>
      <c r="L48" s="82"/>
      <c r="M48" s="93">
        <f>IF($B48="","",IF($C48="","",IFERROR(IF(INDEX('ONLINE ORDERS'!$O$6:$O$155,MATCH($C48,'ONLINE ORDERS'!$B$6:$B$155,0))="","",INDEX('ONLINE ORDERS'!$O$6:$O$155,MATCH($C48,'ONLINE ORDERS'!$B$6:$B$155,0))),"")))</f>
      </c>
      <c r="N48" s="79"/>
      <c r="O48" s="86"/>
      <c r="P48" s="79"/>
      <c r="Q48" s="86"/>
      <c r="R48" s="85">
        <f>IF($B48="","",IF($P48="Yes",IF($Q48="",$O48,$Q48),0))</f>
      </c>
      <c r="S48" s="78">
        <f>IF($B48="","",IF($P48="Yes","SETTLED",IF($M48&lt;&gt;"",IF($M48&lt;TODAY(),"WINDOW CLOSED",IF($M48-TODAY()&lt;=7,"RETURN THIS WEEK","AWAITING REFUND")),"AWAITING REFUND")))</f>
      </c>
      <c r="T48" s="80"/>
      <c r="U48" s="78">
        <f>IF($B48="",0,IF(COUNTIF('RETURNS + EXCHANGES'!$B$6:$B$65,$B48)&gt;1,1,0))</f>
      </c>
      <c r="V48" s="78">
        <f>IF($C48="",0,IF(COUNTIF('ONLINE ORDERS'!$B$6:$B$155,$C48)=0,1,0))</f>
      </c>
      <c r="W48" s="78">
        <f>IF($D48="",0,IF(COUNTIF('GIFT PLANNER'!$B$6:$B$205,$D48)=0,1,0))</f>
      </c>
      <c r="X48" s="75"/>
    </row>
    <row r="49" ht="17" customHeight="1" spans="1:24" x14ac:dyDescent="0.25">
      <c r="A49" s="75"/>
      <c r="B49" s="79"/>
      <c r="C49" s="79"/>
      <c r="D49" s="79"/>
      <c r="E49" s="79"/>
      <c r="F49" s="78">
        <f>IF($B49="","",IF($C49="",$E49,IF($C49="","",IFERROR(IF(INDEX('ONLINE ORDERS'!$C$6:$C$155,MATCH($C49,'ONLINE ORDERS'!$B$6:$B$155,0))="","",INDEX('ONLINE ORDERS'!$C$6:$C$155,MATCH($C49,'ONLINE ORDERS'!$B$6:$B$155,0))),""))))</f>
      </c>
      <c r="G49" s="78">
        <f>IF($B49="","",IF($C49="","",IFERROR(IF(INDEX('ONLINE ORDERS'!$G$6:$G$155,MATCH($C49,'ONLINE ORDERS'!$B$6:$B$155,0))="","",INDEX('ONLINE ORDERS'!$G$6:$G$155,MATCH($C49,'ONLINE ORDERS'!$B$6:$B$155,0))),"")))</f>
      </c>
      <c r="H49" s="80"/>
      <c r="I49" s="92">
        <f>IF($B49="","",IF($C49="",$H49,IF($C49="","",IFERROR(IF(INDEX('ONLINE ORDERS'!$H$6:$H$155,MATCH($C49,'ONLINE ORDERS'!$B$6:$B$155,0))="","",INDEX('ONLINE ORDERS'!$H$6:$H$155,MATCH($C49,'ONLINE ORDERS'!$B$6:$B$155,0))),""))))</f>
      </c>
      <c r="J49" s="79"/>
      <c r="K49" s="79"/>
      <c r="L49" s="82"/>
      <c r="M49" s="93">
        <f>IF($B49="","",IF($C49="","",IFERROR(IF(INDEX('ONLINE ORDERS'!$O$6:$O$155,MATCH($C49,'ONLINE ORDERS'!$B$6:$B$155,0))="","",INDEX('ONLINE ORDERS'!$O$6:$O$155,MATCH($C49,'ONLINE ORDERS'!$B$6:$B$155,0))),"")))</f>
      </c>
      <c r="N49" s="79"/>
      <c r="O49" s="86"/>
      <c r="P49" s="79"/>
      <c r="Q49" s="86"/>
      <c r="R49" s="85">
        <f>IF($B49="","",IF($P49="Yes",IF($Q49="",$O49,$Q49),0))</f>
      </c>
      <c r="S49" s="78">
        <f>IF($B49="","",IF($P49="Yes","SETTLED",IF($M49&lt;&gt;"",IF($M49&lt;TODAY(),"WINDOW CLOSED",IF($M49-TODAY()&lt;=7,"RETURN THIS WEEK","AWAITING REFUND")),"AWAITING REFUND")))</f>
      </c>
      <c r="T49" s="80"/>
      <c r="U49" s="78">
        <f>IF($B49="",0,IF(COUNTIF('RETURNS + EXCHANGES'!$B$6:$B$65,$B49)&gt;1,1,0))</f>
      </c>
      <c r="V49" s="78">
        <f>IF($C49="",0,IF(COUNTIF('ONLINE ORDERS'!$B$6:$B$155,$C49)=0,1,0))</f>
      </c>
      <c r="W49" s="78">
        <f>IF($D49="",0,IF(COUNTIF('GIFT PLANNER'!$B$6:$B$205,$D49)=0,1,0))</f>
      </c>
      <c r="X49" s="75"/>
    </row>
    <row r="50" ht="17" customHeight="1" spans="1:24" x14ac:dyDescent="0.25">
      <c r="A50" s="75"/>
      <c r="B50" s="79"/>
      <c r="C50" s="79"/>
      <c r="D50" s="79"/>
      <c r="E50" s="79"/>
      <c r="F50" s="78">
        <f>IF($B50="","",IF($C50="",$E50,IF($C50="","",IFERROR(IF(INDEX('ONLINE ORDERS'!$C$6:$C$155,MATCH($C50,'ONLINE ORDERS'!$B$6:$B$155,0))="","",INDEX('ONLINE ORDERS'!$C$6:$C$155,MATCH($C50,'ONLINE ORDERS'!$B$6:$B$155,0))),""))))</f>
      </c>
      <c r="G50" s="78">
        <f>IF($B50="","",IF($C50="","",IFERROR(IF(INDEX('ONLINE ORDERS'!$G$6:$G$155,MATCH($C50,'ONLINE ORDERS'!$B$6:$B$155,0))="","",INDEX('ONLINE ORDERS'!$G$6:$G$155,MATCH($C50,'ONLINE ORDERS'!$B$6:$B$155,0))),"")))</f>
      </c>
      <c r="H50" s="80"/>
      <c r="I50" s="92">
        <f>IF($B50="","",IF($C50="",$H50,IF($C50="","",IFERROR(IF(INDEX('ONLINE ORDERS'!$H$6:$H$155,MATCH($C50,'ONLINE ORDERS'!$B$6:$B$155,0))="","",INDEX('ONLINE ORDERS'!$H$6:$H$155,MATCH($C50,'ONLINE ORDERS'!$B$6:$B$155,0))),""))))</f>
      </c>
      <c r="J50" s="79"/>
      <c r="K50" s="79"/>
      <c r="L50" s="82"/>
      <c r="M50" s="93">
        <f>IF($B50="","",IF($C50="","",IFERROR(IF(INDEX('ONLINE ORDERS'!$O$6:$O$155,MATCH($C50,'ONLINE ORDERS'!$B$6:$B$155,0))="","",INDEX('ONLINE ORDERS'!$O$6:$O$155,MATCH($C50,'ONLINE ORDERS'!$B$6:$B$155,0))),"")))</f>
      </c>
      <c r="N50" s="79"/>
      <c r="O50" s="86"/>
      <c r="P50" s="79"/>
      <c r="Q50" s="86"/>
      <c r="R50" s="85">
        <f>IF($B50="","",IF($P50="Yes",IF($Q50="",$O50,$Q50),0))</f>
      </c>
      <c r="S50" s="78">
        <f>IF($B50="","",IF($P50="Yes","SETTLED",IF($M50&lt;&gt;"",IF($M50&lt;TODAY(),"WINDOW CLOSED",IF($M50-TODAY()&lt;=7,"RETURN THIS WEEK","AWAITING REFUND")),"AWAITING REFUND")))</f>
      </c>
      <c r="T50" s="80"/>
      <c r="U50" s="78">
        <f>IF($B50="",0,IF(COUNTIF('RETURNS + EXCHANGES'!$B$6:$B$65,$B50)&gt;1,1,0))</f>
      </c>
      <c r="V50" s="78">
        <f>IF($C50="",0,IF(COUNTIF('ONLINE ORDERS'!$B$6:$B$155,$C50)=0,1,0))</f>
      </c>
      <c r="W50" s="78">
        <f>IF($D50="",0,IF(COUNTIF('GIFT PLANNER'!$B$6:$B$205,$D50)=0,1,0))</f>
      </c>
      <c r="X50" s="75"/>
    </row>
    <row r="51" ht="17" customHeight="1" spans="1:24" x14ac:dyDescent="0.25">
      <c r="A51" s="75"/>
      <c r="B51" s="79"/>
      <c r="C51" s="79"/>
      <c r="D51" s="79"/>
      <c r="E51" s="79"/>
      <c r="F51" s="78">
        <f>IF($B51="","",IF($C51="",$E51,IF($C51="","",IFERROR(IF(INDEX('ONLINE ORDERS'!$C$6:$C$155,MATCH($C51,'ONLINE ORDERS'!$B$6:$B$155,0))="","",INDEX('ONLINE ORDERS'!$C$6:$C$155,MATCH($C51,'ONLINE ORDERS'!$B$6:$B$155,0))),""))))</f>
      </c>
      <c r="G51" s="78">
        <f>IF($B51="","",IF($C51="","",IFERROR(IF(INDEX('ONLINE ORDERS'!$G$6:$G$155,MATCH($C51,'ONLINE ORDERS'!$B$6:$B$155,0))="","",INDEX('ONLINE ORDERS'!$G$6:$G$155,MATCH($C51,'ONLINE ORDERS'!$B$6:$B$155,0))),"")))</f>
      </c>
      <c r="H51" s="80"/>
      <c r="I51" s="92">
        <f>IF($B51="","",IF($C51="",$H51,IF($C51="","",IFERROR(IF(INDEX('ONLINE ORDERS'!$H$6:$H$155,MATCH($C51,'ONLINE ORDERS'!$B$6:$B$155,0))="","",INDEX('ONLINE ORDERS'!$H$6:$H$155,MATCH($C51,'ONLINE ORDERS'!$B$6:$B$155,0))),""))))</f>
      </c>
      <c r="J51" s="79"/>
      <c r="K51" s="79"/>
      <c r="L51" s="82"/>
      <c r="M51" s="93">
        <f>IF($B51="","",IF($C51="","",IFERROR(IF(INDEX('ONLINE ORDERS'!$O$6:$O$155,MATCH($C51,'ONLINE ORDERS'!$B$6:$B$155,0))="","",INDEX('ONLINE ORDERS'!$O$6:$O$155,MATCH($C51,'ONLINE ORDERS'!$B$6:$B$155,0))),"")))</f>
      </c>
      <c r="N51" s="79"/>
      <c r="O51" s="86"/>
      <c r="P51" s="79"/>
      <c r="Q51" s="86"/>
      <c r="R51" s="85">
        <f>IF($B51="","",IF($P51="Yes",IF($Q51="",$O51,$Q51),0))</f>
      </c>
      <c r="S51" s="78">
        <f>IF($B51="","",IF($P51="Yes","SETTLED",IF($M51&lt;&gt;"",IF($M51&lt;TODAY(),"WINDOW CLOSED",IF($M51-TODAY()&lt;=7,"RETURN THIS WEEK","AWAITING REFUND")),"AWAITING REFUND")))</f>
      </c>
      <c r="T51" s="80"/>
      <c r="U51" s="78">
        <f>IF($B51="",0,IF(COUNTIF('RETURNS + EXCHANGES'!$B$6:$B$65,$B51)&gt;1,1,0))</f>
      </c>
      <c r="V51" s="78">
        <f>IF($C51="",0,IF(COUNTIF('ONLINE ORDERS'!$B$6:$B$155,$C51)=0,1,0))</f>
      </c>
      <c r="W51" s="78">
        <f>IF($D51="",0,IF(COUNTIF('GIFT PLANNER'!$B$6:$B$205,$D51)=0,1,0))</f>
      </c>
      <c r="X51" s="75"/>
    </row>
    <row r="52" ht="17" customHeight="1" spans="1:24" x14ac:dyDescent="0.25">
      <c r="A52" s="75"/>
      <c r="B52" s="79"/>
      <c r="C52" s="79"/>
      <c r="D52" s="79"/>
      <c r="E52" s="79"/>
      <c r="F52" s="78">
        <f>IF($B52="","",IF($C52="",$E52,IF($C52="","",IFERROR(IF(INDEX('ONLINE ORDERS'!$C$6:$C$155,MATCH($C52,'ONLINE ORDERS'!$B$6:$B$155,0))="","",INDEX('ONLINE ORDERS'!$C$6:$C$155,MATCH($C52,'ONLINE ORDERS'!$B$6:$B$155,0))),""))))</f>
      </c>
      <c r="G52" s="78">
        <f>IF($B52="","",IF($C52="","",IFERROR(IF(INDEX('ONLINE ORDERS'!$G$6:$G$155,MATCH($C52,'ONLINE ORDERS'!$B$6:$B$155,0))="","",INDEX('ONLINE ORDERS'!$G$6:$G$155,MATCH($C52,'ONLINE ORDERS'!$B$6:$B$155,0))),"")))</f>
      </c>
      <c r="H52" s="80"/>
      <c r="I52" s="92">
        <f>IF($B52="","",IF($C52="",$H52,IF($C52="","",IFERROR(IF(INDEX('ONLINE ORDERS'!$H$6:$H$155,MATCH($C52,'ONLINE ORDERS'!$B$6:$B$155,0))="","",INDEX('ONLINE ORDERS'!$H$6:$H$155,MATCH($C52,'ONLINE ORDERS'!$B$6:$B$155,0))),""))))</f>
      </c>
      <c r="J52" s="79"/>
      <c r="K52" s="79"/>
      <c r="L52" s="82"/>
      <c r="M52" s="93">
        <f>IF($B52="","",IF($C52="","",IFERROR(IF(INDEX('ONLINE ORDERS'!$O$6:$O$155,MATCH($C52,'ONLINE ORDERS'!$B$6:$B$155,0))="","",INDEX('ONLINE ORDERS'!$O$6:$O$155,MATCH($C52,'ONLINE ORDERS'!$B$6:$B$155,0))),"")))</f>
      </c>
      <c r="N52" s="79"/>
      <c r="O52" s="86"/>
      <c r="P52" s="79"/>
      <c r="Q52" s="86"/>
      <c r="R52" s="85">
        <f>IF($B52="","",IF($P52="Yes",IF($Q52="",$O52,$Q52),0))</f>
      </c>
      <c r="S52" s="78">
        <f>IF($B52="","",IF($P52="Yes","SETTLED",IF($M52&lt;&gt;"",IF($M52&lt;TODAY(),"WINDOW CLOSED",IF($M52-TODAY()&lt;=7,"RETURN THIS WEEK","AWAITING REFUND")),"AWAITING REFUND")))</f>
      </c>
      <c r="T52" s="80"/>
      <c r="U52" s="78">
        <f>IF($B52="",0,IF(COUNTIF('RETURNS + EXCHANGES'!$B$6:$B$65,$B52)&gt;1,1,0))</f>
      </c>
      <c r="V52" s="78">
        <f>IF($C52="",0,IF(COUNTIF('ONLINE ORDERS'!$B$6:$B$155,$C52)=0,1,0))</f>
      </c>
      <c r="W52" s="78">
        <f>IF($D52="",0,IF(COUNTIF('GIFT PLANNER'!$B$6:$B$205,$D52)=0,1,0))</f>
      </c>
      <c r="X52" s="75"/>
    </row>
    <row r="53" ht="17" customHeight="1" spans="1:24" x14ac:dyDescent="0.25">
      <c r="A53" s="75"/>
      <c r="B53" s="79"/>
      <c r="C53" s="79"/>
      <c r="D53" s="79"/>
      <c r="E53" s="79"/>
      <c r="F53" s="78">
        <f>IF($B53="","",IF($C53="",$E53,IF($C53="","",IFERROR(IF(INDEX('ONLINE ORDERS'!$C$6:$C$155,MATCH($C53,'ONLINE ORDERS'!$B$6:$B$155,0))="","",INDEX('ONLINE ORDERS'!$C$6:$C$155,MATCH($C53,'ONLINE ORDERS'!$B$6:$B$155,0))),""))))</f>
      </c>
      <c r="G53" s="78">
        <f>IF($B53="","",IF($C53="","",IFERROR(IF(INDEX('ONLINE ORDERS'!$G$6:$G$155,MATCH($C53,'ONLINE ORDERS'!$B$6:$B$155,0))="","",INDEX('ONLINE ORDERS'!$G$6:$G$155,MATCH($C53,'ONLINE ORDERS'!$B$6:$B$155,0))),"")))</f>
      </c>
      <c r="H53" s="80"/>
      <c r="I53" s="92">
        <f>IF($B53="","",IF($C53="",$H53,IF($C53="","",IFERROR(IF(INDEX('ONLINE ORDERS'!$H$6:$H$155,MATCH($C53,'ONLINE ORDERS'!$B$6:$B$155,0))="","",INDEX('ONLINE ORDERS'!$H$6:$H$155,MATCH($C53,'ONLINE ORDERS'!$B$6:$B$155,0))),""))))</f>
      </c>
      <c r="J53" s="79"/>
      <c r="K53" s="79"/>
      <c r="L53" s="82"/>
      <c r="M53" s="93">
        <f>IF($B53="","",IF($C53="","",IFERROR(IF(INDEX('ONLINE ORDERS'!$O$6:$O$155,MATCH($C53,'ONLINE ORDERS'!$B$6:$B$155,0))="","",INDEX('ONLINE ORDERS'!$O$6:$O$155,MATCH($C53,'ONLINE ORDERS'!$B$6:$B$155,0))),"")))</f>
      </c>
      <c r="N53" s="79"/>
      <c r="O53" s="86"/>
      <c r="P53" s="79"/>
      <c r="Q53" s="86"/>
      <c r="R53" s="85">
        <f>IF($B53="","",IF($P53="Yes",IF($Q53="",$O53,$Q53),0))</f>
      </c>
      <c r="S53" s="78">
        <f>IF($B53="","",IF($P53="Yes","SETTLED",IF($M53&lt;&gt;"",IF($M53&lt;TODAY(),"WINDOW CLOSED",IF($M53-TODAY()&lt;=7,"RETURN THIS WEEK","AWAITING REFUND")),"AWAITING REFUND")))</f>
      </c>
      <c r="T53" s="80"/>
      <c r="U53" s="78">
        <f>IF($B53="",0,IF(COUNTIF('RETURNS + EXCHANGES'!$B$6:$B$65,$B53)&gt;1,1,0))</f>
      </c>
      <c r="V53" s="78">
        <f>IF($C53="",0,IF(COUNTIF('ONLINE ORDERS'!$B$6:$B$155,$C53)=0,1,0))</f>
      </c>
      <c r="W53" s="78">
        <f>IF($D53="",0,IF(COUNTIF('GIFT PLANNER'!$B$6:$B$205,$D53)=0,1,0))</f>
      </c>
      <c r="X53" s="75"/>
    </row>
    <row r="54" ht="17" customHeight="1" spans="1:24" x14ac:dyDescent="0.25">
      <c r="A54" s="75"/>
      <c r="B54" s="79"/>
      <c r="C54" s="79"/>
      <c r="D54" s="79"/>
      <c r="E54" s="79"/>
      <c r="F54" s="78">
        <f>IF($B54="","",IF($C54="",$E54,IF($C54="","",IFERROR(IF(INDEX('ONLINE ORDERS'!$C$6:$C$155,MATCH($C54,'ONLINE ORDERS'!$B$6:$B$155,0))="","",INDEX('ONLINE ORDERS'!$C$6:$C$155,MATCH($C54,'ONLINE ORDERS'!$B$6:$B$155,0))),""))))</f>
      </c>
      <c r="G54" s="78">
        <f>IF($B54="","",IF($C54="","",IFERROR(IF(INDEX('ONLINE ORDERS'!$G$6:$G$155,MATCH($C54,'ONLINE ORDERS'!$B$6:$B$155,0))="","",INDEX('ONLINE ORDERS'!$G$6:$G$155,MATCH($C54,'ONLINE ORDERS'!$B$6:$B$155,0))),"")))</f>
      </c>
      <c r="H54" s="80"/>
      <c r="I54" s="92">
        <f>IF($B54="","",IF($C54="",$H54,IF($C54="","",IFERROR(IF(INDEX('ONLINE ORDERS'!$H$6:$H$155,MATCH($C54,'ONLINE ORDERS'!$B$6:$B$155,0))="","",INDEX('ONLINE ORDERS'!$H$6:$H$155,MATCH($C54,'ONLINE ORDERS'!$B$6:$B$155,0))),""))))</f>
      </c>
      <c r="J54" s="79"/>
      <c r="K54" s="79"/>
      <c r="L54" s="82"/>
      <c r="M54" s="93">
        <f>IF($B54="","",IF($C54="","",IFERROR(IF(INDEX('ONLINE ORDERS'!$O$6:$O$155,MATCH($C54,'ONLINE ORDERS'!$B$6:$B$155,0))="","",INDEX('ONLINE ORDERS'!$O$6:$O$155,MATCH($C54,'ONLINE ORDERS'!$B$6:$B$155,0))),"")))</f>
      </c>
      <c r="N54" s="79"/>
      <c r="O54" s="86"/>
      <c r="P54" s="79"/>
      <c r="Q54" s="86"/>
      <c r="R54" s="85">
        <f>IF($B54="","",IF($P54="Yes",IF($Q54="",$O54,$Q54),0))</f>
      </c>
      <c r="S54" s="78">
        <f>IF($B54="","",IF($P54="Yes","SETTLED",IF($M54&lt;&gt;"",IF($M54&lt;TODAY(),"WINDOW CLOSED",IF($M54-TODAY()&lt;=7,"RETURN THIS WEEK","AWAITING REFUND")),"AWAITING REFUND")))</f>
      </c>
      <c r="T54" s="80"/>
      <c r="U54" s="78">
        <f>IF($B54="",0,IF(COUNTIF('RETURNS + EXCHANGES'!$B$6:$B$65,$B54)&gt;1,1,0))</f>
      </c>
      <c r="V54" s="78">
        <f>IF($C54="",0,IF(COUNTIF('ONLINE ORDERS'!$B$6:$B$155,$C54)=0,1,0))</f>
      </c>
      <c r="W54" s="78">
        <f>IF($D54="",0,IF(COUNTIF('GIFT PLANNER'!$B$6:$B$205,$D54)=0,1,0))</f>
      </c>
      <c r="X54" s="75"/>
    </row>
    <row r="55" ht="17" customHeight="1" spans="1:24" x14ac:dyDescent="0.25">
      <c r="A55" s="75"/>
      <c r="B55" s="79"/>
      <c r="C55" s="79"/>
      <c r="D55" s="79"/>
      <c r="E55" s="79"/>
      <c r="F55" s="78">
        <f>IF($B55="","",IF($C55="",$E55,IF($C55="","",IFERROR(IF(INDEX('ONLINE ORDERS'!$C$6:$C$155,MATCH($C55,'ONLINE ORDERS'!$B$6:$B$155,0))="","",INDEX('ONLINE ORDERS'!$C$6:$C$155,MATCH($C55,'ONLINE ORDERS'!$B$6:$B$155,0))),""))))</f>
      </c>
      <c r="G55" s="78">
        <f>IF($B55="","",IF($C55="","",IFERROR(IF(INDEX('ONLINE ORDERS'!$G$6:$G$155,MATCH($C55,'ONLINE ORDERS'!$B$6:$B$155,0))="","",INDEX('ONLINE ORDERS'!$G$6:$G$155,MATCH($C55,'ONLINE ORDERS'!$B$6:$B$155,0))),"")))</f>
      </c>
      <c r="H55" s="80"/>
      <c r="I55" s="92">
        <f>IF($B55="","",IF($C55="",$H55,IF($C55="","",IFERROR(IF(INDEX('ONLINE ORDERS'!$H$6:$H$155,MATCH($C55,'ONLINE ORDERS'!$B$6:$B$155,0))="","",INDEX('ONLINE ORDERS'!$H$6:$H$155,MATCH($C55,'ONLINE ORDERS'!$B$6:$B$155,0))),""))))</f>
      </c>
      <c r="J55" s="79"/>
      <c r="K55" s="79"/>
      <c r="L55" s="82"/>
      <c r="M55" s="93">
        <f>IF($B55="","",IF($C55="","",IFERROR(IF(INDEX('ONLINE ORDERS'!$O$6:$O$155,MATCH($C55,'ONLINE ORDERS'!$B$6:$B$155,0))="","",INDEX('ONLINE ORDERS'!$O$6:$O$155,MATCH($C55,'ONLINE ORDERS'!$B$6:$B$155,0))),"")))</f>
      </c>
      <c r="N55" s="79"/>
      <c r="O55" s="86"/>
      <c r="P55" s="79"/>
      <c r="Q55" s="86"/>
      <c r="R55" s="85">
        <f>IF($B55="","",IF($P55="Yes",IF($Q55="",$O55,$Q55),0))</f>
      </c>
      <c r="S55" s="78">
        <f>IF($B55="","",IF($P55="Yes","SETTLED",IF($M55&lt;&gt;"",IF($M55&lt;TODAY(),"WINDOW CLOSED",IF($M55-TODAY()&lt;=7,"RETURN THIS WEEK","AWAITING REFUND")),"AWAITING REFUND")))</f>
      </c>
      <c r="T55" s="80"/>
      <c r="U55" s="78">
        <f>IF($B55="",0,IF(COUNTIF('RETURNS + EXCHANGES'!$B$6:$B$65,$B55)&gt;1,1,0))</f>
      </c>
      <c r="V55" s="78">
        <f>IF($C55="",0,IF(COUNTIF('ONLINE ORDERS'!$B$6:$B$155,$C55)=0,1,0))</f>
      </c>
      <c r="W55" s="78">
        <f>IF($D55="",0,IF(COUNTIF('GIFT PLANNER'!$B$6:$B$205,$D55)=0,1,0))</f>
      </c>
      <c r="X55" s="75"/>
    </row>
    <row r="56" ht="17" customHeight="1" spans="1:24" x14ac:dyDescent="0.25">
      <c r="A56" s="75"/>
      <c r="B56" s="79"/>
      <c r="C56" s="79"/>
      <c r="D56" s="79"/>
      <c r="E56" s="79"/>
      <c r="F56" s="78">
        <f>IF($B56="","",IF($C56="",$E56,IF($C56="","",IFERROR(IF(INDEX('ONLINE ORDERS'!$C$6:$C$155,MATCH($C56,'ONLINE ORDERS'!$B$6:$B$155,0))="","",INDEX('ONLINE ORDERS'!$C$6:$C$155,MATCH($C56,'ONLINE ORDERS'!$B$6:$B$155,0))),""))))</f>
      </c>
      <c r="G56" s="78">
        <f>IF($B56="","",IF($C56="","",IFERROR(IF(INDEX('ONLINE ORDERS'!$G$6:$G$155,MATCH($C56,'ONLINE ORDERS'!$B$6:$B$155,0))="","",INDEX('ONLINE ORDERS'!$G$6:$G$155,MATCH($C56,'ONLINE ORDERS'!$B$6:$B$155,0))),"")))</f>
      </c>
      <c r="H56" s="80"/>
      <c r="I56" s="92">
        <f>IF($B56="","",IF($C56="",$H56,IF($C56="","",IFERROR(IF(INDEX('ONLINE ORDERS'!$H$6:$H$155,MATCH($C56,'ONLINE ORDERS'!$B$6:$B$155,0))="","",INDEX('ONLINE ORDERS'!$H$6:$H$155,MATCH($C56,'ONLINE ORDERS'!$B$6:$B$155,0))),""))))</f>
      </c>
      <c r="J56" s="79"/>
      <c r="K56" s="79"/>
      <c r="L56" s="82"/>
      <c r="M56" s="93">
        <f>IF($B56="","",IF($C56="","",IFERROR(IF(INDEX('ONLINE ORDERS'!$O$6:$O$155,MATCH($C56,'ONLINE ORDERS'!$B$6:$B$155,0))="","",INDEX('ONLINE ORDERS'!$O$6:$O$155,MATCH($C56,'ONLINE ORDERS'!$B$6:$B$155,0))),"")))</f>
      </c>
      <c r="N56" s="79"/>
      <c r="O56" s="86"/>
      <c r="P56" s="79"/>
      <c r="Q56" s="86"/>
      <c r="R56" s="85">
        <f>IF($B56="","",IF($P56="Yes",IF($Q56="",$O56,$Q56),0))</f>
      </c>
      <c r="S56" s="78">
        <f>IF($B56="","",IF($P56="Yes","SETTLED",IF($M56&lt;&gt;"",IF($M56&lt;TODAY(),"WINDOW CLOSED",IF($M56-TODAY()&lt;=7,"RETURN THIS WEEK","AWAITING REFUND")),"AWAITING REFUND")))</f>
      </c>
      <c r="T56" s="80"/>
      <c r="U56" s="78">
        <f>IF($B56="",0,IF(COUNTIF('RETURNS + EXCHANGES'!$B$6:$B$65,$B56)&gt;1,1,0))</f>
      </c>
      <c r="V56" s="78">
        <f>IF($C56="",0,IF(COUNTIF('ONLINE ORDERS'!$B$6:$B$155,$C56)=0,1,0))</f>
      </c>
      <c r="W56" s="78">
        <f>IF($D56="",0,IF(COUNTIF('GIFT PLANNER'!$B$6:$B$205,$D56)=0,1,0))</f>
      </c>
      <c r="X56" s="75"/>
    </row>
    <row r="57" ht="17" customHeight="1" spans="1:24" x14ac:dyDescent="0.25">
      <c r="A57" s="75"/>
      <c r="B57" s="79"/>
      <c r="C57" s="79"/>
      <c r="D57" s="79"/>
      <c r="E57" s="79"/>
      <c r="F57" s="78">
        <f>IF($B57="","",IF($C57="",$E57,IF($C57="","",IFERROR(IF(INDEX('ONLINE ORDERS'!$C$6:$C$155,MATCH($C57,'ONLINE ORDERS'!$B$6:$B$155,0))="","",INDEX('ONLINE ORDERS'!$C$6:$C$155,MATCH($C57,'ONLINE ORDERS'!$B$6:$B$155,0))),""))))</f>
      </c>
      <c r="G57" s="78">
        <f>IF($B57="","",IF($C57="","",IFERROR(IF(INDEX('ONLINE ORDERS'!$G$6:$G$155,MATCH($C57,'ONLINE ORDERS'!$B$6:$B$155,0))="","",INDEX('ONLINE ORDERS'!$G$6:$G$155,MATCH($C57,'ONLINE ORDERS'!$B$6:$B$155,0))),"")))</f>
      </c>
      <c r="H57" s="80"/>
      <c r="I57" s="92">
        <f>IF($B57="","",IF($C57="",$H57,IF($C57="","",IFERROR(IF(INDEX('ONLINE ORDERS'!$H$6:$H$155,MATCH($C57,'ONLINE ORDERS'!$B$6:$B$155,0))="","",INDEX('ONLINE ORDERS'!$H$6:$H$155,MATCH($C57,'ONLINE ORDERS'!$B$6:$B$155,0))),""))))</f>
      </c>
      <c r="J57" s="79"/>
      <c r="K57" s="79"/>
      <c r="L57" s="82"/>
      <c r="M57" s="93">
        <f>IF($B57="","",IF($C57="","",IFERROR(IF(INDEX('ONLINE ORDERS'!$O$6:$O$155,MATCH($C57,'ONLINE ORDERS'!$B$6:$B$155,0))="","",INDEX('ONLINE ORDERS'!$O$6:$O$155,MATCH($C57,'ONLINE ORDERS'!$B$6:$B$155,0))),"")))</f>
      </c>
      <c r="N57" s="79"/>
      <c r="O57" s="86"/>
      <c r="P57" s="79"/>
      <c r="Q57" s="86"/>
      <c r="R57" s="85">
        <f>IF($B57="","",IF($P57="Yes",IF($Q57="",$O57,$Q57),0))</f>
      </c>
      <c r="S57" s="78">
        <f>IF($B57="","",IF($P57="Yes","SETTLED",IF($M57&lt;&gt;"",IF($M57&lt;TODAY(),"WINDOW CLOSED",IF($M57-TODAY()&lt;=7,"RETURN THIS WEEK","AWAITING REFUND")),"AWAITING REFUND")))</f>
      </c>
      <c r="T57" s="80"/>
      <c r="U57" s="78">
        <f>IF($B57="",0,IF(COUNTIF('RETURNS + EXCHANGES'!$B$6:$B$65,$B57)&gt;1,1,0))</f>
      </c>
      <c r="V57" s="78">
        <f>IF($C57="",0,IF(COUNTIF('ONLINE ORDERS'!$B$6:$B$155,$C57)=0,1,0))</f>
      </c>
      <c r="W57" s="78">
        <f>IF($D57="",0,IF(COUNTIF('GIFT PLANNER'!$B$6:$B$205,$D57)=0,1,0))</f>
      </c>
      <c r="X57" s="75"/>
    </row>
    <row r="58" ht="17" customHeight="1" spans="1:24" x14ac:dyDescent="0.25">
      <c r="A58" s="75"/>
      <c r="B58" s="79"/>
      <c r="C58" s="79"/>
      <c r="D58" s="79"/>
      <c r="E58" s="79"/>
      <c r="F58" s="78">
        <f>IF($B58="","",IF($C58="",$E58,IF($C58="","",IFERROR(IF(INDEX('ONLINE ORDERS'!$C$6:$C$155,MATCH($C58,'ONLINE ORDERS'!$B$6:$B$155,0))="","",INDEX('ONLINE ORDERS'!$C$6:$C$155,MATCH($C58,'ONLINE ORDERS'!$B$6:$B$155,0))),""))))</f>
      </c>
      <c r="G58" s="78">
        <f>IF($B58="","",IF($C58="","",IFERROR(IF(INDEX('ONLINE ORDERS'!$G$6:$G$155,MATCH($C58,'ONLINE ORDERS'!$B$6:$B$155,0))="","",INDEX('ONLINE ORDERS'!$G$6:$G$155,MATCH($C58,'ONLINE ORDERS'!$B$6:$B$155,0))),"")))</f>
      </c>
      <c r="H58" s="80"/>
      <c r="I58" s="92">
        <f>IF($B58="","",IF($C58="",$H58,IF($C58="","",IFERROR(IF(INDEX('ONLINE ORDERS'!$H$6:$H$155,MATCH($C58,'ONLINE ORDERS'!$B$6:$B$155,0))="","",INDEX('ONLINE ORDERS'!$H$6:$H$155,MATCH($C58,'ONLINE ORDERS'!$B$6:$B$155,0))),""))))</f>
      </c>
      <c r="J58" s="79"/>
      <c r="K58" s="79"/>
      <c r="L58" s="82"/>
      <c r="M58" s="93">
        <f>IF($B58="","",IF($C58="","",IFERROR(IF(INDEX('ONLINE ORDERS'!$O$6:$O$155,MATCH($C58,'ONLINE ORDERS'!$B$6:$B$155,0))="","",INDEX('ONLINE ORDERS'!$O$6:$O$155,MATCH($C58,'ONLINE ORDERS'!$B$6:$B$155,0))),"")))</f>
      </c>
      <c r="N58" s="79"/>
      <c r="O58" s="86"/>
      <c r="P58" s="79"/>
      <c r="Q58" s="86"/>
      <c r="R58" s="85">
        <f>IF($B58="","",IF($P58="Yes",IF($Q58="",$O58,$Q58),0))</f>
      </c>
      <c r="S58" s="78">
        <f>IF($B58="","",IF($P58="Yes","SETTLED",IF($M58&lt;&gt;"",IF($M58&lt;TODAY(),"WINDOW CLOSED",IF($M58-TODAY()&lt;=7,"RETURN THIS WEEK","AWAITING REFUND")),"AWAITING REFUND")))</f>
      </c>
      <c r="T58" s="80"/>
      <c r="U58" s="78">
        <f>IF($B58="",0,IF(COUNTIF('RETURNS + EXCHANGES'!$B$6:$B$65,$B58)&gt;1,1,0))</f>
      </c>
      <c r="V58" s="78">
        <f>IF($C58="",0,IF(COUNTIF('ONLINE ORDERS'!$B$6:$B$155,$C58)=0,1,0))</f>
      </c>
      <c r="W58" s="78">
        <f>IF($D58="",0,IF(COUNTIF('GIFT PLANNER'!$B$6:$B$205,$D58)=0,1,0))</f>
      </c>
      <c r="X58" s="75"/>
    </row>
    <row r="59" ht="17" customHeight="1" spans="1:24" x14ac:dyDescent="0.25">
      <c r="A59" s="75"/>
      <c r="B59" s="79"/>
      <c r="C59" s="79"/>
      <c r="D59" s="79"/>
      <c r="E59" s="79"/>
      <c r="F59" s="78">
        <f>IF($B59="","",IF($C59="",$E59,IF($C59="","",IFERROR(IF(INDEX('ONLINE ORDERS'!$C$6:$C$155,MATCH($C59,'ONLINE ORDERS'!$B$6:$B$155,0))="","",INDEX('ONLINE ORDERS'!$C$6:$C$155,MATCH($C59,'ONLINE ORDERS'!$B$6:$B$155,0))),""))))</f>
      </c>
      <c r="G59" s="78">
        <f>IF($B59="","",IF($C59="","",IFERROR(IF(INDEX('ONLINE ORDERS'!$G$6:$G$155,MATCH($C59,'ONLINE ORDERS'!$B$6:$B$155,0))="","",INDEX('ONLINE ORDERS'!$G$6:$G$155,MATCH($C59,'ONLINE ORDERS'!$B$6:$B$155,0))),"")))</f>
      </c>
      <c r="H59" s="80"/>
      <c r="I59" s="92">
        <f>IF($B59="","",IF($C59="",$H59,IF($C59="","",IFERROR(IF(INDEX('ONLINE ORDERS'!$H$6:$H$155,MATCH($C59,'ONLINE ORDERS'!$B$6:$B$155,0))="","",INDEX('ONLINE ORDERS'!$H$6:$H$155,MATCH($C59,'ONLINE ORDERS'!$B$6:$B$155,0))),""))))</f>
      </c>
      <c r="J59" s="79"/>
      <c r="K59" s="79"/>
      <c r="L59" s="82"/>
      <c r="M59" s="93">
        <f>IF($B59="","",IF($C59="","",IFERROR(IF(INDEX('ONLINE ORDERS'!$O$6:$O$155,MATCH($C59,'ONLINE ORDERS'!$B$6:$B$155,0))="","",INDEX('ONLINE ORDERS'!$O$6:$O$155,MATCH($C59,'ONLINE ORDERS'!$B$6:$B$155,0))),"")))</f>
      </c>
      <c r="N59" s="79"/>
      <c r="O59" s="86"/>
      <c r="P59" s="79"/>
      <c r="Q59" s="86"/>
      <c r="R59" s="85">
        <f>IF($B59="","",IF($P59="Yes",IF($Q59="",$O59,$Q59),0))</f>
      </c>
      <c r="S59" s="78">
        <f>IF($B59="","",IF($P59="Yes","SETTLED",IF($M59&lt;&gt;"",IF($M59&lt;TODAY(),"WINDOW CLOSED",IF($M59-TODAY()&lt;=7,"RETURN THIS WEEK","AWAITING REFUND")),"AWAITING REFUND")))</f>
      </c>
      <c r="T59" s="80"/>
      <c r="U59" s="78">
        <f>IF($B59="",0,IF(COUNTIF('RETURNS + EXCHANGES'!$B$6:$B$65,$B59)&gt;1,1,0))</f>
      </c>
      <c r="V59" s="78">
        <f>IF($C59="",0,IF(COUNTIF('ONLINE ORDERS'!$B$6:$B$155,$C59)=0,1,0))</f>
      </c>
      <c r="W59" s="78">
        <f>IF($D59="",0,IF(COUNTIF('GIFT PLANNER'!$B$6:$B$205,$D59)=0,1,0))</f>
      </c>
      <c r="X59" s="75"/>
    </row>
    <row r="60" ht="17" customHeight="1" spans="1:24" x14ac:dyDescent="0.25">
      <c r="A60" s="75"/>
      <c r="B60" s="79"/>
      <c r="C60" s="79"/>
      <c r="D60" s="79"/>
      <c r="E60" s="79"/>
      <c r="F60" s="78">
        <f>IF($B60="","",IF($C60="",$E60,IF($C60="","",IFERROR(IF(INDEX('ONLINE ORDERS'!$C$6:$C$155,MATCH($C60,'ONLINE ORDERS'!$B$6:$B$155,0))="","",INDEX('ONLINE ORDERS'!$C$6:$C$155,MATCH($C60,'ONLINE ORDERS'!$B$6:$B$155,0))),""))))</f>
      </c>
      <c r="G60" s="78">
        <f>IF($B60="","",IF($C60="","",IFERROR(IF(INDEX('ONLINE ORDERS'!$G$6:$G$155,MATCH($C60,'ONLINE ORDERS'!$B$6:$B$155,0))="","",INDEX('ONLINE ORDERS'!$G$6:$G$155,MATCH($C60,'ONLINE ORDERS'!$B$6:$B$155,0))),"")))</f>
      </c>
      <c r="H60" s="80"/>
      <c r="I60" s="92">
        <f>IF($B60="","",IF($C60="",$H60,IF($C60="","",IFERROR(IF(INDEX('ONLINE ORDERS'!$H$6:$H$155,MATCH($C60,'ONLINE ORDERS'!$B$6:$B$155,0))="","",INDEX('ONLINE ORDERS'!$H$6:$H$155,MATCH($C60,'ONLINE ORDERS'!$B$6:$B$155,0))),""))))</f>
      </c>
      <c r="J60" s="79"/>
      <c r="K60" s="79"/>
      <c r="L60" s="82"/>
      <c r="M60" s="93">
        <f>IF($B60="","",IF($C60="","",IFERROR(IF(INDEX('ONLINE ORDERS'!$O$6:$O$155,MATCH($C60,'ONLINE ORDERS'!$B$6:$B$155,0))="","",INDEX('ONLINE ORDERS'!$O$6:$O$155,MATCH($C60,'ONLINE ORDERS'!$B$6:$B$155,0))),"")))</f>
      </c>
      <c r="N60" s="79"/>
      <c r="O60" s="86"/>
      <c r="P60" s="79"/>
      <c r="Q60" s="86"/>
      <c r="R60" s="85">
        <f>IF($B60="","",IF($P60="Yes",IF($Q60="",$O60,$Q60),0))</f>
      </c>
      <c r="S60" s="78">
        <f>IF($B60="","",IF($P60="Yes","SETTLED",IF($M60&lt;&gt;"",IF($M60&lt;TODAY(),"WINDOW CLOSED",IF($M60-TODAY()&lt;=7,"RETURN THIS WEEK","AWAITING REFUND")),"AWAITING REFUND")))</f>
      </c>
      <c r="T60" s="80"/>
      <c r="U60" s="78">
        <f>IF($B60="",0,IF(COUNTIF('RETURNS + EXCHANGES'!$B$6:$B$65,$B60)&gt;1,1,0))</f>
      </c>
      <c r="V60" s="78">
        <f>IF($C60="",0,IF(COUNTIF('ONLINE ORDERS'!$B$6:$B$155,$C60)=0,1,0))</f>
      </c>
      <c r="W60" s="78">
        <f>IF($D60="",0,IF(COUNTIF('GIFT PLANNER'!$B$6:$B$205,$D60)=0,1,0))</f>
      </c>
      <c r="X60" s="75"/>
    </row>
    <row r="61" ht="17" customHeight="1" spans="1:24" x14ac:dyDescent="0.25">
      <c r="A61" s="75"/>
      <c r="B61" s="79"/>
      <c r="C61" s="79"/>
      <c r="D61" s="79"/>
      <c r="E61" s="79"/>
      <c r="F61" s="78">
        <f>IF($B61="","",IF($C61="",$E61,IF($C61="","",IFERROR(IF(INDEX('ONLINE ORDERS'!$C$6:$C$155,MATCH($C61,'ONLINE ORDERS'!$B$6:$B$155,0))="","",INDEX('ONLINE ORDERS'!$C$6:$C$155,MATCH($C61,'ONLINE ORDERS'!$B$6:$B$155,0))),""))))</f>
      </c>
      <c r="G61" s="78">
        <f>IF($B61="","",IF($C61="","",IFERROR(IF(INDEX('ONLINE ORDERS'!$G$6:$G$155,MATCH($C61,'ONLINE ORDERS'!$B$6:$B$155,0))="","",INDEX('ONLINE ORDERS'!$G$6:$G$155,MATCH($C61,'ONLINE ORDERS'!$B$6:$B$155,0))),"")))</f>
      </c>
      <c r="H61" s="80"/>
      <c r="I61" s="92">
        <f>IF($B61="","",IF($C61="",$H61,IF($C61="","",IFERROR(IF(INDEX('ONLINE ORDERS'!$H$6:$H$155,MATCH($C61,'ONLINE ORDERS'!$B$6:$B$155,0))="","",INDEX('ONLINE ORDERS'!$H$6:$H$155,MATCH($C61,'ONLINE ORDERS'!$B$6:$B$155,0))),""))))</f>
      </c>
      <c r="J61" s="79"/>
      <c r="K61" s="79"/>
      <c r="L61" s="82"/>
      <c r="M61" s="93">
        <f>IF($B61="","",IF($C61="","",IFERROR(IF(INDEX('ONLINE ORDERS'!$O$6:$O$155,MATCH($C61,'ONLINE ORDERS'!$B$6:$B$155,0))="","",INDEX('ONLINE ORDERS'!$O$6:$O$155,MATCH($C61,'ONLINE ORDERS'!$B$6:$B$155,0))),"")))</f>
      </c>
      <c r="N61" s="79"/>
      <c r="O61" s="86"/>
      <c r="P61" s="79"/>
      <c r="Q61" s="86"/>
      <c r="R61" s="85">
        <f>IF($B61="","",IF($P61="Yes",IF($Q61="",$O61,$Q61),0))</f>
      </c>
      <c r="S61" s="78">
        <f>IF($B61="","",IF($P61="Yes","SETTLED",IF($M61&lt;&gt;"",IF($M61&lt;TODAY(),"WINDOW CLOSED",IF($M61-TODAY()&lt;=7,"RETURN THIS WEEK","AWAITING REFUND")),"AWAITING REFUND")))</f>
      </c>
      <c r="T61" s="80"/>
      <c r="U61" s="78">
        <f>IF($B61="",0,IF(COUNTIF('RETURNS + EXCHANGES'!$B$6:$B$65,$B61)&gt;1,1,0))</f>
      </c>
      <c r="V61" s="78">
        <f>IF($C61="",0,IF(COUNTIF('ONLINE ORDERS'!$B$6:$B$155,$C61)=0,1,0))</f>
      </c>
      <c r="W61" s="78">
        <f>IF($D61="",0,IF(COUNTIF('GIFT PLANNER'!$B$6:$B$205,$D61)=0,1,0))</f>
      </c>
      <c r="X61" s="75"/>
    </row>
    <row r="62" ht="17" customHeight="1" spans="1:24" x14ac:dyDescent="0.25">
      <c r="A62" s="75"/>
      <c r="B62" s="79"/>
      <c r="C62" s="79"/>
      <c r="D62" s="79"/>
      <c r="E62" s="79"/>
      <c r="F62" s="78">
        <f>IF($B62="","",IF($C62="",$E62,IF($C62="","",IFERROR(IF(INDEX('ONLINE ORDERS'!$C$6:$C$155,MATCH($C62,'ONLINE ORDERS'!$B$6:$B$155,0))="","",INDEX('ONLINE ORDERS'!$C$6:$C$155,MATCH($C62,'ONLINE ORDERS'!$B$6:$B$155,0))),""))))</f>
      </c>
      <c r="G62" s="78">
        <f>IF($B62="","",IF($C62="","",IFERROR(IF(INDEX('ONLINE ORDERS'!$G$6:$G$155,MATCH($C62,'ONLINE ORDERS'!$B$6:$B$155,0))="","",INDEX('ONLINE ORDERS'!$G$6:$G$155,MATCH($C62,'ONLINE ORDERS'!$B$6:$B$155,0))),"")))</f>
      </c>
      <c r="H62" s="80"/>
      <c r="I62" s="92">
        <f>IF($B62="","",IF($C62="",$H62,IF($C62="","",IFERROR(IF(INDEX('ONLINE ORDERS'!$H$6:$H$155,MATCH($C62,'ONLINE ORDERS'!$B$6:$B$155,0))="","",INDEX('ONLINE ORDERS'!$H$6:$H$155,MATCH($C62,'ONLINE ORDERS'!$B$6:$B$155,0))),""))))</f>
      </c>
      <c r="J62" s="79"/>
      <c r="K62" s="79"/>
      <c r="L62" s="82"/>
      <c r="M62" s="93">
        <f>IF($B62="","",IF($C62="","",IFERROR(IF(INDEX('ONLINE ORDERS'!$O$6:$O$155,MATCH($C62,'ONLINE ORDERS'!$B$6:$B$155,0))="","",INDEX('ONLINE ORDERS'!$O$6:$O$155,MATCH($C62,'ONLINE ORDERS'!$B$6:$B$155,0))),"")))</f>
      </c>
      <c r="N62" s="79"/>
      <c r="O62" s="86"/>
      <c r="P62" s="79"/>
      <c r="Q62" s="86"/>
      <c r="R62" s="85">
        <f>IF($B62="","",IF($P62="Yes",IF($Q62="",$O62,$Q62),0))</f>
      </c>
      <c r="S62" s="78">
        <f>IF($B62="","",IF($P62="Yes","SETTLED",IF($M62&lt;&gt;"",IF($M62&lt;TODAY(),"WINDOW CLOSED",IF($M62-TODAY()&lt;=7,"RETURN THIS WEEK","AWAITING REFUND")),"AWAITING REFUND")))</f>
      </c>
      <c r="T62" s="80"/>
      <c r="U62" s="78">
        <f>IF($B62="",0,IF(COUNTIF('RETURNS + EXCHANGES'!$B$6:$B$65,$B62)&gt;1,1,0))</f>
      </c>
      <c r="V62" s="78">
        <f>IF($C62="",0,IF(COUNTIF('ONLINE ORDERS'!$B$6:$B$155,$C62)=0,1,0))</f>
      </c>
      <c r="W62" s="78">
        <f>IF($D62="",0,IF(COUNTIF('GIFT PLANNER'!$B$6:$B$205,$D62)=0,1,0))</f>
      </c>
      <c r="X62" s="75"/>
    </row>
    <row r="63" ht="17" customHeight="1" spans="1:24" x14ac:dyDescent="0.25">
      <c r="A63" s="75"/>
      <c r="B63" s="79"/>
      <c r="C63" s="79"/>
      <c r="D63" s="79"/>
      <c r="E63" s="79"/>
      <c r="F63" s="78">
        <f>IF($B63="","",IF($C63="",$E63,IF($C63="","",IFERROR(IF(INDEX('ONLINE ORDERS'!$C$6:$C$155,MATCH($C63,'ONLINE ORDERS'!$B$6:$B$155,0))="","",INDEX('ONLINE ORDERS'!$C$6:$C$155,MATCH($C63,'ONLINE ORDERS'!$B$6:$B$155,0))),""))))</f>
      </c>
      <c r="G63" s="78">
        <f>IF($B63="","",IF($C63="","",IFERROR(IF(INDEX('ONLINE ORDERS'!$G$6:$G$155,MATCH($C63,'ONLINE ORDERS'!$B$6:$B$155,0))="","",INDEX('ONLINE ORDERS'!$G$6:$G$155,MATCH($C63,'ONLINE ORDERS'!$B$6:$B$155,0))),"")))</f>
      </c>
      <c r="H63" s="80"/>
      <c r="I63" s="92">
        <f>IF($B63="","",IF($C63="",$H63,IF($C63="","",IFERROR(IF(INDEX('ONLINE ORDERS'!$H$6:$H$155,MATCH($C63,'ONLINE ORDERS'!$B$6:$B$155,0))="","",INDEX('ONLINE ORDERS'!$H$6:$H$155,MATCH($C63,'ONLINE ORDERS'!$B$6:$B$155,0))),""))))</f>
      </c>
      <c r="J63" s="79"/>
      <c r="K63" s="79"/>
      <c r="L63" s="82"/>
      <c r="M63" s="93">
        <f>IF($B63="","",IF($C63="","",IFERROR(IF(INDEX('ONLINE ORDERS'!$O$6:$O$155,MATCH($C63,'ONLINE ORDERS'!$B$6:$B$155,0))="","",INDEX('ONLINE ORDERS'!$O$6:$O$155,MATCH($C63,'ONLINE ORDERS'!$B$6:$B$155,0))),"")))</f>
      </c>
      <c r="N63" s="79"/>
      <c r="O63" s="86"/>
      <c r="P63" s="79"/>
      <c r="Q63" s="86"/>
      <c r="R63" s="85">
        <f>IF($B63="","",IF($P63="Yes",IF($Q63="",$O63,$Q63),0))</f>
      </c>
      <c r="S63" s="78">
        <f>IF($B63="","",IF($P63="Yes","SETTLED",IF($M63&lt;&gt;"",IF($M63&lt;TODAY(),"WINDOW CLOSED",IF($M63-TODAY()&lt;=7,"RETURN THIS WEEK","AWAITING REFUND")),"AWAITING REFUND")))</f>
      </c>
      <c r="T63" s="80"/>
      <c r="U63" s="78">
        <f>IF($B63="",0,IF(COUNTIF('RETURNS + EXCHANGES'!$B$6:$B$65,$B63)&gt;1,1,0))</f>
      </c>
      <c r="V63" s="78">
        <f>IF($C63="",0,IF(COUNTIF('ONLINE ORDERS'!$B$6:$B$155,$C63)=0,1,0))</f>
      </c>
      <c r="W63" s="78">
        <f>IF($D63="",0,IF(COUNTIF('GIFT PLANNER'!$B$6:$B$205,$D63)=0,1,0))</f>
      </c>
      <c r="X63" s="75"/>
    </row>
    <row r="64" ht="17" customHeight="1" spans="1:24" x14ac:dyDescent="0.25">
      <c r="A64" s="75"/>
      <c r="B64" s="79"/>
      <c r="C64" s="79"/>
      <c r="D64" s="79"/>
      <c r="E64" s="79"/>
      <c r="F64" s="78">
        <f>IF($B64="","",IF($C64="",$E64,IF($C64="","",IFERROR(IF(INDEX('ONLINE ORDERS'!$C$6:$C$155,MATCH($C64,'ONLINE ORDERS'!$B$6:$B$155,0))="","",INDEX('ONLINE ORDERS'!$C$6:$C$155,MATCH($C64,'ONLINE ORDERS'!$B$6:$B$155,0))),""))))</f>
      </c>
      <c r="G64" s="78">
        <f>IF($B64="","",IF($C64="","",IFERROR(IF(INDEX('ONLINE ORDERS'!$G$6:$G$155,MATCH($C64,'ONLINE ORDERS'!$B$6:$B$155,0))="","",INDEX('ONLINE ORDERS'!$G$6:$G$155,MATCH($C64,'ONLINE ORDERS'!$B$6:$B$155,0))),"")))</f>
      </c>
      <c r="H64" s="80"/>
      <c r="I64" s="92">
        <f>IF($B64="","",IF($C64="",$H64,IF($C64="","",IFERROR(IF(INDEX('ONLINE ORDERS'!$H$6:$H$155,MATCH($C64,'ONLINE ORDERS'!$B$6:$B$155,0))="","",INDEX('ONLINE ORDERS'!$H$6:$H$155,MATCH($C64,'ONLINE ORDERS'!$B$6:$B$155,0))),""))))</f>
      </c>
      <c r="J64" s="79"/>
      <c r="K64" s="79"/>
      <c r="L64" s="82"/>
      <c r="M64" s="93">
        <f>IF($B64="","",IF($C64="","",IFERROR(IF(INDEX('ONLINE ORDERS'!$O$6:$O$155,MATCH($C64,'ONLINE ORDERS'!$B$6:$B$155,0))="","",INDEX('ONLINE ORDERS'!$O$6:$O$155,MATCH($C64,'ONLINE ORDERS'!$B$6:$B$155,0))),"")))</f>
      </c>
      <c r="N64" s="79"/>
      <c r="O64" s="86"/>
      <c r="P64" s="79"/>
      <c r="Q64" s="86"/>
      <c r="R64" s="85">
        <f>IF($B64="","",IF($P64="Yes",IF($Q64="",$O64,$Q64),0))</f>
      </c>
      <c r="S64" s="78">
        <f>IF($B64="","",IF($P64="Yes","SETTLED",IF($M64&lt;&gt;"",IF($M64&lt;TODAY(),"WINDOW CLOSED",IF($M64-TODAY()&lt;=7,"RETURN THIS WEEK","AWAITING REFUND")),"AWAITING REFUND")))</f>
      </c>
      <c r="T64" s="80"/>
      <c r="U64" s="78">
        <f>IF($B64="",0,IF(COUNTIF('RETURNS + EXCHANGES'!$B$6:$B$65,$B64)&gt;1,1,0))</f>
      </c>
      <c r="V64" s="78">
        <f>IF($C64="",0,IF(COUNTIF('ONLINE ORDERS'!$B$6:$B$155,$C64)=0,1,0))</f>
      </c>
      <c r="W64" s="78">
        <f>IF($D64="",0,IF(COUNTIF('GIFT PLANNER'!$B$6:$B$205,$D64)=0,1,0))</f>
      </c>
      <c r="X64" s="75"/>
    </row>
    <row r="65" ht="17" customHeight="1" spans="1:24" x14ac:dyDescent="0.25">
      <c r="A65" s="75"/>
      <c r="B65" s="79"/>
      <c r="C65" s="79"/>
      <c r="D65" s="79"/>
      <c r="E65" s="79"/>
      <c r="F65" s="78">
        <f>IF($B65="","",IF($C65="",$E65,IF($C65="","",IFERROR(IF(INDEX('ONLINE ORDERS'!$C$6:$C$155,MATCH($C65,'ONLINE ORDERS'!$B$6:$B$155,0))="","",INDEX('ONLINE ORDERS'!$C$6:$C$155,MATCH($C65,'ONLINE ORDERS'!$B$6:$B$155,0))),""))))</f>
      </c>
      <c r="G65" s="78">
        <f>IF($B65="","",IF($C65="","",IFERROR(IF(INDEX('ONLINE ORDERS'!$G$6:$G$155,MATCH($C65,'ONLINE ORDERS'!$B$6:$B$155,0))="","",INDEX('ONLINE ORDERS'!$G$6:$G$155,MATCH($C65,'ONLINE ORDERS'!$B$6:$B$155,0))),"")))</f>
      </c>
      <c r="H65" s="80"/>
      <c r="I65" s="92">
        <f>IF($B65="","",IF($C65="",$H65,IF($C65="","",IFERROR(IF(INDEX('ONLINE ORDERS'!$H$6:$H$155,MATCH($C65,'ONLINE ORDERS'!$B$6:$B$155,0))="","",INDEX('ONLINE ORDERS'!$H$6:$H$155,MATCH($C65,'ONLINE ORDERS'!$B$6:$B$155,0))),""))))</f>
      </c>
      <c r="J65" s="79"/>
      <c r="K65" s="79"/>
      <c r="L65" s="82"/>
      <c r="M65" s="93">
        <f>IF($B65="","",IF($C65="","",IFERROR(IF(INDEX('ONLINE ORDERS'!$O$6:$O$155,MATCH($C65,'ONLINE ORDERS'!$B$6:$B$155,0))="","",INDEX('ONLINE ORDERS'!$O$6:$O$155,MATCH($C65,'ONLINE ORDERS'!$B$6:$B$155,0))),"")))</f>
      </c>
      <c r="N65" s="79"/>
      <c r="O65" s="86"/>
      <c r="P65" s="79"/>
      <c r="Q65" s="86"/>
      <c r="R65" s="85">
        <f>IF($B65="","",IF($P65="Yes",IF($Q65="",$O65,$Q65),0))</f>
      </c>
      <c r="S65" s="78">
        <f>IF($B65="","",IF($P65="Yes","SETTLED",IF($M65&lt;&gt;"",IF($M65&lt;TODAY(),"WINDOW CLOSED",IF($M65-TODAY()&lt;=7,"RETURN THIS WEEK","AWAITING REFUND")),"AWAITING REFUND")))</f>
      </c>
      <c r="T65" s="80"/>
      <c r="U65" s="78">
        <f>IF($B65="",0,IF(COUNTIF('RETURNS + EXCHANGES'!$B$6:$B$65,$B65)&gt;1,1,0))</f>
      </c>
      <c r="V65" s="78">
        <f>IF($C65="",0,IF(COUNTIF('ONLINE ORDERS'!$B$6:$B$155,$C65)=0,1,0))</f>
      </c>
      <c r="W65" s="78">
        <f>IF($D65="",0,IF(COUNTIF('GIFT PLANNER'!$B$6:$B$205,$D65)=0,1,0))</f>
      </c>
      <c r="X65" s="75"/>
    </row>
  </sheetData>
  <autoFilter ref="B5:W65"/>
  <mergeCells count="2">
    <mergeCell ref="B1:C1"/>
    <mergeCell ref="D1:E1"/>
  </mergeCells>
  <conditionalFormatting sqref="S6:S65">
    <cfRule type="containsText" dxfId="171" priority="1">
      <formula>NOT(ISERROR(SEARCH("OVER BUDGET",S6)))</formula>
    </cfRule>
  </conditionalFormatting>
  <conditionalFormatting sqref="S6:S65">
    <cfRule type="containsText" dxfId="172" priority="2">
      <formula>NOT(ISERROR(SEARCH("OVERDUE",S6)))</formula>
    </cfRule>
  </conditionalFormatting>
  <conditionalFormatting sqref="S6:S65">
    <cfRule type="containsText" dxfId="173" priority="3">
      <formula>NOT(ISERROR(SEARCH("LATE",S6)))</formula>
    </cfRule>
  </conditionalFormatting>
  <conditionalFormatting sqref="S6:S65">
    <cfRule type="containsText" dxfId="174" priority="4">
      <formula>NOT(ISERROR(SEARCH("WINDOW CLOSED",S6)))</formula>
    </cfRule>
  </conditionalFormatting>
  <conditionalFormatting sqref="S6:S65">
    <cfRule type="containsText" dxfId="175" priority="5">
      <formula>NOT(ISERROR(SEARCH("BALANCE OVERDUE",S6)))</formula>
    </cfRule>
  </conditionalFormatting>
  <conditionalFormatting sqref="S6:S65">
    <cfRule type="containsText" dxfId="176" priority="6">
      <formula>NOT(ISERROR(SEARCH("PREP OVERDUE",S6)))</formula>
    </cfRule>
  </conditionalFormatting>
  <conditionalFormatting sqref="S6:S65">
    <cfRule type="containsText" dxfId="177" priority="7">
      <formula>NOT(ISERROR(SEARCH("CHECK DUPLICATE",S6)))</formula>
    </cfRule>
  </conditionalFormatting>
  <conditionalFormatting sqref="S6:S65">
    <cfRule type="containsText" dxfId="178" priority="8">
      <formula>NOT(ISERROR(SEARCH("MISSING DATE",S6)))</formula>
    </cfRule>
  </conditionalFormatting>
  <conditionalFormatting sqref="S6:S65">
    <cfRule type="containsText" dxfId="179" priority="9">
      <formula>NOT(ISERROR(SEARCH("NOT FOUND",S6)))</formula>
    </cfRule>
  </conditionalFormatting>
  <conditionalFormatting sqref="S6:S65">
    <cfRule type="containsText" dxfId="180" priority="10">
      <formula>NOT(ISERROR(SEARCH("NEAR LIMIT",S6)))</formula>
    </cfRule>
  </conditionalFormatting>
  <conditionalFormatting sqref="S6:S65">
    <cfRule type="containsText" dxfId="181" priority="11">
      <formula>NOT(ISERROR(SEARCH("THIS WEEK",S6)))</formula>
    </cfRule>
  </conditionalFormatting>
  <conditionalFormatting sqref="S6:S65">
    <cfRule type="containsText" dxfId="182" priority="12">
      <formula>NOT(ISERROR(SEARCH("CLOSING SOON",S6)))</formula>
    </cfRule>
  </conditionalFormatting>
  <conditionalFormatting sqref="S6:S65">
    <cfRule type="containsText" dxfId="183" priority="13">
      <formula>NOT(ISERROR(SEARCH("NO TRACKING",S6)))</formula>
    </cfRule>
  </conditionalFormatting>
  <conditionalFormatting sqref="S6:S65">
    <cfRule type="containsText" dxfId="184" priority="14">
      <formula>NOT(ISERROR(SEARCH("LOW",S6)))</formula>
    </cfRule>
  </conditionalFormatting>
  <conditionalFormatting sqref="S6:S65">
    <cfRule type="containsText" dxfId="185" priority="15">
      <formula>NOT(ISERROR(SEARCH("AWAITING REFUND",S6)))</formula>
    </cfRule>
  </conditionalFormatting>
  <conditionalFormatting sqref="S6:S65">
    <cfRule type="containsText" dxfId="186" priority="16">
      <formula>NOT(ISERROR(SEARCH("BALANCE DUE SOON",S6)))</formula>
    </cfRule>
  </conditionalFormatting>
  <conditionalFormatting sqref="S6:S65">
    <cfRule type="containsText" dxfId="187" priority="17">
      <formula>NOT(ISERROR(SEARCH("TO BUY",S6)))</formula>
    </cfRule>
  </conditionalFormatting>
  <conditionalFormatting sqref="S6:S65">
    <cfRule type="containsText" dxfId="188" priority="18">
      <formula>NOT(ISERROR(SEARCH("NO DATE",S6)))</formula>
    </cfRule>
  </conditionalFormatting>
  <conditionalFormatting sqref="S6:S65">
    <cfRule type="containsText" dxfId="189" priority="19">
      <formula>NOT(ISERROR(SEARCH("NO COUNT",S6)))</formula>
    </cfRule>
  </conditionalFormatting>
  <conditionalFormatting sqref="S6:S65">
    <cfRule type="containsText" dxfId="190" priority="20">
      <formula>NOT(ISERROR(SEARCH("ON TRACK",S6)))</formula>
    </cfRule>
  </conditionalFormatting>
  <conditionalFormatting sqref="S6:S65">
    <cfRule type="containsText" dxfId="191" priority="21">
      <formula>NOT(ISERROR(SEARCH("COMPLETE",S6)))</formula>
    </cfRule>
  </conditionalFormatting>
  <conditionalFormatting sqref="S6:S65">
    <cfRule type="containsText" dxfId="192" priority="22">
      <formula>NOT(ISERROR(SEARCH("DONE",S6)))</formula>
    </cfRule>
  </conditionalFormatting>
  <conditionalFormatting sqref="S6:S65">
    <cfRule type="containsText" dxfId="193" priority="23">
      <formula>NOT(ISERROR(SEARCH("ARRIVED",S6)))</formula>
    </cfRule>
  </conditionalFormatting>
  <conditionalFormatting sqref="S6:S65">
    <cfRule type="containsText" dxfId="194" priority="24">
      <formula>NOT(ISERROR(SEARCH("SETTLED",S6)))</formula>
    </cfRule>
  </conditionalFormatting>
  <conditionalFormatting sqref="S6:S65">
    <cfRule type="containsText" dxfId="195" priority="25">
      <formula>NOT(ISERROR(SEARCH("AT BUDGET",S6)))</formula>
    </cfRule>
  </conditionalFormatting>
  <conditionalFormatting sqref="S6:S65">
    <cfRule type="containsText" dxfId="196" priority="26">
      <formula>NOT(ISERROR(SEARCH("IN STOCK",S6)))</formula>
    </cfRule>
  </conditionalFormatting>
  <conditionalFormatting sqref="S6:S65">
    <cfRule type="containsText" dxfId="197" priority="27">
      <formula>NOT(ISERROR(SEARCH("BOUGHT",S6)))</formula>
    </cfRule>
  </conditionalFormatting>
  <conditionalFormatting sqref="S6:S65">
    <cfRule type="containsText" dxfId="198" priority="28">
      <formula>NOT(ISERROR(SEARCH("READY",S6)))</formula>
    </cfRule>
  </conditionalFormatting>
  <conditionalFormatting sqref="S6:S65">
    <cfRule type="containsText" dxfId="199" priority="29">
      <formula>NOT(ISERROR(SEARCH("NOT SET",S6)))</formula>
    </cfRule>
  </conditionalFormatting>
  <conditionalFormatting sqref="S6:S65">
    <cfRule type="containsText" dxfId="200" priority="30">
      <formula>NOT(ISERROR(SEARCH("NOT STARTED",S6)))</formula>
    </cfRule>
  </conditionalFormatting>
  <conditionalFormatting sqref="S6:S65">
    <cfRule type="containsText" dxfId="201" priority="31">
      <formula>NOT(ISERROR(SEARCH("SCHEDULED",S6)))</formula>
    </cfRule>
  </conditionalFormatting>
  <conditionalFormatting sqref="S6:S65">
    <cfRule type="containsText" dxfId="202" priority="32">
      <formula>NOT(ISERROR(SEARCH("CLOSED",S6)))</formula>
    </cfRule>
  </conditionalFormatting>
  <conditionalFormatting sqref="S6:S65">
    <cfRule type="containsText" dxfId="203" priority="33">
      <formula>NOT(ISERROR(SEARCH("IN THE PANTRY",S6)))</formula>
    </cfRule>
  </conditionalFormatting>
  <conditionalFormatting sqref="S6:S65">
    <cfRule type="containsText" dxfId="204" priority="34">
      <formula>NOT(ISERROR(SEARCH("BALANCE OPEN",S6)))</formula>
    </cfRule>
  </conditionalFormatting>
  <dataValidations count="7">
    <dataValidation type="list" allowBlank="1" showErrorMessage="1" errorStyle="warning" errorTitle="Not one of the usual values" error="This column normally uses a value from the IssueType list on LISTS. You can keep what you typed, or add it to the list so it appears in the dropdown." sqref="J6:J65">
      <formula1>=List_IssueType</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K6:K65">
      <formula1>=List_BudgetCategory</formula1>
    </dataValidation>
    <dataValidation type="custom" allowBlank="1" showErrorMessage="1" errorStyle="warning" errorTitle="That is not a date yet" error="Type a real date, so the workbook can count days with it. &quot;Before Christmas&quot; cannot be sorted." sqref="L6:L65">
      <formula1>=OR(L6="",ISNUMBER(L6))</formula1>
    </dataValidation>
    <dataValidation type="list" allowBlank="1" showErrorMessage="1" errorStyle="warning" errorTitle="Not one of the usual values" error="This column normally uses a value from the ReturnStatus list on LISTS. You can keep what you typed, or add it to the list so it appears in the dropdown." sqref="N6:N65">
      <formula1>=List_ReturnStatus</formula1>
    </dataValidation>
    <dataValidation type="custom" allowBlank="1" showErrorMessage="1" errorStyle="warning" errorTitle="That looks like text" error="Type the number on its own — no currency symbol and no words. The column adds the symbol for you." sqref="O6:O65">
      <formula1>=OR(O6="",ISNUMBER(O6))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P6:P65">
      <formula1>=List_YesNo</formula1>
    </dataValidation>
    <dataValidation type="custom" allowBlank="1" showErrorMessage="1" errorStyle="warning" errorTitle="That looks like text" error="Type the number on its own — no currency symbol and no words. The column adds the symbol for you." sqref="Q6:Q65">
      <formula1>=OR(Q6="",ISNUMBER(Q6))</formula1>
    </dataValidation>
  </dataValidations>
  <hyperlinks>
    <hyperlink ref="B1" r:id="rId1" location="#'DASHBOARD'!A1"/>
    <hyperlink ref="D1" r:id="rId2" location="#'START HERE'!A1"/>
    <hyperlink ref="F1" r:id="rId3" location="#'CHRISTMAS CALENDAR'!A1"/>
    <hyperlink ref="G1" r:id="rId4" location="#'MASTER BUDGET'!A1"/>
    <hyperlink ref="H1" r:id="rId5" location="#'SHEET INDEX'!A1"/>
  </hyperlinks>
  <pageMargins left="0.4" right="0.4" top="0.6" bottom="0.6" header="0.3" footer="0.3"/>
  <pageSetup orientation="landscape" fitToWidth="1" fitToHeight="0"/>
  <headerFooter>
    <oddFooter>&amp;LRETURNS + EXCHANGES&amp;C&amp;P of &amp;N&amp;RThe Christmas Season Master Command Center™</oddFooter>
  </headerFooter>
  <legacyDrawing r:id="rId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W207"/>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13" customWidth="1"/>
    <col min="4" max="4" width="11" customWidth="1"/>
    <col min="5" max="5" width="14" customWidth="1"/>
    <col min="6" max="6" width="34" customWidth="1"/>
    <col min="7" max="7" width="18" customWidth="1"/>
    <col min="8" max="8" width="16" customWidth="1"/>
    <col min="9" max="9" width="20" customWidth="1"/>
    <col min="10" max="10" width="17" customWidth="1"/>
    <col min="11" max="12" width="13" customWidth="1"/>
    <col min="13" max="13" width="14" customWidth="1"/>
    <col min="14" max="14" width="11" customWidth="1"/>
    <col min="15" max="15" width="13" customWidth="1"/>
    <col min="16" max="16" width="8" customWidth="1"/>
    <col min="18" max="18" width="14" customWidth="1"/>
    <col min="19" max="19" width="34" customWidth="1"/>
    <col min="20" max="22" width="18" hidden="1" customWidth="1"/>
    <col min="23" max="23" width="2" customWidth="1"/>
  </cols>
  <sheetData>
    <row r="1" ht="21" customHeight="1" spans="1:23" x14ac:dyDescent="0.25">
      <c r="A1" s="62"/>
      <c r="B1" s="63" t="s">
        <v>8</v>
      </c>
      <c r="C1" s="63"/>
      <c r="D1" s="63" t="s">
        <v>9</v>
      </c>
      <c r="E1" s="63"/>
      <c r="F1" s="87" t="s">
        <v>10</v>
      </c>
      <c r="G1" s="63" t="s">
        <v>11</v>
      </c>
      <c r="H1" s="63" t="s">
        <v>12</v>
      </c>
      <c r="I1" s="62"/>
      <c r="J1" s="62"/>
      <c r="K1" s="62"/>
      <c r="L1" s="62"/>
      <c r="M1" s="62"/>
      <c r="N1" s="62"/>
      <c r="O1" s="62"/>
      <c r="P1" s="62"/>
      <c r="Q1" s="62"/>
      <c r="R1" s="62"/>
      <c r="S1" s="62"/>
      <c r="T1" s="62"/>
      <c r="U1" s="62"/>
      <c r="V1" s="62"/>
      <c r="W1" s="62"/>
    </row>
    <row r="2" ht="34" customHeight="1" spans="1:23" x14ac:dyDescent="0.25">
      <c r="A2" s="64"/>
      <c r="B2" s="65" t="s">
        <v>142</v>
      </c>
      <c r="C2" s="64"/>
      <c r="D2" s="64"/>
      <c r="E2" s="64"/>
      <c r="F2" s="64"/>
      <c r="G2" s="64"/>
      <c r="H2" s="64"/>
      <c r="I2" s="64"/>
      <c r="J2" s="64"/>
      <c r="K2" s="64"/>
      <c r="L2" s="64"/>
      <c r="M2" s="64"/>
      <c r="N2" s="64"/>
      <c r="O2" s="64"/>
      <c r="P2" s="64"/>
      <c r="Q2" s="64"/>
      <c r="R2" s="64"/>
      <c r="S2" s="64"/>
      <c r="T2" s="64"/>
      <c r="U2" s="64"/>
      <c r="V2" s="64"/>
      <c r="W2" s="64"/>
    </row>
    <row r="3" ht="18" customHeight="1" spans="1:23" x14ac:dyDescent="0.25">
      <c r="A3" s="64"/>
      <c r="B3" s="66" t="s">
        <v>410</v>
      </c>
      <c r="C3" s="64"/>
      <c r="D3" s="64"/>
      <c r="E3" s="64"/>
      <c r="F3" s="64"/>
      <c r="G3" s="64"/>
      <c r="H3" s="64"/>
      <c r="I3" s="64"/>
      <c r="J3" s="64"/>
      <c r="K3" s="64"/>
      <c r="L3" s="64"/>
      <c r="M3" s="64"/>
      <c r="N3" s="64"/>
      <c r="O3" s="64"/>
      <c r="P3" s="64"/>
      <c r="Q3" s="64"/>
      <c r="R3" s="64"/>
      <c r="S3" s="64"/>
      <c r="T3" s="64"/>
      <c r="U3" s="64"/>
      <c r="V3" s="64"/>
      <c r="W3" s="64"/>
    </row>
    <row r="4" ht="17" customHeight="1" spans="1:23" x14ac:dyDescent="0.25">
      <c r="A4" s="64"/>
      <c r="B4" s="67" t="s">
        <v>160</v>
      </c>
      <c r="C4" s="64"/>
      <c r="D4" s="64"/>
      <c r="E4" s="64"/>
      <c r="F4" s="64"/>
      <c r="G4" s="64"/>
      <c r="H4" s="64"/>
      <c r="I4" s="64"/>
      <c r="J4" s="64"/>
      <c r="K4" s="64"/>
      <c r="L4" s="64"/>
      <c r="M4" s="64"/>
      <c r="N4" s="64"/>
      <c r="O4" s="64"/>
      <c r="P4" s="64"/>
      <c r="Q4" s="64"/>
      <c r="R4" s="64"/>
      <c r="S4" s="64"/>
      <c r="T4" s="64"/>
      <c r="U4" s="64"/>
      <c r="V4" s="64"/>
      <c r="W4" s="64"/>
    </row>
    <row r="5" ht="32" customHeight="1" spans="1:23" x14ac:dyDescent="0.25">
      <c r="A5" s="73"/>
      <c r="B5" s="74" t="s">
        <v>411</v>
      </c>
      <c r="C5" s="74" t="s">
        <v>412</v>
      </c>
      <c r="D5" s="74" t="s">
        <v>413</v>
      </c>
      <c r="E5" s="74" t="s">
        <v>414</v>
      </c>
      <c r="F5" s="74" t="s">
        <v>415</v>
      </c>
      <c r="G5" s="74" t="s">
        <v>416</v>
      </c>
      <c r="H5" s="74" t="s">
        <v>176</v>
      </c>
      <c r="I5" s="74" t="s">
        <v>417</v>
      </c>
      <c r="J5" s="74" t="s">
        <v>300</v>
      </c>
      <c r="K5" s="74" t="s">
        <v>418</v>
      </c>
      <c r="L5" s="74" t="s">
        <v>310</v>
      </c>
      <c r="M5" s="74" t="s">
        <v>260</v>
      </c>
      <c r="N5" s="74" t="s">
        <v>174</v>
      </c>
      <c r="O5" s="74" t="s">
        <v>419</v>
      </c>
      <c r="P5" s="74" t="s">
        <v>420</v>
      </c>
      <c r="Q5" s="74" t="s">
        <v>421</v>
      </c>
      <c r="R5" s="74" t="s">
        <v>422</v>
      </c>
      <c r="S5" s="74" t="s">
        <v>179</v>
      </c>
      <c r="T5" s="74" t="s">
        <v>423</v>
      </c>
      <c r="U5" s="74" t="s">
        <v>180</v>
      </c>
      <c r="V5" s="74" t="s">
        <v>323</v>
      </c>
      <c r="W5" s="73"/>
    </row>
    <row r="6" ht="17" customHeight="1" spans="1:23" x14ac:dyDescent="0.25">
      <c r="A6" s="75"/>
      <c r="B6" s="76" t="s">
        <v>424</v>
      </c>
      <c r="C6" s="81">
        <v>46353</v>
      </c>
      <c r="D6" s="94" t="s">
        <v>425</v>
      </c>
      <c r="E6" s="76" t="s">
        <v>426</v>
      </c>
      <c r="F6" s="77" t="s">
        <v>427</v>
      </c>
      <c r="G6" s="76" t="s">
        <v>291</v>
      </c>
      <c r="H6" s="76" t="s">
        <v>184</v>
      </c>
      <c r="I6" s="76"/>
      <c r="J6" s="76" t="s">
        <v>291</v>
      </c>
      <c r="K6" s="84">
        <v>300</v>
      </c>
      <c r="L6" s="84"/>
      <c r="M6" s="76" t="s">
        <v>428</v>
      </c>
      <c r="N6" s="76" t="s">
        <v>337</v>
      </c>
      <c r="O6" s="81"/>
      <c r="P6" s="95">
        <f>IF($C6="","",WEEKNUM($C6,IF(Set_WeekStart="Monday",2,1)))</f>
      </c>
      <c r="Q6" s="78">
        <f>IF($B6="","",IF(OR($M6="Complete",$M6="Attended",$M6="Skipped",$M6="Cancelled"),"No","Yes"))</f>
      </c>
      <c r="R6" s="78">
        <f>IF($B6="","",IF($Q6="No","COMPLETE",IF($C6="","NO DATE",IF($C6&lt;TODAY(),"OVERDUE",IF($C6-TODAY()&lt;=7,"THIS WEEK","SCHEDULED")))))</f>
      </c>
      <c r="S6" s="77" t="s">
        <v>186</v>
      </c>
      <c r="T6" s="78">
        <f>IF(AND($Q6="Yes",$C6&lt;&gt;"",$C6&gt;=TODAY(),$C6&lt;=TODAY()+7),$C6+ROW()/100000,"")</f>
      </c>
      <c r="U6" s="78">
        <f>IF($B6="",0,IF(COUNTIF('CHRISTMAS CALENDAR'!$B$6:$B$205,$B6)&gt;1,1,0))</f>
      </c>
      <c r="V6" s="78">
        <f>IF(OR(N($K6)&gt;0,N($L6)&gt;0),IF($J6="",1,IF(COUNTIF('MASTER BUDGET'!$D$6:$D$25,$J6)=0,1,0)),0)</f>
      </c>
      <c r="W6" s="75"/>
    </row>
    <row r="7" ht="17" customHeight="1" spans="1:23" x14ac:dyDescent="0.25">
      <c r="A7" s="75"/>
      <c r="B7" s="76" t="s">
        <v>429</v>
      </c>
      <c r="C7" s="81">
        <v>46368</v>
      </c>
      <c r="D7" s="94" t="s">
        <v>430</v>
      </c>
      <c r="E7" s="76" t="s">
        <v>431</v>
      </c>
      <c r="F7" s="77" t="s">
        <v>432</v>
      </c>
      <c r="G7" s="76" t="s">
        <v>291</v>
      </c>
      <c r="H7" s="76" t="s">
        <v>184</v>
      </c>
      <c r="I7" s="76" t="s">
        <v>433</v>
      </c>
      <c r="J7" s="76" t="s">
        <v>283</v>
      </c>
      <c r="K7" s="84">
        <v>80</v>
      </c>
      <c r="L7" s="84"/>
      <c r="M7" s="76" t="s">
        <v>434</v>
      </c>
      <c r="N7" s="76" t="s">
        <v>344</v>
      </c>
      <c r="O7" s="81"/>
      <c r="P7" s="95">
        <f>IF($C7="","",WEEKNUM($C7,IF(Set_WeekStart="Monday",2,1)))</f>
      </c>
      <c r="Q7" s="78">
        <f>IF($B7="","",IF(OR($M7="Complete",$M7="Attended",$M7="Skipped",$M7="Cancelled"),"No","Yes"))</f>
      </c>
      <c r="R7" s="78">
        <f>IF($B7="","",IF($Q7="No","COMPLETE",IF($C7="","NO DATE",IF($C7&lt;TODAY(),"OVERDUE",IF($C7-TODAY()&lt;=7,"THIS WEEK","SCHEDULED")))))</f>
      </c>
      <c r="S7" s="77" t="s">
        <v>186</v>
      </c>
      <c r="T7" s="78">
        <f>IF(AND($Q7="Yes",$C7&lt;&gt;"",$C7&gt;=TODAY(),$C7&lt;=TODAY()+7),$C7+ROW()/100000,"")</f>
      </c>
      <c r="U7" s="78">
        <f>IF($B7="",0,IF(COUNTIF('CHRISTMAS CALENDAR'!$B$6:$B$205,$B7)&gt;1,1,0))</f>
      </c>
      <c r="V7" s="78">
        <f>IF(OR(N($K7)&gt;0,N($L7)&gt;0),IF($J7="",1,IF(COUNTIF('MASTER BUDGET'!$D$6:$D$25,$J7)=0,1,0)),0)</f>
      </c>
      <c r="W7" s="75"/>
    </row>
    <row r="8" ht="17" customHeight="1" spans="1:23" x14ac:dyDescent="0.25">
      <c r="A8" s="75"/>
      <c r="B8" s="76" t="s">
        <v>435</v>
      </c>
      <c r="C8" s="81">
        <v>46374</v>
      </c>
      <c r="D8" s="94"/>
      <c r="E8" s="76" t="s">
        <v>436</v>
      </c>
      <c r="F8" s="77" t="s">
        <v>437</v>
      </c>
      <c r="G8" s="76" t="s">
        <v>438</v>
      </c>
      <c r="H8" s="76" t="s">
        <v>184</v>
      </c>
      <c r="I8" s="76"/>
      <c r="J8" s="76"/>
      <c r="K8" s="84"/>
      <c r="L8" s="84"/>
      <c r="M8" s="76" t="s">
        <v>434</v>
      </c>
      <c r="N8" s="76" t="s">
        <v>328</v>
      </c>
      <c r="O8" s="81">
        <v>46371</v>
      </c>
      <c r="P8" s="95">
        <f>IF($C8="","",WEEKNUM($C8,IF(Set_WeekStart="Monday",2,1)))</f>
      </c>
      <c r="Q8" s="78">
        <f>IF($B8="","",IF(OR($M8="Complete",$M8="Attended",$M8="Skipped",$M8="Cancelled"),"No","Yes"))</f>
      </c>
      <c r="R8" s="78">
        <f>IF($B8="","",IF($Q8="No","COMPLETE",IF($C8="","NO DATE",IF($C8&lt;TODAY(),"OVERDUE",IF($C8-TODAY()&lt;=7,"THIS WEEK","SCHEDULED")))))</f>
      </c>
      <c r="S8" s="77" t="s">
        <v>186</v>
      </c>
      <c r="T8" s="78">
        <f>IF(AND($Q8="Yes",$C8&lt;&gt;"",$C8&gt;=TODAY(),$C8&lt;=TODAY()+7),$C8+ROW()/100000,"")</f>
      </c>
      <c r="U8" s="78">
        <f>IF($B8="",0,IF(COUNTIF('CHRISTMAS CALENDAR'!$B$6:$B$205,$B8)&gt;1,1,0))</f>
      </c>
      <c r="V8" s="78">
        <f>IF(OR(N($K8)&gt;0,N($L8)&gt;0),IF($J8="",1,IF(COUNTIF('MASTER BUDGET'!$D$6:$D$25,$J8)=0,1,0)),0)</f>
      </c>
      <c r="W8" s="75"/>
    </row>
    <row r="9" ht="17" customHeight="1" spans="1:23" x14ac:dyDescent="0.25">
      <c r="A9" s="75"/>
      <c r="B9" s="79"/>
      <c r="C9" s="82"/>
      <c r="D9" s="96"/>
      <c r="E9" s="79"/>
      <c r="F9" s="80"/>
      <c r="G9" s="79"/>
      <c r="H9" s="79"/>
      <c r="I9" s="79"/>
      <c r="J9" s="79"/>
      <c r="K9" s="86"/>
      <c r="L9" s="86"/>
      <c r="M9" s="79"/>
      <c r="N9" s="79"/>
      <c r="O9" s="82"/>
      <c r="P9" s="95">
        <f>IF($C9="","",WEEKNUM($C9,IF(Set_WeekStart="Monday",2,1)))</f>
      </c>
      <c r="Q9" s="78">
        <f>IF($B9="","",IF(OR($M9="Complete",$M9="Attended",$M9="Skipped",$M9="Cancelled"),"No","Yes"))</f>
      </c>
      <c r="R9" s="78">
        <f>IF($B9="","",IF($Q9="No","COMPLETE",IF($C9="","NO DATE",IF($C9&lt;TODAY(),"OVERDUE",IF($C9-TODAY()&lt;=7,"THIS WEEK","SCHEDULED")))))</f>
      </c>
      <c r="S9" s="80"/>
      <c r="T9" s="78">
        <f>IF(AND($Q9="Yes",$C9&lt;&gt;"",$C9&gt;=TODAY(),$C9&lt;=TODAY()+7),$C9+ROW()/100000,"")</f>
      </c>
      <c r="U9" s="78">
        <f>IF($B9="",0,IF(COUNTIF('CHRISTMAS CALENDAR'!$B$6:$B$205,$B9)&gt;1,1,0))</f>
      </c>
      <c r="V9" s="78">
        <f>IF(OR(N($K9)&gt;0,N($L9)&gt;0),IF($J9="",1,IF(COUNTIF('MASTER BUDGET'!$D$6:$D$25,$J9)=0,1,0)),0)</f>
      </c>
      <c r="W9" s="75"/>
    </row>
    <row r="10" ht="17" customHeight="1" spans="1:23" x14ac:dyDescent="0.25">
      <c r="A10" s="75"/>
      <c r="B10" s="79"/>
      <c r="C10" s="82"/>
      <c r="D10" s="96"/>
      <c r="E10" s="79"/>
      <c r="F10" s="80"/>
      <c r="G10" s="79"/>
      <c r="H10" s="79"/>
      <c r="I10" s="79"/>
      <c r="J10" s="79"/>
      <c r="K10" s="86"/>
      <c r="L10" s="86"/>
      <c r="M10" s="79"/>
      <c r="N10" s="79"/>
      <c r="O10" s="82"/>
      <c r="P10" s="95">
        <f>IF($C10="","",WEEKNUM($C10,IF(Set_WeekStart="Monday",2,1)))</f>
      </c>
      <c r="Q10" s="78">
        <f>IF($B10="","",IF(OR($M10="Complete",$M10="Attended",$M10="Skipped",$M10="Cancelled"),"No","Yes"))</f>
      </c>
      <c r="R10" s="78">
        <f>IF($B10="","",IF($Q10="No","COMPLETE",IF($C10="","NO DATE",IF($C10&lt;TODAY(),"OVERDUE",IF($C10-TODAY()&lt;=7,"THIS WEEK","SCHEDULED")))))</f>
      </c>
      <c r="S10" s="80"/>
      <c r="T10" s="78">
        <f>IF(AND($Q10="Yes",$C10&lt;&gt;"",$C10&gt;=TODAY(),$C10&lt;=TODAY()+7),$C10+ROW()/100000,"")</f>
      </c>
      <c r="U10" s="78">
        <f>IF($B10="",0,IF(COUNTIF('CHRISTMAS CALENDAR'!$B$6:$B$205,$B10)&gt;1,1,0))</f>
      </c>
      <c r="V10" s="78">
        <f>IF(OR(N($K10)&gt;0,N($L10)&gt;0),IF($J10="",1,IF(COUNTIF('MASTER BUDGET'!$D$6:$D$25,$J10)=0,1,0)),0)</f>
      </c>
      <c r="W10" s="75"/>
    </row>
    <row r="11" ht="17" customHeight="1" spans="1:23" x14ac:dyDescent="0.25">
      <c r="A11" s="75"/>
      <c r="B11" s="79"/>
      <c r="C11" s="82"/>
      <c r="D11" s="96"/>
      <c r="E11" s="79"/>
      <c r="F11" s="80"/>
      <c r="G11" s="79"/>
      <c r="H11" s="79"/>
      <c r="I11" s="79"/>
      <c r="J11" s="79"/>
      <c r="K11" s="86"/>
      <c r="L11" s="86"/>
      <c r="M11" s="79"/>
      <c r="N11" s="79"/>
      <c r="O11" s="82"/>
      <c r="P11" s="95">
        <f>IF($C11="","",WEEKNUM($C11,IF(Set_WeekStart="Monday",2,1)))</f>
      </c>
      <c r="Q11" s="78">
        <f>IF($B11="","",IF(OR($M11="Complete",$M11="Attended",$M11="Skipped",$M11="Cancelled"),"No","Yes"))</f>
      </c>
      <c r="R11" s="78">
        <f>IF($B11="","",IF($Q11="No","COMPLETE",IF($C11="","NO DATE",IF($C11&lt;TODAY(),"OVERDUE",IF($C11-TODAY()&lt;=7,"THIS WEEK","SCHEDULED")))))</f>
      </c>
      <c r="S11" s="80"/>
      <c r="T11" s="78">
        <f>IF(AND($Q11="Yes",$C11&lt;&gt;"",$C11&gt;=TODAY(),$C11&lt;=TODAY()+7),$C11+ROW()/100000,"")</f>
      </c>
      <c r="U11" s="78">
        <f>IF($B11="",0,IF(COUNTIF('CHRISTMAS CALENDAR'!$B$6:$B$205,$B11)&gt;1,1,0))</f>
      </c>
      <c r="V11" s="78">
        <f>IF(OR(N($K11)&gt;0,N($L11)&gt;0),IF($J11="",1,IF(COUNTIF('MASTER BUDGET'!$D$6:$D$25,$J11)=0,1,0)),0)</f>
      </c>
      <c r="W11" s="75"/>
    </row>
    <row r="12" ht="17" customHeight="1" spans="1:23" x14ac:dyDescent="0.25">
      <c r="A12" s="75"/>
      <c r="B12" s="79"/>
      <c r="C12" s="82"/>
      <c r="D12" s="96"/>
      <c r="E12" s="79"/>
      <c r="F12" s="80"/>
      <c r="G12" s="79"/>
      <c r="H12" s="79"/>
      <c r="I12" s="79"/>
      <c r="J12" s="79"/>
      <c r="K12" s="86"/>
      <c r="L12" s="86"/>
      <c r="M12" s="79"/>
      <c r="N12" s="79"/>
      <c r="O12" s="82"/>
      <c r="P12" s="95">
        <f>IF($C12="","",WEEKNUM($C12,IF(Set_WeekStart="Monday",2,1)))</f>
      </c>
      <c r="Q12" s="78">
        <f>IF($B12="","",IF(OR($M12="Complete",$M12="Attended",$M12="Skipped",$M12="Cancelled"),"No","Yes"))</f>
      </c>
      <c r="R12" s="78">
        <f>IF($B12="","",IF($Q12="No","COMPLETE",IF($C12="","NO DATE",IF($C12&lt;TODAY(),"OVERDUE",IF($C12-TODAY()&lt;=7,"THIS WEEK","SCHEDULED")))))</f>
      </c>
      <c r="S12" s="80"/>
      <c r="T12" s="78">
        <f>IF(AND($Q12="Yes",$C12&lt;&gt;"",$C12&gt;=TODAY(),$C12&lt;=TODAY()+7),$C12+ROW()/100000,"")</f>
      </c>
      <c r="U12" s="78">
        <f>IF($B12="",0,IF(COUNTIF('CHRISTMAS CALENDAR'!$B$6:$B$205,$B12)&gt;1,1,0))</f>
      </c>
      <c r="V12" s="78">
        <f>IF(OR(N($K12)&gt;0,N($L12)&gt;0),IF($J12="",1,IF(COUNTIF('MASTER BUDGET'!$D$6:$D$25,$J12)=0,1,0)),0)</f>
      </c>
      <c r="W12" s="75"/>
    </row>
    <row r="13" ht="17" customHeight="1" spans="1:23" x14ac:dyDescent="0.25">
      <c r="A13" s="75"/>
      <c r="B13" s="79"/>
      <c r="C13" s="82"/>
      <c r="D13" s="96"/>
      <c r="E13" s="79"/>
      <c r="F13" s="80"/>
      <c r="G13" s="79"/>
      <c r="H13" s="79"/>
      <c r="I13" s="79"/>
      <c r="J13" s="79"/>
      <c r="K13" s="86"/>
      <c r="L13" s="86"/>
      <c r="M13" s="79"/>
      <c r="N13" s="79"/>
      <c r="O13" s="82"/>
      <c r="P13" s="95">
        <f>IF($C13="","",WEEKNUM($C13,IF(Set_WeekStart="Monday",2,1)))</f>
      </c>
      <c r="Q13" s="78">
        <f>IF($B13="","",IF(OR($M13="Complete",$M13="Attended",$M13="Skipped",$M13="Cancelled"),"No","Yes"))</f>
      </c>
      <c r="R13" s="78">
        <f>IF($B13="","",IF($Q13="No","COMPLETE",IF($C13="","NO DATE",IF($C13&lt;TODAY(),"OVERDUE",IF($C13-TODAY()&lt;=7,"THIS WEEK","SCHEDULED")))))</f>
      </c>
      <c r="S13" s="80"/>
      <c r="T13" s="78">
        <f>IF(AND($Q13="Yes",$C13&lt;&gt;"",$C13&gt;=TODAY(),$C13&lt;=TODAY()+7),$C13+ROW()/100000,"")</f>
      </c>
      <c r="U13" s="78">
        <f>IF($B13="",0,IF(COUNTIF('CHRISTMAS CALENDAR'!$B$6:$B$205,$B13)&gt;1,1,0))</f>
      </c>
      <c r="V13" s="78">
        <f>IF(OR(N($K13)&gt;0,N($L13)&gt;0),IF($J13="",1,IF(COUNTIF('MASTER BUDGET'!$D$6:$D$25,$J13)=0,1,0)),0)</f>
      </c>
      <c r="W13" s="75"/>
    </row>
    <row r="14" ht="17" customHeight="1" spans="1:23" x14ac:dyDescent="0.25">
      <c r="A14" s="75"/>
      <c r="B14" s="79"/>
      <c r="C14" s="82"/>
      <c r="D14" s="96"/>
      <c r="E14" s="79"/>
      <c r="F14" s="80"/>
      <c r="G14" s="79"/>
      <c r="H14" s="79"/>
      <c r="I14" s="79"/>
      <c r="J14" s="79"/>
      <c r="K14" s="86"/>
      <c r="L14" s="86"/>
      <c r="M14" s="79"/>
      <c r="N14" s="79"/>
      <c r="O14" s="82"/>
      <c r="P14" s="95">
        <f>IF($C14="","",WEEKNUM($C14,IF(Set_WeekStart="Monday",2,1)))</f>
      </c>
      <c r="Q14" s="78">
        <f>IF($B14="","",IF(OR($M14="Complete",$M14="Attended",$M14="Skipped",$M14="Cancelled"),"No","Yes"))</f>
      </c>
      <c r="R14" s="78">
        <f>IF($B14="","",IF($Q14="No","COMPLETE",IF($C14="","NO DATE",IF($C14&lt;TODAY(),"OVERDUE",IF($C14-TODAY()&lt;=7,"THIS WEEK","SCHEDULED")))))</f>
      </c>
      <c r="S14" s="80"/>
      <c r="T14" s="78">
        <f>IF(AND($Q14="Yes",$C14&lt;&gt;"",$C14&gt;=TODAY(),$C14&lt;=TODAY()+7),$C14+ROW()/100000,"")</f>
      </c>
      <c r="U14" s="78">
        <f>IF($B14="",0,IF(COUNTIF('CHRISTMAS CALENDAR'!$B$6:$B$205,$B14)&gt;1,1,0))</f>
      </c>
      <c r="V14" s="78">
        <f>IF(OR(N($K14)&gt;0,N($L14)&gt;0),IF($J14="",1,IF(COUNTIF('MASTER BUDGET'!$D$6:$D$25,$J14)=0,1,0)),0)</f>
      </c>
      <c r="W14" s="75"/>
    </row>
    <row r="15" ht="17" customHeight="1" spans="1:23" x14ac:dyDescent="0.25">
      <c r="A15" s="75"/>
      <c r="B15" s="79"/>
      <c r="C15" s="82"/>
      <c r="D15" s="96"/>
      <c r="E15" s="79"/>
      <c r="F15" s="80"/>
      <c r="G15" s="79"/>
      <c r="H15" s="79"/>
      <c r="I15" s="79"/>
      <c r="J15" s="79"/>
      <c r="K15" s="86"/>
      <c r="L15" s="86"/>
      <c r="M15" s="79"/>
      <c r="N15" s="79"/>
      <c r="O15" s="82"/>
      <c r="P15" s="95">
        <f>IF($C15="","",WEEKNUM($C15,IF(Set_WeekStart="Monday",2,1)))</f>
      </c>
      <c r="Q15" s="78">
        <f>IF($B15="","",IF(OR($M15="Complete",$M15="Attended",$M15="Skipped",$M15="Cancelled"),"No","Yes"))</f>
      </c>
      <c r="R15" s="78">
        <f>IF($B15="","",IF($Q15="No","COMPLETE",IF($C15="","NO DATE",IF($C15&lt;TODAY(),"OVERDUE",IF($C15-TODAY()&lt;=7,"THIS WEEK","SCHEDULED")))))</f>
      </c>
      <c r="S15" s="80"/>
      <c r="T15" s="78">
        <f>IF(AND($Q15="Yes",$C15&lt;&gt;"",$C15&gt;=TODAY(),$C15&lt;=TODAY()+7),$C15+ROW()/100000,"")</f>
      </c>
      <c r="U15" s="78">
        <f>IF($B15="",0,IF(COUNTIF('CHRISTMAS CALENDAR'!$B$6:$B$205,$B15)&gt;1,1,0))</f>
      </c>
      <c r="V15" s="78">
        <f>IF(OR(N($K15)&gt;0,N($L15)&gt;0),IF($J15="",1,IF(COUNTIF('MASTER BUDGET'!$D$6:$D$25,$J15)=0,1,0)),0)</f>
      </c>
      <c r="W15" s="75"/>
    </row>
    <row r="16" ht="17" customHeight="1" spans="1:23" x14ac:dyDescent="0.25">
      <c r="A16" s="75"/>
      <c r="B16" s="79"/>
      <c r="C16" s="82"/>
      <c r="D16" s="96"/>
      <c r="E16" s="79"/>
      <c r="F16" s="80"/>
      <c r="G16" s="79"/>
      <c r="H16" s="79"/>
      <c r="I16" s="79"/>
      <c r="J16" s="79"/>
      <c r="K16" s="86"/>
      <c r="L16" s="86"/>
      <c r="M16" s="79"/>
      <c r="N16" s="79"/>
      <c r="O16" s="82"/>
      <c r="P16" s="95">
        <f>IF($C16="","",WEEKNUM($C16,IF(Set_WeekStart="Monday",2,1)))</f>
      </c>
      <c r="Q16" s="78">
        <f>IF($B16="","",IF(OR($M16="Complete",$M16="Attended",$M16="Skipped",$M16="Cancelled"),"No","Yes"))</f>
      </c>
      <c r="R16" s="78">
        <f>IF($B16="","",IF($Q16="No","COMPLETE",IF($C16="","NO DATE",IF($C16&lt;TODAY(),"OVERDUE",IF($C16-TODAY()&lt;=7,"THIS WEEK","SCHEDULED")))))</f>
      </c>
      <c r="S16" s="80"/>
      <c r="T16" s="78">
        <f>IF(AND($Q16="Yes",$C16&lt;&gt;"",$C16&gt;=TODAY(),$C16&lt;=TODAY()+7),$C16+ROW()/100000,"")</f>
      </c>
      <c r="U16" s="78">
        <f>IF($B16="",0,IF(COUNTIF('CHRISTMAS CALENDAR'!$B$6:$B$205,$B16)&gt;1,1,0))</f>
      </c>
      <c r="V16" s="78">
        <f>IF(OR(N($K16)&gt;0,N($L16)&gt;0),IF($J16="",1,IF(COUNTIF('MASTER BUDGET'!$D$6:$D$25,$J16)=0,1,0)),0)</f>
      </c>
      <c r="W16" s="75"/>
    </row>
    <row r="17" ht="17" customHeight="1" spans="1:23" x14ac:dyDescent="0.25">
      <c r="A17" s="75"/>
      <c r="B17" s="79"/>
      <c r="C17" s="82"/>
      <c r="D17" s="96"/>
      <c r="E17" s="79"/>
      <c r="F17" s="80"/>
      <c r="G17" s="79"/>
      <c r="H17" s="79"/>
      <c r="I17" s="79"/>
      <c r="J17" s="79"/>
      <c r="K17" s="86"/>
      <c r="L17" s="86"/>
      <c r="M17" s="79"/>
      <c r="N17" s="79"/>
      <c r="O17" s="82"/>
      <c r="P17" s="95">
        <f>IF($C17="","",WEEKNUM($C17,IF(Set_WeekStart="Monday",2,1)))</f>
      </c>
      <c r="Q17" s="78">
        <f>IF($B17="","",IF(OR($M17="Complete",$M17="Attended",$M17="Skipped",$M17="Cancelled"),"No","Yes"))</f>
      </c>
      <c r="R17" s="78">
        <f>IF($B17="","",IF($Q17="No","COMPLETE",IF($C17="","NO DATE",IF($C17&lt;TODAY(),"OVERDUE",IF($C17-TODAY()&lt;=7,"THIS WEEK","SCHEDULED")))))</f>
      </c>
      <c r="S17" s="80"/>
      <c r="T17" s="78">
        <f>IF(AND($Q17="Yes",$C17&lt;&gt;"",$C17&gt;=TODAY(),$C17&lt;=TODAY()+7),$C17+ROW()/100000,"")</f>
      </c>
      <c r="U17" s="78">
        <f>IF($B17="",0,IF(COUNTIF('CHRISTMAS CALENDAR'!$B$6:$B$205,$B17)&gt;1,1,0))</f>
      </c>
      <c r="V17" s="78">
        <f>IF(OR(N($K17)&gt;0,N($L17)&gt;0),IF($J17="",1,IF(COUNTIF('MASTER BUDGET'!$D$6:$D$25,$J17)=0,1,0)),0)</f>
      </c>
      <c r="W17" s="75"/>
    </row>
    <row r="18" ht="17" customHeight="1" spans="1:23" x14ac:dyDescent="0.25">
      <c r="A18" s="75"/>
      <c r="B18" s="79"/>
      <c r="C18" s="82"/>
      <c r="D18" s="96"/>
      <c r="E18" s="79"/>
      <c r="F18" s="80"/>
      <c r="G18" s="79"/>
      <c r="H18" s="79"/>
      <c r="I18" s="79"/>
      <c r="J18" s="79"/>
      <c r="K18" s="86"/>
      <c r="L18" s="86"/>
      <c r="M18" s="79"/>
      <c r="N18" s="79"/>
      <c r="O18" s="82"/>
      <c r="P18" s="95">
        <f>IF($C18="","",WEEKNUM($C18,IF(Set_WeekStart="Monday",2,1)))</f>
      </c>
      <c r="Q18" s="78">
        <f>IF($B18="","",IF(OR($M18="Complete",$M18="Attended",$M18="Skipped",$M18="Cancelled"),"No","Yes"))</f>
      </c>
      <c r="R18" s="78">
        <f>IF($B18="","",IF($Q18="No","COMPLETE",IF($C18="","NO DATE",IF($C18&lt;TODAY(),"OVERDUE",IF($C18-TODAY()&lt;=7,"THIS WEEK","SCHEDULED")))))</f>
      </c>
      <c r="S18" s="80"/>
      <c r="T18" s="78">
        <f>IF(AND($Q18="Yes",$C18&lt;&gt;"",$C18&gt;=TODAY(),$C18&lt;=TODAY()+7),$C18+ROW()/100000,"")</f>
      </c>
      <c r="U18" s="78">
        <f>IF($B18="",0,IF(COUNTIF('CHRISTMAS CALENDAR'!$B$6:$B$205,$B18)&gt;1,1,0))</f>
      </c>
      <c r="V18" s="78">
        <f>IF(OR(N($K18)&gt;0,N($L18)&gt;0),IF($J18="",1,IF(COUNTIF('MASTER BUDGET'!$D$6:$D$25,$J18)=0,1,0)),0)</f>
      </c>
      <c r="W18" s="75"/>
    </row>
    <row r="19" ht="17" customHeight="1" spans="1:23" x14ac:dyDescent="0.25">
      <c r="A19" s="75"/>
      <c r="B19" s="79"/>
      <c r="C19" s="82"/>
      <c r="D19" s="96"/>
      <c r="E19" s="79"/>
      <c r="F19" s="80"/>
      <c r="G19" s="79"/>
      <c r="H19" s="79"/>
      <c r="I19" s="79"/>
      <c r="J19" s="79"/>
      <c r="K19" s="86"/>
      <c r="L19" s="86"/>
      <c r="M19" s="79"/>
      <c r="N19" s="79"/>
      <c r="O19" s="82"/>
      <c r="P19" s="95">
        <f>IF($C19="","",WEEKNUM($C19,IF(Set_WeekStart="Monday",2,1)))</f>
      </c>
      <c r="Q19" s="78">
        <f>IF($B19="","",IF(OR($M19="Complete",$M19="Attended",$M19="Skipped",$M19="Cancelled"),"No","Yes"))</f>
      </c>
      <c r="R19" s="78">
        <f>IF($B19="","",IF($Q19="No","COMPLETE",IF($C19="","NO DATE",IF($C19&lt;TODAY(),"OVERDUE",IF($C19-TODAY()&lt;=7,"THIS WEEK","SCHEDULED")))))</f>
      </c>
      <c r="S19" s="80"/>
      <c r="T19" s="78">
        <f>IF(AND($Q19="Yes",$C19&lt;&gt;"",$C19&gt;=TODAY(),$C19&lt;=TODAY()+7),$C19+ROW()/100000,"")</f>
      </c>
      <c r="U19" s="78">
        <f>IF($B19="",0,IF(COUNTIF('CHRISTMAS CALENDAR'!$B$6:$B$205,$B19)&gt;1,1,0))</f>
      </c>
      <c r="V19" s="78">
        <f>IF(OR(N($K19)&gt;0,N($L19)&gt;0),IF($J19="",1,IF(COUNTIF('MASTER BUDGET'!$D$6:$D$25,$J19)=0,1,0)),0)</f>
      </c>
      <c r="W19" s="75"/>
    </row>
    <row r="20" ht="17" customHeight="1" spans="1:23" x14ac:dyDescent="0.25">
      <c r="A20" s="75"/>
      <c r="B20" s="79"/>
      <c r="C20" s="82"/>
      <c r="D20" s="96"/>
      <c r="E20" s="79"/>
      <c r="F20" s="80"/>
      <c r="G20" s="79"/>
      <c r="H20" s="79"/>
      <c r="I20" s="79"/>
      <c r="J20" s="79"/>
      <c r="K20" s="86"/>
      <c r="L20" s="86"/>
      <c r="M20" s="79"/>
      <c r="N20" s="79"/>
      <c r="O20" s="82"/>
      <c r="P20" s="95">
        <f>IF($C20="","",WEEKNUM($C20,IF(Set_WeekStart="Monday",2,1)))</f>
      </c>
      <c r="Q20" s="78">
        <f>IF($B20="","",IF(OR($M20="Complete",$M20="Attended",$M20="Skipped",$M20="Cancelled"),"No","Yes"))</f>
      </c>
      <c r="R20" s="78">
        <f>IF($B20="","",IF($Q20="No","COMPLETE",IF($C20="","NO DATE",IF($C20&lt;TODAY(),"OVERDUE",IF($C20-TODAY()&lt;=7,"THIS WEEK","SCHEDULED")))))</f>
      </c>
      <c r="S20" s="80"/>
      <c r="T20" s="78">
        <f>IF(AND($Q20="Yes",$C20&lt;&gt;"",$C20&gt;=TODAY(),$C20&lt;=TODAY()+7),$C20+ROW()/100000,"")</f>
      </c>
      <c r="U20" s="78">
        <f>IF($B20="",0,IF(COUNTIF('CHRISTMAS CALENDAR'!$B$6:$B$205,$B20)&gt;1,1,0))</f>
      </c>
      <c r="V20" s="78">
        <f>IF(OR(N($K20)&gt;0,N($L20)&gt;0),IF($J20="",1,IF(COUNTIF('MASTER BUDGET'!$D$6:$D$25,$J20)=0,1,0)),0)</f>
      </c>
      <c r="W20" s="75"/>
    </row>
    <row r="21" ht="17" customHeight="1" spans="1:23" x14ac:dyDescent="0.25">
      <c r="A21" s="75"/>
      <c r="B21" s="79"/>
      <c r="C21" s="82"/>
      <c r="D21" s="96"/>
      <c r="E21" s="79"/>
      <c r="F21" s="80"/>
      <c r="G21" s="79"/>
      <c r="H21" s="79"/>
      <c r="I21" s="79"/>
      <c r="J21" s="79"/>
      <c r="K21" s="86"/>
      <c r="L21" s="86"/>
      <c r="M21" s="79"/>
      <c r="N21" s="79"/>
      <c r="O21" s="82"/>
      <c r="P21" s="95">
        <f>IF($C21="","",WEEKNUM($C21,IF(Set_WeekStart="Monday",2,1)))</f>
      </c>
      <c r="Q21" s="78">
        <f>IF($B21="","",IF(OR($M21="Complete",$M21="Attended",$M21="Skipped",$M21="Cancelled"),"No","Yes"))</f>
      </c>
      <c r="R21" s="78">
        <f>IF($B21="","",IF($Q21="No","COMPLETE",IF($C21="","NO DATE",IF($C21&lt;TODAY(),"OVERDUE",IF($C21-TODAY()&lt;=7,"THIS WEEK","SCHEDULED")))))</f>
      </c>
      <c r="S21" s="80"/>
      <c r="T21" s="78">
        <f>IF(AND($Q21="Yes",$C21&lt;&gt;"",$C21&gt;=TODAY(),$C21&lt;=TODAY()+7),$C21+ROW()/100000,"")</f>
      </c>
      <c r="U21" s="78">
        <f>IF($B21="",0,IF(COUNTIF('CHRISTMAS CALENDAR'!$B$6:$B$205,$B21)&gt;1,1,0))</f>
      </c>
      <c r="V21" s="78">
        <f>IF(OR(N($K21)&gt;0,N($L21)&gt;0),IF($J21="",1,IF(COUNTIF('MASTER BUDGET'!$D$6:$D$25,$J21)=0,1,0)),0)</f>
      </c>
      <c r="W21" s="75"/>
    </row>
    <row r="22" ht="17" customHeight="1" spans="1:23" x14ac:dyDescent="0.25">
      <c r="A22" s="75"/>
      <c r="B22" s="79"/>
      <c r="C22" s="82"/>
      <c r="D22" s="96"/>
      <c r="E22" s="79"/>
      <c r="F22" s="80"/>
      <c r="G22" s="79"/>
      <c r="H22" s="79"/>
      <c r="I22" s="79"/>
      <c r="J22" s="79"/>
      <c r="K22" s="86"/>
      <c r="L22" s="86"/>
      <c r="M22" s="79"/>
      <c r="N22" s="79"/>
      <c r="O22" s="82"/>
      <c r="P22" s="95">
        <f>IF($C22="","",WEEKNUM($C22,IF(Set_WeekStart="Monday",2,1)))</f>
      </c>
      <c r="Q22" s="78">
        <f>IF($B22="","",IF(OR($M22="Complete",$M22="Attended",$M22="Skipped",$M22="Cancelled"),"No","Yes"))</f>
      </c>
      <c r="R22" s="78">
        <f>IF($B22="","",IF($Q22="No","COMPLETE",IF($C22="","NO DATE",IF($C22&lt;TODAY(),"OVERDUE",IF($C22-TODAY()&lt;=7,"THIS WEEK","SCHEDULED")))))</f>
      </c>
      <c r="S22" s="80"/>
      <c r="T22" s="78">
        <f>IF(AND($Q22="Yes",$C22&lt;&gt;"",$C22&gt;=TODAY(),$C22&lt;=TODAY()+7),$C22+ROW()/100000,"")</f>
      </c>
      <c r="U22" s="78">
        <f>IF($B22="",0,IF(COUNTIF('CHRISTMAS CALENDAR'!$B$6:$B$205,$B22)&gt;1,1,0))</f>
      </c>
      <c r="V22" s="78">
        <f>IF(OR(N($K22)&gt;0,N($L22)&gt;0),IF($J22="",1,IF(COUNTIF('MASTER BUDGET'!$D$6:$D$25,$J22)=0,1,0)),0)</f>
      </c>
      <c r="W22" s="75"/>
    </row>
    <row r="23" ht="17" customHeight="1" spans="1:23" x14ac:dyDescent="0.25">
      <c r="A23" s="75"/>
      <c r="B23" s="79"/>
      <c r="C23" s="82"/>
      <c r="D23" s="96"/>
      <c r="E23" s="79"/>
      <c r="F23" s="80"/>
      <c r="G23" s="79"/>
      <c r="H23" s="79"/>
      <c r="I23" s="79"/>
      <c r="J23" s="79"/>
      <c r="K23" s="86"/>
      <c r="L23" s="86"/>
      <c r="M23" s="79"/>
      <c r="N23" s="79"/>
      <c r="O23" s="82"/>
      <c r="P23" s="95">
        <f>IF($C23="","",WEEKNUM($C23,IF(Set_WeekStart="Monday",2,1)))</f>
      </c>
      <c r="Q23" s="78">
        <f>IF($B23="","",IF(OR($M23="Complete",$M23="Attended",$M23="Skipped",$M23="Cancelled"),"No","Yes"))</f>
      </c>
      <c r="R23" s="78">
        <f>IF($B23="","",IF($Q23="No","COMPLETE",IF($C23="","NO DATE",IF($C23&lt;TODAY(),"OVERDUE",IF($C23-TODAY()&lt;=7,"THIS WEEK","SCHEDULED")))))</f>
      </c>
      <c r="S23" s="80"/>
      <c r="T23" s="78">
        <f>IF(AND($Q23="Yes",$C23&lt;&gt;"",$C23&gt;=TODAY(),$C23&lt;=TODAY()+7),$C23+ROW()/100000,"")</f>
      </c>
      <c r="U23" s="78">
        <f>IF($B23="",0,IF(COUNTIF('CHRISTMAS CALENDAR'!$B$6:$B$205,$B23)&gt;1,1,0))</f>
      </c>
      <c r="V23" s="78">
        <f>IF(OR(N($K23)&gt;0,N($L23)&gt;0),IF($J23="",1,IF(COUNTIF('MASTER BUDGET'!$D$6:$D$25,$J23)=0,1,0)),0)</f>
      </c>
      <c r="W23" s="75"/>
    </row>
    <row r="24" ht="17" customHeight="1" spans="1:23" x14ac:dyDescent="0.25">
      <c r="A24" s="75"/>
      <c r="B24" s="79"/>
      <c r="C24" s="82"/>
      <c r="D24" s="96"/>
      <c r="E24" s="79"/>
      <c r="F24" s="80"/>
      <c r="G24" s="79"/>
      <c r="H24" s="79"/>
      <c r="I24" s="79"/>
      <c r="J24" s="79"/>
      <c r="K24" s="86"/>
      <c r="L24" s="86"/>
      <c r="M24" s="79"/>
      <c r="N24" s="79"/>
      <c r="O24" s="82"/>
      <c r="P24" s="95">
        <f>IF($C24="","",WEEKNUM($C24,IF(Set_WeekStart="Monday",2,1)))</f>
      </c>
      <c r="Q24" s="78">
        <f>IF($B24="","",IF(OR($M24="Complete",$M24="Attended",$M24="Skipped",$M24="Cancelled"),"No","Yes"))</f>
      </c>
      <c r="R24" s="78">
        <f>IF($B24="","",IF($Q24="No","COMPLETE",IF($C24="","NO DATE",IF($C24&lt;TODAY(),"OVERDUE",IF($C24-TODAY()&lt;=7,"THIS WEEK","SCHEDULED")))))</f>
      </c>
      <c r="S24" s="80"/>
      <c r="T24" s="78">
        <f>IF(AND($Q24="Yes",$C24&lt;&gt;"",$C24&gt;=TODAY(),$C24&lt;=TODAY()+7),$C24+ROW()/100000,"")</f>
      </c>
      <c r="U24" s="78">
        <f>IF($B24="",0,IF(COUNTIF('CHRISTMAS CALENDAR'!$B$6:$B$205,$B24)&gt;1,1,0))</f>
      </c>
      <c r="V24" s="78">
        <f>IF(OR(N($K24)&gt;0,N($L24)&gt;0),IF($J24="",1,IF(COUNTIF('MASTER BUDGET'!$D$6:$D$25,$J24)=0,1,0)),0)</f>
      </c>
      <c r="W24" s="75"/>
    </row>
    <row r="25" ht="17" customHeight="1" spans="1:23" x14ac:dyDescent="0.25">
      <c r="A25" s="75"/>
      <c r="B25" s="79"/>
      <c r="C25" s="82"/>
      <c r="D25" s="96"/>
      <c r="E25" s="79"/>
      <c r="F25" s="80"/>
      <c r="G25" s="79"/>
      <c r="H25" s="79"/>
      <c r="I25" s="79"/>
      <c r="J25" s="79"/>
      <c r="K25" s="86"/>
      <c r="L25" s="86"/>
      <c r="M25" s="79"/>
      <c r="N25" s="79"/>
      <c r="O25" s="82"/>
      <c r="P25" s="95">
        <f>IF($C25="","",WEEKNUM($C25,IF(Set_WeekStart="Monday",2,1)))</f>
      </c>
      <c r="Q25" s="78">
        <f>IF($B25="","",IF(OR($M25="Complete",$M25="Attended",$M25="Skipped",$M25="Cancelled"),"No","Yes"))</f>
      </c>
      <c r="R25" s="78">
        <f>IF($B25="","",IF($Q25="No","COMPLETE",IF($C25="","NO DATE",IF($C25&lt;TODAY(),"OVERDUE",IF($C25-TODAY()&lt;=7,"THIS WEEK","SCHEDULED")))))</f>
      </c>
      <c r="S25" s="80"/>
      <c r="T25" s="78">
        <f>IF(AND($Q25="Yes",$C25&lt;&gt;"",$C25&gt;=TODAY(),$C25&lt;=TODAY()+7),$C25+ROW()/100000,"")</f>
      </c>
      <c r="U25" s="78">
        <f>IF($B25="",0,IF(COUNTIF('CHRISTMAS CALENDAR'!$B$6:$B$205,$B25)&gt;1,1,0))</f>
      </c>
      <c r="V25" s="78">
        <f>IF(OR(N($K25)&gt;0,N($L25)&gt;0),IF($J25="",1,IF(COUNTIF('MASTER BUDGET'!$D$6:$D$25,$J25)=0,1,0)),0)</f>
      </c>
      <c r="W25" s="75"/>
    </row>
    <row r="26" ht="17" customHeight="1" spans="1:23" x14ac:dyDescent="0.25">
      <c r="A26" s="75"/>
      <c r="B26" s="79"/>
      <c r="C26" s="82"/>
      <c r="D26" s="96"/>
      <c r="E26" s="79"/>
      <c r="F26" s="80"/>
      <c r="G26" s="79"/>
      <c r="H26" s="79"/>
      <c r="I26" s="79"/>
      <c r="J26" s="79"/>
      <c r="K26" s="86"/>
      <c r="L26" s="86"/>
      <c r="M26" s="79"/>
      <c r="N26" s="79"/>
      <c r="O26" s="82"/>
      <c r="P26" s="95">
        <f>IF($C26="","",WEEKNUM($C26,IF(Set_WeekStart="Monday",2,1)))</f>
      </c>
      <c r="Q26" s="78">
        <f>IF($B26="","",IF(OR($M26="Complete",$M26="Attended",$M26="Skipped",$M26="Cancelled"),"No","Yes"))</f>
      </c>
      <c r="R26" s="78">
        <f>IF($B26="","",IF($Q26="No","COMPLETE",IF($C26="","NO DATE",IF($C26&lt;TODAY(),"OVERDUE",IF($C26-TODAY()&lt;=7,"THIS WEEK","SCHEDULED")))))</f>
      </c>
      <c r="S26" s="80"/>
      <c r="T26" s="78">
        <f>IF(AND($Q26="Yes",$C26&lt;&gt;"",$C26&gt;=TODAY(),$C26&lt;=TODAY()+7),$C26+ROW()/100000,"")</f>
      </c>
      <c r="U26" s="78">
        <f>IF($B26="",0,IF(COUNTIF('CHRISTMAS CALENDAR'!$B$6:$B$205,$B26)&gt;1,1,0))</f>
      </c>
      <c r="V26" s="78">
        <f>IF(OR(N($K26)&gt;0,N($L26)&gt;0),IF($J26="",1,IF(COUNTIF('MASTER BUDGET'!$D$6:$D$25,$J26)=0,1,0)),0)</f>
      </c>
      <c r="W26" s="75"/>
    </row>
    <row r="27" ht="17" customHeight="1" spans="1:23" x14ac:dyDescent="0.25">
      <c r="A27" s="75"/>
      <c r="B27" s="79"/>
      <c r="C27" s="82"/>
      <c r="D27" s="96"/>
      <c r="E27" s="79"/>
      <c r="F27" s="80"/>
      <c r="G27" s="79"/>
      <c r="H27" s="79"/>
      <c r="I27" s="79"/>
      <c r="J27" s="79"/>
      <c r="K27" s="86"/>
      <c r="L27" s="86"/>
      <c r="M27" s="79"/>
      <c r="N27" s="79"/>
      <c r="O27" s="82"/>
      <c r="P27" s="95">
        <f>IF($C27="","",WEEKNUM($C27,IF(Set_WeekStart="Monday",2,1)))</f>
      </c>
      <c r="Q27" s="78">
        <f>IF($B27="","",IF(OR($M27="Complete",$M27="Attended",$M27="Skipped",$M27="Cancelled"),"No","Yes"))</f>
      </c>
      <c r="R27" s="78">
        <f>IF($B27="","",IF($Q27="No","COMPLETE",IF($C27="","NO DATE",IF($C27&lt;TODAY(),"OVERDUE",IF($C27-TODAY()&lt;=7,"THIS WEEK","SCHEDULED")))))</f>
      </c>
      <c r="S27" s="80"/>
      <c r="T27" s="78">
        <f>IF(AND($Q27="Yes",$C27&lt;&gt;"",$C27&gt;=TODAY(),$C27&lt;=TODAY()+7),$C27+ROW()/100000,"")</f>
      </c>
      <c r="U27" s="78">
        <f>IF($B27="",0,IF(COUNTIF('CHRISTMAS CALENDAR'!$B$6:$B$205,$B27)&gt;1,1,0))</f>
      </c>
      <c r="V27" s="78">
        <f>IF(OR(N($K27)&gt;0,N($L27)&gt;0),IF($J27="",1,IF(COUNTIF('MASTER BUDGET'!$D$6:$D$25,$J27)=0,1,0)),0)</f>
      </c>
      <c r="W27" s="75"/>
    </row>
    <row r="28" ht="17" customHeight="1" spans="1:23" x14ac:dyDescent="0.25">
      <c r="A28" s="75"/>
      <c r="B28" s="79"/>
      <c r="C28" s="82"/>
      <c r="D28" s="96"/>
      <c r="E28" s="79"/>
      <c r="F28" s="80"/>
      <c r="G28" s="79"/>
      <c r="H28" s="79"/>
      <c r="I28" s="79"/>
      <c r="J28" s="79"/>
      <c r="K28" s="86"/>
      <c r="L28" s="86"/>
      <c r="M28" s="79"/>
      <c r="N28" s="79"/>
      <c r="O28" s="82"/>
      <c r="P28" s="95">
        <f>IF($C28="","",WEEKNUM($C28,IF(Set_WeekStart="Monday",2,1)))</f>
      </c>
      <c r="Q28" s="78">
        <f>IF($B28="","",IF(OR($M28="Complete",$M28="Attended",$M28="Skipped",$M28="Cancelled"),"No","Yes"))</f>
      </c>
      <c r="R28" s="78">
        <f>IF($B28="","",IF($Q28="No","COMPLETE",IF($C28="","NO DATE",IF($C28&lt;TODAY(),"OVERDUE",IF($C28-TODAY()&lt;=7,"THIS WEEK","SCHEDULED")))))</f>
      </c>
      <c r="S28" s="80"/>
      <c r="T28" s="78">
        <f>IF(AND($Q28="Yes",$C28&lt;&gt;"",$C28&gt;=TODAY(),$C28&lt;=TODAY()+7),$C28+ROW()/100000,"")</f>
      </c>
      <c r="U28" s="78">
        <f>IF($B28="",0,IF(COUNTIF('CHRISTMAS CALENDAR'!$B$6:$B$205,$B28)&gt;1,1,0))</f>
      </c>
      <c r="V28" s="78">
        <f>IF(OR(N($K28)&gt;0,N($L28)&gt;0),IF($J28="",1,IF(COUNTIF('MASTER BUDGET'!$D$6:$D$25,$J28)=0,1,0)),0)</f>
      </c>
      <c r="W28" s="75"/>
    </row>
    <row r="29" ht="17" customHeight="1" spans="1:23" x14ac:dyDescent="0.25">
      <c r="A29" s="75"/>
      <c r="B29" s="79"/>
      <c r="C29" s="82"/>
      <c r="D29" s="96"/>
      <c r="E29" s="79"/>
      <c r="F29" s="80"/>
      <c r="G29" s="79"/>
      <c r="H29" s="79"/>
      <c r="I29" s="79"/>
      <c r="J29" s="79"/>
      <c r="K29" s="86"/>
      <c r="L29" s="86"/>
      <c r="M29" s="79"/>
      <c r="N29" s="79"/>
      <c r="O29" s="82"/>
      <c r="P29" s="95">
        <f>IF($C29="","",WEEKNUM($C29,IF(Set_WeekStart="Monday",2,1)))</f>
      </c>
      <c r="Q29" s="78">
        <f>IF($B29="","",IF(OR($M29="Complete",$M29="Attended",$M29="Skipped",$M29="Cancelled"),"No","Yes"))</f>
      </c>
      <c r="R29" s="78">
        <f>IF($B29="","",IF($Q29="No","COMPLETE",IF($C29="","NO DATE",IF($C29&lt;TODAY(),"OVERDUE",IF($C29-TODAY()&lt;=7,"THIS WEEK","SCHEDULED")))))</f>
      </c>
      <c r="S29" s="80"/>
      <c r="T29" s="78">
        <f>IF(AND($Q29="Yes",$C29&lt;&gt;"",$C29&gt;=TODAY(),$C29&lt;=TODAY()+7),$C29+ROW()/100000,"")</f>
      </c>
      <c r="U29" s="78">
        <f>IF($B29="",0,IF(COUNTIF('CHRISTMAS CALENDAR'!$B$6:$B$205,$B29)&gt;1,1,0))</f>
      </c>
      <c r="V29" s="78">
        <f>IF(OR(N($K29)&gt;0,N($L29)&gt;0),IF($J29="",1,IF(COUNTIF('MASTER BUDGET'!$D$6:$D$25,$J29)=0,1,0)),0)</f>
      </c>
      <c r="W29" s="75"/>
    </row>
    <row r="30" ht="17" customHeight="1" spans="1:23" x14ac:dyDescent="0.25">
      <c r="A30" s="75"/>
      <c r="B30" s="79"/>
      <c r="C30" s="82"/>
      <c r="D30" s="96"/>
      <c r="E30" s="79"/>
      <c r="F30" s="80"/>
      <c r="G30" s="79"/>
      <c r="H30" s="79"/>
      <c r="I30" s="79"/>
      <c r="J30" s="79"/>
      <c r="K30" s="86"/>
      <c r="L30" s="86"/>
      <c r="M30" s="79"/>
      <c r="N30" s="79"/>
      <c r="O30" s="82"/>
      <c r="P30" s="95">
        <f>IF($C30="","",WEEKNUM($C30,IF(Set_WeekStart="Monday",2,1)))</f>
      </c>
      <c r="Q30" s="78">
        <f>IF($B30="","",IF(OR($M30="Complete",$M30="Attended",$M30="Skipped",$M30="Cancelled"),"No","Yes"))</f>
      </c>
      <c r="R30" s="78">
        <f>IF($B30="","",IF($Q30="No","COMPLETE",IF($C30="","NO DATE",IF($C30&lt;TODAY(),"OVERDUE",IF($C30-TODAY()&lt;=7,"THIS WEEK","SCHEDULED")))))</f>
      </c>
      <c r="S30" s="80"/>
      <c r="T30" s="78">
        <f>IF(AND($Q30="Yes",$C30&lt;&gt;"",$C30&gt;=TODAY(),$C30&lt;=TODAY()+7),$C30+ROW()/100000,"")</f>
      </c>
      <c r="U30" s="78">
        <f>IF($B30="",0,IF(COUNTIF('CHRISTMAS CALENDAR'!$B$6:$B$205,$B30)&gt;1,1,0))</f>
      </c>
      <c r="V30" s="78">
        <f>IF(OR(N($K30)&gt;0,N($L30)&gt;0),IF($J30="",1,IF(COUNTIF('MASTER BUDGET'!$D$6:$D$25,$J30)=0,1,0)),0)</f>
      </c>
      <c r="W30" s="75"/>
    </row>
    <row r="31" ht="17" customHeight="1" spans="1:23" x14ac:dyDescent="0.25">
      <c r="A31" s="75"/>
      <c r="B31" s="79"/>
      <c r="C31" s="82"/>
      <c r="D31" s="96"/>
      <c r="E31" s="79"/>
      <c r="F31" s="80"/>
      <c r="G31" s="79"/>
      <c r="H31" s="79"/>
      <c r="I31" s="79"/>
      <c r="J31" s="79"/>
      <c r="K31" s="86"/>
      <c r="L31" s="86"/>
      <c r="M31" s="79"/>
      <c r="N31" s="79"/>
      <c r="O31" s="82"/>
      <c r="P31" s="95">
        <f>IF($C31="","",WEEKNUM($C31,IF(Set_WeekStart="Monday",2,1)))</f>
      </c>
      <c r="Q31" s="78">
        <f>IF($B31="","",IF(OR($M31="Complete",$M31="Attended",$M31="Skipped",$M31="Cancelled"),"No","Yes"))</f>
      </c>
      <c r="R31" s="78">
        <f>IF($B31="","",IF($Q31="No","COMPLETE",IF($C31="","NO DATE",IF($C31&lt;TODAY(),"OVERDUE",IF($C31-TODAY()&lt;=7,"THIS WEEK","SCHEDULED")))))</f>
      </c>
      <c r="S31" s="80"/>
      <c r="T31" s="78">
        <f>IF(AND($Q31="Yes",$C31&lt;&gt;"",$C31&gt;=TODAY(),$C31&lt;=TODAY()+7),$C31+ROW()/100000,"")</f>
      </c>
      <c r="U31" s="78">
        <f>IF($B31="",0,IF(COUNTIF('CHRISTMAS CALENDAR'!$B$6:$B$205,$B31)&gt;1,1,0))</f>
      </c>
      <c r="V31" s="78">
        <f>IF(OR(N($K31)&gt;0,N($L31)&gt;0),IF($J31="",1,IF(COUNTIF('MASTER BUDGET'!$D$6:$D$25,$J31)=0,1,0)),0)</f>
      </c>
      <c r="W31" s="75"/>
    </row>
    <row r="32" ht="17" customHeight="1" spans="1:23" x14ac:dyDescent="0.25">
      <c r="A32" s="75"/>
      <c r="B32" s="79"/>
      <c r="C32" s="82"/>
      <c r="D32" s="96"/>
      <c r="E32" s="79"/>
      <c r="F32" s="80"/>
      <c r="G32" s="79"/>
      <c r="H32" s="79"/>
      <c r="I32" s="79"/>
      <c r="J32" s="79"/>
      <c r="K32" s="86"/>
      <c r="L32" s="86"/>
      <c r="M32" s="79"/>
      <c r="N32" s="79"/>
      <c r="O32" s="82"/>
      <c r="P32" s="95">
        <f>IF($C32="","",WEEKNUM($C32,IF(Set_WeekStart="Monday",2,1)))</f>
      </c>
      <c r="Q32" s="78">
        <f>IF($B32="","",IF(OR($M32="Complete",$M32="Attended",$M32="Skipped",$M32="Cancelled"),"No","Yes"))</f>
      </c>
      <c r="R32" s="78">
        <f>IF($B32="","",IF($Q32="No","COMPLETE",IF($C32="","NO DATE",IF($C32&lt;TODAY(),"OVERDUE",IF($C32-TODAY()&lt;=7,"THIS WEEK","SCHEDULED")))))</f>
      </c>
      <c r="S32" s="80"/>
      <c r="T32" s="78">
        <f>IF(AND($Q32="Yes",$C32&lt;&gt;"",$C32&gt;=TODAY(),$C32&lt;=TODAY()+7),$C32+ROW()/100000,"")</f>
      </c>
      <c r="U32" s="78">
        <f>IF($B32="",0,IF(COUNTIF('CHRISTMAS CALENDAR'!$B$6:$B$205,$B32)&gt;1,1,0))</f>
      </c>
      <c r="V32" s="78">
        <f>IF(OR(N($K32)&gt;0,N($L32)&gt;0),IF($J32="",1,IF(COUNTIF('MASTER BUDGET'!$D$6:$D$25,$J32)=0,1,0)),0)</f>
      </c>
      <c r="W32" s="75"/>
    </row>
    <row r="33" ht="17" customHeight="1" spans="1:23" x14ac:dyDescent="0.25">
      <c r="A33" s="75"/>
      <c r="B33" s="79"/>
      <c r="C33" s="82"/>
      <c r="D33" s="96"/>
      <c r="E33" s="79"/>
      <c r="F33" s="80"/>
      <c r="G33" s="79"/>
      <c r="H33" s="79"/>
      <c r="I33" s="79"/>
      <c r="J33" s="79"/>
      <c r="K33" s="86"/>
      <c r="L33" s="86"/>
      <c r="M33" s="79"/>
      <c r="N33" s="79"/>
      <c r="O33" s="82"/>
      <c r="P33" s="95">
        <f>IF($C33="","",WEEKNUM($C33,IF(Set_WeekStart="Monday",2,1)))</f>
      </c>
      <c r="Q33" s="78">
        <f>IF($B33="","",IF(OR($M33="Complete",$M33="Attended",$M33="Skipped",$M33="Cancelled"),"No","Yes"))</f>
      </c>
      <c r="R33" s="78">
        <f>IF($B33="","",IF($Q33="No","COMPLETE",IF($C33="","NO DATE",IF($C33&lt;TODAY(),"OVERDUE",IF($C33-TODAY()&lt;=7,"THIS WEEK","SCHEDULED")))))</f>
      </c>
      <c r="S33" s="80"/>
      <c r="T33" s="78">
        <f>IF(AND($Q33="Yes",$C33&lt;&gt;"",$C33&gt;=TODAY(),$C33&lt;=TODAY()+7),$C33+ROW()/100000,"")</f>
      </c>
      <c r="U33" s="78">
        <f>IF($B33="",0,IF(COUNTIF('CHRISTMAS CALENDAR'!$B$6:$B$205,$B33)&gt;1,1,0))</f>
      </c>
      <c r="V33" s="78">
        <f>IF(OR(N($K33)&gt;0,N($L33)&gt;0),IF($J33="",1,IF(COUNTIF('MASTER BUDGET'!$D$6:$D$25,$J33)=0,1,0)),0)</f>
      </c>
      <c r="W33" s="75"/>
    </row>
    <row r="34" ht="17" customHeight="1" spans="1:23" x14ac:dyDescent="0.25">
      <c r="A34" s="75"/>
      <c r="B34" s="79"/>
      <c r="C34" s="82"/>
      <c r="D34" s="96"/>
      <c r="E34" s="79"/>
      <c r="F34" s="80"/>
      <c r="G34" s="79"/>
      <c r="H34" s="79"/>
      <c r="I34" s="79"/>
      <c r="J34" s="79"/>
      <c r="K34" s="86"/>
      <c r="L34" s="86"/>
      <c r="M34" s="79"/>
      <c r="N34" s="79"/>
      <c r="O34" s="82"/>
      <c r="P34" s="95">
        <f>IF($C34="","",WEEKNUM($C34,IF(Set_WeekStart="Monday",2,1)))</f>
      </c>
      <c r="Q34" s="78">
        <f>IF($B34="","",IF(OR($M34="Complete",$M34="Attended",$M34="Skipped",$M34="Cancelled"),"No","Yes"))</f>
      </c>
      <c r="R34" s="78">
        <f>IF($B34="","",IF($Q34="No","COMPLETE",IF($C34="","NO DATE",IF($C34&lt;TODAY(),"OVERDUE",IF($C34-TODAY()&lt;=7,"THIS WEEK","SCHEDULED")))))</f>
      </c>
      <c r="S34" s="80"/>
      <c r="T34" s="78">
        <f>IF(AND($Q34="Yes",$C34&lt;&gt;"",$C34&gt;=TODAY(),$C34&lt;=TODAY()+7),$C34+ROW()/100000,"")</f>
      </c>
      <c r="U34" s="78">
        <f>IF($B34="",0,IF(COUNTIF('CHRISTMAS CALENDAR'!$B$6:$B$205,$B34)&gt;1,1,0))</f>
      </c>
      <c r="V34" s="78">
        <f>IF(OR(N($K34)&gt;0,N($L34)&gt;0),IF($J34="",1,IF(COUNTIF('MASTER BUDGET'!$D$6:$D$25,$J34)=0,1,0)),0)</f>
      </c>
      <c r="W34" s="75"/>
    </row>
    <row r="35" ht="17" customHeight="1" spans="1:23" x14ac:dyDescent="0.25">
      <c r="A35" s="75"/>
      <c r="B35" s="79"/>
      <c r="C35" s="82"/>
      <c r="D35" s="96"/>
      <c r="E35" s="79"/>
      <c r="F35" s="80"/>
      <c r="G35" s="79"/>
      <c r="H35" s="79"/>
      <c r="I35" s="79"/>
      <c r="J35" s="79"/>
      <c r="K35" s="86"/>
      <c r="L35" s="86"/>
      <c r="M35" s="79"/>
      <c r="N35" s="79"/>
      <c r="O35" s="82"/>
      <c r="P35" s="95">
        <f>IF($C35="","",WEEKNUM($C35,IF(Set_WeekStart="Monday",2,1)))</f>
      </c>
      <c r="Q35" s="78">
        <f>IF($B35="","",IF(OR($M35="Complete",$M35="Attended",$M35="Skipped",$M35="Cancelled"),"No","Yes"))</f>
      </c>
      <c r="R35" s="78">
        <f>IF($B35="","",IF($Q35="No","COMPLETE",IF($C35="","NO DATE",IF($C35&lt;TODAY(),"OVERDUE",IF($C35-TODAY()&lt;=7,"THIS WEEK","SCHEDULED")))))</f>
      </c>
      <c r="S35" s="80"/>
      <c r="T35" s="78">
        <f>IF(AND($Q35="Yes",$C35&lt;&gt;"",$C35&gt;=TODAY(),$C35&lt;=TODAY()+7),$C35+ROW()/100000,"")</f>
      </c>
      <c r="U35" s="78">
        <f>IF($B35="",0,IF(COUNTIF('CHRISTMAS CALENDAR'!$B$6:$B$205,$B35)&gt;1,1,0))</f>
      </c>
      <c r="V35" s="78">
        <f>IF(OR(N($K35)&gt;0,N($L35)&gt;0),IF($J35="",1,IF(COUNTIF('MASTER BUDGET'!$D$6:$D$25,$J35)=0,1,0)),0)</f>
      </c>
      <c r="W35" s="75"/>
    </row>
    <row r="36" ht="17" customHeight="1" spans="1:23" x14ac:dyDescent="0.25">
      <c r="A36" s="75"/>
      <c r="B36" s="79"/>
      <c r="C36" s="82"/>
      <c r="D36" s="96"/>
      <c r="E36" s="79"/>
      <c r="F36" s="80"/>
      <c r="G36" s="79"/>
      <c r="H36" s="79"/>
      <c r="I36" s="79"/>
      <c r="J36" s="79"/>
      <c r="K36" s="86"/>
      <c r="L36" s="86"/>
      <c r="M36" s="79"/>
      <c r="N36" s="79"/>
      <c r="O36" s="82"/>
      <c r="P36" s="95">
        <f>IF($C36="","",WEEKNUM($C36,IF(Set_WeekStart="Monday",2,1)))</f>
      </c>
      <c r="Q36" s="78">
        <f>IF($B36="","",IF(OR($M36="Complete",$M36="Attended",$M36="Skipped",$M36="Cancelled"),"No","Yes"))</f>
      </c>
      <c r="R36" s="78">
        <f>IF($B36="","",IF($Q36="No","COMPLETE",IF($C36="","NO DATE",IF($C36&lt;TODAY(),"OVERDUE",IF($C36-TODAY()&lt;=7,"THIS WEEK","SCHEDULED")))))</f>
      </c>
      <c r="S36" s="80"/>
      <c r="T36" s="78">
        <f>IF(AND($Q36="Yes",$C36&lt;&gt;"",$C36&gt;=TODAY(),$C36&lt;=TODAY()+7),$C36+ROW()/100000,"")</f>
      </c>
      <c r="U36" s="78">
        <f>IF($B36="",0,IF(COUNTIF('CHRISTMAS CALENDAR'!$B$6:$B$205,$B36)&gt;1,1,0))</f>
      </c>
      <c r="V36" s="78">
        <f>IF(OR(N($K36)&gt;0,N($L36)&gt;0),IF($J36="",1,IF(COUNTIF('MASTER BUDGET'!$D$6:$D$25,$J36)=0,1,0)),0)</f>
      </c>
      <c r="W36" s="75"/>
    </row>
    <row r="37" ht="17" customHeight="1" spans="1:23" x14ac:dyDescent="0.25">
      <c r="A37" s="75"/>
      <c r="B37" s="79"/>
      <c r="C37" s="82"/>
      <c r="D37" s="96"/>
      <c r="E37" s="79"/>
      <c r="F37" s="80"/>
      <c r="G37" s="79"/>
      <c r="H37" s="79"/>
      <c r="I37" s="79"/>
      <c r="J37" s="79"/>
      <c r="K37" s="86"/>
      <c r="L37" s="86"/>
      <c r="M37" s="79"/>
      <c r="N37" s="79"/>
      <c r="O37" s="82"/>
      <c r="P37" s="95">
        <f>IF($C37="","",WEEKNUM($C37,IF(Set_WeekStart="Monday",2,1)))</f>
      </c>
      <c r="Q37" s="78">
        <f>IF($B37="","",IF(OR($M37="Complete",$M37="Attended",$M37="Skipped",$M37="Cancelled"),"No","Yes"))</f>
      </c>
      <c r="R37" s="78">
        <f>IF($B37="","",IF($Q37="No","COMPLETE",IF($C37="","NO DATE",IF($C37&lt;TODAY(),"OVERDUE",IF($C37-TODAY()&lt;=7,"THIS WEEK","SCHEDULED")))))</f>
      </c>
      <c r="S37" s="80"/>
      <c r="T37" s="78">
        <f>IF(AND($Q37="Yes",$C37&lt;&gt;"",$C37&gt;=TODAY(),$C37&lt;=TODAY()+7),$C37+ROW()/100000,"")</f>
      </c>
      <c r="U37" s="78">
        <f>IF($B37="",0,IF(COUNTIF('CHRISTMAS CALENDAR'!$B$6:$B$205,$B37)&gt;1,1,0))</f>
      </c>
      <c r="V37" s="78">
        <f>IF(OR(N($K37)&gt;0,N($L37)&gt;0),IF($J37="",1,IF(COUNTIF('MASTER BUDGET'!$D$6:$D$25,$J37)=0,1,0)),0)</f>
      </c>
      <c r="W37" s="75"/>
    </row>
    <row r="38" ht="17" customHeight="1" spans="1:23" x14ac:dyDescent="0.25">
      <c r="A38" s="75"/>
      <c r="B38" s="79"/>
      <c r="C38" s="82"/>
      <c r="D38" s="96"/>
      <c r="E38" s="79"/>
      <c r="F38" s="80"/>
      <c r="G38" s="79"/>
      <c r="H38" s="79"/>
      <c r="I38" s="79"/>
      <c r="J38" s="79"/>
      <c r="K38" s="86"/>
      <c r="L38" s="86"/>
      <c r="M38" s="79"/>
      <c r="N38" s="79"/>
      <c r="O38" s="82"/>
      <c r="P38" s="95">
        <f>IF($C38="","",WEEKNUM($C38,IF(Set_WeekStart="Monday",2,1)))</f>
      </c>
      <c r="Q38" s="78">
        <f>IF($B38="","",IF(OR($M38="Complete",$M38="Attended",$M38="Skipped",$M38="Cancelled"),"No","Yes"))</f>
      </c>
      <c r="R38" s="78">
        <f>IF($B38="","",IF($Q38="No","COMPLETE",IF($C38="","NO DATE",IF($C38&lt;TODAY(),"OVERDUE",IF($C38-TODAY()&lt;=7,"THIS WEEK","SCHEDULED")))))</f>
      </c>
      <c r="S38" s="80"/>
      <c r="T38" s="78">
        <f>IF(AND($Q38="Yes",$C38&lt;&gt;"",$C38&gt;=TODAY(),$C38&lt;=TODAY()+7),$C38+ROW()/100000,"")</f>
      </c>
      <c r="U38" s="78">
        <f>IF($B38="",0,IF(COUNTIF('CHRISTMAS CALENDAR'!$B$6:$B$205,$B38)&gt;1,1,0))</f>
      </c>
      <c r="V38" s="78">
        <f>IF(OR(N($K38)&gt;0,N($L38)&gt;0),IF($J38="",1,IF(COUNTIF('MASTER BUDGET'!$D$6:$D$25,$J38)=0,1,0)),0)</f>
      </c>
      <c r="W38" s="75"/>
    </row>
    <row r="39" ht="17" customHeight="1" spans="1:23" x14ac:dyDescent="0.25">
      <c r="A39" s="75"/>
      <c r="B39" s="79"/>
      <c r="C39" s="82"/>
      <c r="D39" s="96"/>
      <c r="E39" s="79"/>
      <c r="F39" s="80"/>
      <c r="G39" s="79"/>
      <c r="H39" s="79"/>
      <c r="I39" s="79"/>
      <c r="J39" s="79"/>
      <c r="K39" s="86"/>
      <c r="L39" s="86"/>
      <c r="M39" s="79"/>
      <c r="N39" s="79"/>
      <c r="O39" s="82"/>
      <c r="P39" s="95">
        <f>IF($C39="","",WEEKNUM($C39,IF(Set_WeekStart="Monday",2,1)))</f>
      </c>
      <c r="Q39" s="78">
        <f>IF($B39="","",IF(OR($M39="Complete",$M39="Attended",$M39="Skipped",$M39="Cancelled"),"No","Yes"))</f>
      </c>
      <c r="R39" s="78">
        <f>IF($B39="","",IF($Q39="No","COMPLETE",IF($C39="","NO DATE",IF($C39&lt;TODAY(),"OVERDUE",IF($C39-TODAY()&lt;=7,"THIS WEEK","SCHEDULED")))))</f>
      </c>
      <c r="S39" s="80"/>
      <c r="T39" s="78">
        <f>IF(AND($Q39="Yes",$C39&lt;&gt;"",$C39&gt;=TODAY(),$C39&lt;=TODAY()+7),$C39+ROW()/100000,"")</f>
      </c>
      <c r="U39" s="78">
        <f>IF($B39="",0,IF(COUNTIF('CHRISTMAS CALENDAR'!$B$6:$B$205,$B39)&gt;1,1,0))</f>
      </c>
      <c r="V39" s="78">
        <f>IF(OR(N($K39)&gt;0,N($L39)&gt;0),IF($J39="",1,IF(COUNTIF('MASTER BUDGET'!$D$6:$D$25,$J39)=0,1,0)),0)</f>
      </c>
      <c r="W39" s="75"/>
    </row>
    <row r="40" ht="17" customHeight="1" spans="1:23" x14ac:dyDescent="0.25">
      <c r="A40" s="75"/>
      <c r="B40" s="79"/>
      <c r="C40" s="82"/>
      <c r="D40" s="96"/>
      <c r="E40" s="79"/>
      <c r="F40" s="80"/>
      <c r="G40" s="79"/>
      <c r="H40" s="79"/>
      <c r="I40" s="79"/>
      <c r="J40" s="79"/>
      <c r="K40" s="86"/>
      <c r="L40" s="86"/>
      <c r="M40" s="79"/>
      <c r="N40" s="79"/>
      <c r="O40" s="82"/>
      <c r="P40" s="95">
        <f>IF($C40="","",WEEKNUM($C40,IF(Set_WeekStart="Monday",2,1)))</f>
      </c>
      <c r="Q40" s="78">
        <f>IF($B40="","",IF(OR($M40="Complete",$M40="Attended",$M40="Skipped",$M40="Cancelled"),"No","Yes"))</f>
      </c>
      <c r="R40" s="78">
        <f>IF($B40="","",IF($Q40="No","COMPLETE",IF($C40="","NO DATE",IF($C40&lt;TODAY(),"OVERDUE",IF($C40-TODAY()&lt;=7,"THIS WEEK","SCHEDULED")))))</f>
      </c>
      <c r="S40" s="80"/>
      <c r="T40" s="78">
        <f>IF(AND($Q40="Yes",$C40&lt;&gt;"",$C40&gt;=TODAY(),$C40&lt;=TODAY()+7),$C40+ROW()/100000,"")</f>
      </c>
      <c r="U40" s="78">
        <f>IF($B40="",0,IF(COUNTIF('CHRISTMAS CALENDAR'!$B$6:$B$205,$B40)&gt;1,1,0))</f>
      </c>
      <c r="V40" s="78">
        <f>IF(OR(N($K40)&gt;0,N($L40)&gt;0),IF($J40="",1,IF(COUNTIF('MASTER BUDGET'!$D$6:$D$25,$J40)=0,1,0)),0)</f>
      </c>
      <c r="W40" s="75"/>
    </row>
    <row r="41" ht="17" customHeight="1" spans="1:23" x14ac:dyDescent="0.25">
      <c r="A41" s="75"/>
      <c r="B41" s="79"/>
      <c r="C41" s="82"/>
      <c r="D41" s="96"/>
      <c r="E41" s="79"/>
      <c r="F41" s="80"/>
      <c r="G41" s="79"/>
      <c r="H41" s="79"/>
      <c r="I41" s="79"/>
      <c r="J41" s="79"/>
      <c r="K41" s="86"/>
      <c r="L41" s="86"/>
      <c r="M41" s="79"/>
      <c r="N41" s="79"/>
      <c r="O41" s="82"/>
      <c r="P41" s="95">
        <f>IF($C41="","",WEEKNUM($C41,IF(Set_WeekStart="Monday",2,1)))</f>
      </c>
      <c r="Q41" s="78">
        <f>IF($B41="","",IF(OR($M41="Complete",$M41="Attended",$M41="Skipped",$M41="Cancelled"),"No","Yes"))</f>
      </c>
      <c r="R41" s="78">
        <f>IF($B41="","",IF($Q41="No","COMPLETE",IF($C41="","NO DATE",IF($C41&lt;TODAY(),"OVERDUE",IF($C41-TODAY()&lt;=7,"THIS WEEK","SCHEDULED")))))</f>
      </c>
      <c r="S41" s="80"/>
      <c r="T41" s="78">
        <f>IF(AND($Q41="Yes",$C41&lt;&gt;"",$C41&gt;=TODAY(),$C41&lt;=TODAY()+7),$C41+ROW()/100000,"")</f>
      </c>
      <c r="U41" s="78">
        <f>IF($B41="",0,IF(COUNTIF('CHRISTMAS CALENDAR'!$B$6:$B$205,$B41)&gt;1,1,0))</f>
      </c>
      <c r="V41" s="78">
        <f>IF(OR(N($K41)&gt;0,N($L41)&gt;0),IF($J41="",1,IF(COUNTIF('MASTER BUDGET'!$D$6:$D$25,$J41)=0,1,0)),0)</f>
      </c>
      <c r="W41" s="75"/>
    </row>
    <row r="42" ht="17" customHeight="1" spans="1:23" x14ac:dyDescent="0.25">
      <c r="A42" s="75"/>
      <c r="B42" s="79"/>
      <c r="C42" s="82"/>
      <c r="D42" s="96"/>
      <c r="E42" s="79"/>
      <c r="F42" s="80"/>
      <c r="G42" s="79"/>
      <c r="H42" s="79"/>
      <c r="I42" s="79"/>
      <c r="J42" s="79"/>
      <c r="K42" s="86"/>
      <c r="L42" s="86"/>
      <c r="M42" s="79"/>
      <c r="N42" s="79"/>
      <c r="O42" s="82"/>
      <c r="P42" s="95">
        <f>IF($C42="","",WEEKNUM($C42,IF(Set_WeekStart="Monday",2,1)))</f>
      </c>
      <c r="Q42" s="78">
        <f>IF($B42="","",IF(OR($M42="Complete",$M42="Attended",$M42="Skipped",$M42="Cancelled"),"No","Yes"))</f>
      </c>
      <c r="R42" s="78">
        <f>IF($B42="","",IF($Q42="No","COMPLETE",IF($C42="","NO DATE",IF($C42&lt;TODAY(),"OVERDUE",IF($C42-TODAY()&lt;=7,"THIS WEEK","SCHEDULED")))))</f>
      </c>
      <c r="S42" s="80"/>
      <c r="T42" s="78">
        <f>IF(AND($Q42="Yes",$C42&lt;&gt;"",$C42&gt;=TODAY(),$C42&lt;=TODAY()+7),$C42+ROW()/100000,"")</f>
      </c>
      <c r="U42" s="78">
        <f>IF($B42="",0,IF(COUNTIF('CHRISTMAS CALENDAR'!$B$6:$B$205,$B42)&gt;1,1,0))</f>
      </c>
      <c r="V42" s="78">
        <f>IF(OR(N($K42)&gt;0,N($L42)&gt;0),IF($J42="",1,IF(COUNTIF('MASTER BUDGET'!$D$6:$D$25,$J42)=0,1,0)),0)</f>
      </c>
      <c r="W42" s="75"/>
    </row>
    <row r="43" ht="17" customHeight="1" spans="1:23" x14ac:dyDescent="0.25">
      <c r="A43" s="75"/>
      <c r="B43" s="79"/>
      <c r="C43" s="82"/>
      <c r="D43" s="96"/>
      <c r="E43" s="79"/>
      <c r="F43" s="80"/>
      <c r="G43" s="79"/>
      <c r="H43" s="79"/>
      <c r="I43" s="79"/>
      <c r="J43" s="79"/>
      <c r="K43" s="86"/>
      <c r="L43" s="86"/>
      <c r="M43" s="79"/>
      <c r="N43" s="79"/>
      <c r="O43" s="82"/>
      <c r="P43" s="95">
        <f>IF($C43="","",WEEKNUM($C43,IF(Set_WeekStart="Monday",2,1)))</f>
      </c>
      <c r="Q43" s="78">
        <f>IF($B43="","",IF(OR($M43="Complete",$M43="Attended",$M43="Skipped",$M43="Cancelled"),"No","Yes"))</f>
      </c>
      <c r="R43" s="78">
        <f>IF($B43="","",IF($Q43="No","COMPLETE",IF($C43="","NO DATE",IF($C43&lt;TODAY(),"OVERDUE",IF($C43-TODAY()&lt;=7,"THIS WEEK","SCHEDULED")))))</f>
      </c>
      <c r="S43" s="80"/>
      <c r="T43" s="78">
        <f>IF(AND($Q43="Yes",$C43&lt;&gt;"",$C43&gt;=TODAY(),$C43&lt;=TODAY()+7),$C43+ROW()/100000,"")</f>
      </c>
      <c r="U43" s="78">
        <f>IF($B43="",0,IF(COUNTIF('CHRISTMAS CALENDAR'!$B$6:$B$205,$B43)&gt;1,1,0))</f>
      </c>
      <c r="V43" s="78">
        <f>IF(OR(N($K43)&gt;0,N($L43)&gt;0),IF($J43="",1,IF(COUNTIF('MASTER BUDGET'!$D$6:$D$25,$J43)=0,1,0)),0)</f>
      </c>
      <c r="W43" s="75"/>
    </row>
    <row r="44" ht="17" customHeight="1" spans="1:23" x14ac:dyDescent="0.25">
      <c r="A44" s="75"/>
      <c r="B44" s="79"/>
      <c r="C44" s="82"/>
      <c r="D44" s="96"/>
      <c r="E44" s="79"/>
      <c r="F44" s="80"/>
      <c r="G44" s="79"/>
      <c r="H44" s="79"/>
      <c r="I44" s="79"/>
      <c r="J44" s="79"/>
      <c r="K44" s="86"/>
      <c r="L44" s="86"/>
      <c r="M44" s="79"/>
      <c r="N44" s="79"/>
      <c r="O44" s="82"/>
      <c r="P44" s="95">
        <f>IF($C44="","",WEEKNUM($C44,IF(Set_WeekStart="Monday",2,1)))</f>
      </c>
      <c r="Q44" s="78">
        <f>IF($B44="","",IF(OR($M44="Complete",$M44="Attended",$M44="Skipped",$M44="Cancelled"),"No","Yes"))</f>
      </c>
      <c r="R44" s="78">
        <f>IF($B44="","",IF($Q44="No","COMPLETE",IF($C44="","NO DATE",IF($C44&lt;TODAY(),"OVERDUE",IF($C44-TODAY()&lt;=7,"THIS WEEK","SCHEDULED")))))</f>
      </c>
      <c r="S44" s="80"/>
      <c r="T44" s="78">
        <f>IF(AND($Q44="Yes",$C44&lt;&gt;"",$C44&gt;=TODAY(),$C44&lt;=TODAY()+7),$C44+ROW()/100000,"")</f>
      </c>
      <c r="U44" s="78">
        <f>IF($B44="",0,IF(COUNTIF('CHRISTMAS CALENDAR'!$B$6:$B$205,$B44)&gt;1,1,0))</f>
      </c>
      <c r="V44" s="78">
        <f>IF(OR(N($K44)&gt;0,N($L44)&gt;0),IF($J44="",1,IF(COUNTIF('MASTER BUDGET'!$D$6:$D$25,$J44)=0,1,0)),0)</f>
      </c>
      <c r="W44" s="75"/>
    </row>
    <row r="45" ht="17" customHeight="1" spans="1:23" x14ac:dyDescent="0.25">
      <c r="A45" s="75"/>
      <c r="B45" s="79"/>
      <c r="C45" s="82"/>
      <c r="D45" s="96"/>
      <c r="E45" s="79"/>
      <c r="F45" s="80"/>
      <c r="G45" s="79"/>
      <c r="H45" s="79"/>
      <c r="I45" s="79"/>
      <c r="J45" s="79"/>
      <c r="K45" s="86"/>
      <c r="L45" s="86"/>
      <c r="M45" s="79"/>
      <c r="N45" s="79"/>
      <c r="O45" s="82"/>
      <c r="P45" s="95">
        <f>IF($C45="","",WEEKNUM($C45,IF(Set_WeekStart="Monday",2,1)))</f>
      </c>
      <c r="Q45" s="78">
        <f>IF($B45="","",IF(OR($M45="Complete",$M45="Attended",$M45="Skipped",$M45="Cancelled"),"No","Yes"))</f>
      </c>
      <c r="R45" s="78">
        <f>IF($B45="","",IF($Q45="No","COMPLETE",IF($C45="","NO DATE",IF($C45&lt;TODAY(),"OVERDUE",IF($C45-TODAY()&lt;=7,"THIS WEEK","SCHEDULED")))))</f>
      </c>
      <c r="S45" s="80"/>
      <c r="T45" s="78">
        <f>IF(AND($Q45="Yes",$C45&lt;&gt;"",$C45&gt;=TODAY(),$C45&lt;=TODAY()+7),$C45+ROW()/100000,"")</f>
      </c>
      <c r="U45" s="78">
        <f>IF($B45="",0,IF(COUNTIF('CHRISTMAS CALENDAR'!$B$6:$B$205,$B45)&gt;1,1,0))</f>
      </c>
      <c r="V45" s="78">
        <f>IF(OR(N($K45)&gt;0,N($L45)&gt;0),IF($J45="",1,IF(COUNTIF('MASTER BUDGET'!$D$6:$D$25,$J45)=0,1,0)),0)</f>
      </c>
      <c r="W45" s="75"/>
    </row>
    <row r="46" ht="17" customHeight="1" spans="1:23" x14ac:dyDescent="0.25">
      <c r="A46" s="75"/>
      <c r="B46" s="79"/>
      <c r="C46" s="82"/>
      <c r="D46" s="96"/>
      <c r="E46" s="79"/>
      <c r="F46" s="80"/>
      <c r="G46" s="79"/>
      <c r="H46" s="79"/>
      <c r="I46" s="79"/>
      <c r="J46" s="79"/>
      <c r="K46" s="86"/>
      <c r="L46" s="86"/>
      <c r="M46" s="79"/>
      <c r="N46" s="79"/>
      <c r="O46" s="82"/>
      <c r="P46" s="95">
        <f>IF($C46="","",WEEKNUM($C46,IF(Set_WeekStart="Monday",2,1)))</f>
      </c>
      <c r="Q46" s="78">
        <f>IF($B46="","",IF(OR($M46="Complete",$M46="Attended",$M46="Skipped",$M46="Cancelled"),"No","Yes"))</f>
      </c>
      <c r="R46" s="78">
        <f>IF($B46="","",IF($Q46="No","COMPLETE",IF($C46="","NO DATE",IF($C46&lt;TODAY(),"OVERDUE",IF($C46-TODAY()&lt;=7,"THIS WEEK","SCHEDULED")))))</f>
      </c>
      <c r="S46" s="80"/>
      <c r="T46" s="78">
        <f>IF(AND($Q46="Yes",$C46&lt;&gt;"",$C46&gt;=TODAY(),$C46&lt;=TODAY()+7),$C46+ROW()/100000,"")</f>
      </c>
      <c r="U46" s="78">
        <f>IF($B46="",0,IF(COUNTIF('CHRISTMAS CALENDAR'!$B$6:$B$205,$B46)&gt;1,1,0))</f>
      </c>
      <c r="V46" s="78">
        <f>IF(OR(N($K46)&gt;0,N($L46)&gt;0),IF($J46="",1,IF(COUNTIF('MASTER BUDGET'!$D$6:$D$25,$J46)=0,1,0)),0)</f>
      </c>
      <c r="W46" s="75"/>
    </row>
    <row r="47" ht="17" customHeight="1" spans="1:23" x14ac:dyDescent="0.25">
      <c r="A47" s="75"/>
      <c r="B47" s="79"/>
      <c r="C47" s="82"/>
      <c r="D47" s="96"/>
      <c r="E47" s="79"/>
      <c r="F47" s="80"/>
      <c r="G47" s="79"/>
      <c r="H47" s="79"/>
      <c r="I47" s="79"/>
      <c r="J47" s="79"/>
      <c r="K47" s="86"/>
      <c r="L47" s="86"/>
      <c r="M47" s="79"/>
      <c r="N47" s="79"/>
      <c r="O47" s="82"/>
      <c r="P47" s="95">
        <f>IF($C47="","",WEEKNUM($C47,IF(Set_WeekStart="Monday",2,1)))</f>
      </c>
      <c r="Q47" s="78">
        <f>IF($B47="","",IF(OR($M47="Complete",$M47="Attended",$M47="Skipped",$M47="Cancelled"),"No","Yes"))</f>
      </c>
      <c r="R47" s="78">
        <f>IF($B47="","",IF($Q47="No","COMPLETE",IF($C47="","NO DATE",IF($C47&lt;TODAY(),"OVERDUE",IF($C47-TODAY()&lt;=7,"THIS WEEK","SCHEDULED")))))</f>
      </c>
      <c r="S47" s="80"/>
      <c r="T47" s="78">
        <f>IF(AND($Q47="Yes",$C47&lt;&gt;"",$C47&gt;=TODAY(),$C47&lt;=TODAY()+7),$C47+ROW()/100000,"")</f>
      </c>
      <c r="U47" s="78">
        <f>IF($B47="",0,IF(COUNTIF('CHRISTMAS CALENDAR'!$B$6:$B$205,$B47)&gt;1,1,0))</f>
      </c>
      <c r="V47" s="78">
        <f>IF(OR(N($K47)&gt;0,N($L47)&gt;0),IF($J47="",1,IF(COUNTIF('MASTER BUDGET'!$D$6:$D$25,$J47)=0,1,0)),0)</f>
      </c>
      <c r="W47" s="75"/>
    </row>
    <row r="48" ht="17" customHeight="1" spans="1:23" x14ac:dyDescent="0.25">
      <c r="A48" s="75"/>
      <c r="B48" s="79"/>
      <c r="C48" s="82"/>
      <c r="D48" s="96"/>
      <c r="E48" s="79"/>
      <c r="F48" s="80"/>
      <c r="G48" s="79"/>
      <c r="H48" s="79"/>
      <c r="I48" s="79"/>
      <c r="J48" s="79"/>
      <c r="K48" s="86"/>
      <c r="L48" s="86"/>
      <c r="M48" s="79"/>
      <c r="N48" s="79"/>
      <c r="O48" s="82"/>
      <c r="P48" s="95">
        <f>IF($C48="","",WEEKNUM($C48,IF(Set_WeekStart="Monday",2,1)))</f>
      </c>
      <c r="Q48" s="78">
        <f>IF($B48="","",IF(OR($M48="Complete",$M48="Attended",$M48="Skipped",$M48="Cancelled"),"No","Yes"))</f>
      </c>
      <c r="R48" s="78">
        <f>IF($B48="","",IF($Q48="No","COMPLETE",IF($C48="","NO DATE",IF($C48&lt;TODAY(),"OVERDUE",IF($C48-TODAY()&lt;=7,"THIS WEEK","SCHEDULED")))))</f>
      </c>
      <c r="S48" s="80"/>
      <c r="T48" s="78">
        <f>IF(AND($Q48="Yes",$C48&lt;&gt;"",$C48&gt;=TODAY(),$C48&lt;=TODAY()+7),$C48+ROW()/100000,"")</f>
      </c>
      <c r="U48" s="78">
        <f>IF($B48="",0,IF(COUNTIF('CHRISTMAS CALENDAR'!$B$6:$B$205,$B48)&gt;1,1,0))</f>
      </c>
      <c r="V48" s="78">
        <f>IF(OR(N($K48)&gt;0,N($L48)&gt;0),IF($J48="",1,IF(COUNTIF('MASTER BUDGET'!$D$6:$D$25,$J48)=0,1,0)),0)</f>
      </c>
      <c r="W48" s="75"/>
    </row>
    <row r="49" ht="17" customHeight="1" spans="1:23" x14ac:dyDescent="0.25">
      <c r="A49" s="75"/>
      <c r="B49" s="79"/>
      <c r="C49" s="82"/>
      <c r="D49" s="96"/>
      <c r="E49" s="79"/>
      <c r="F49" s="80"/>
      <c r="G49" s="79"/>
      <c r="H49" s="79"/>
      <c r="I49" s="79"/>
      <c r="J49" s="79"/>
      <c r="K49" s="86"/>
      <c r="L49" s="86"/>
      <c r="M49" s="79"/>
      <c r="N49" s="79"/>
      <c r="O49" s="82"/>
      <c r="P49" s="95">
        <f>IF($C49="","",WEEKNUM($C49,IF(Set_WeekStart="Monday",2,1)))</f>
      </c>
      <c r="Q49" s="78">
        <f>IF($B49="","",IF(OR($M49="Complete",$M49="Attended",$M49="Skipped",$M49="Cancelled"),"No","Yes"))</f>
      </c>
      <c r="R49" s="78">
        <f>IF($B49="","",IF($Q49="No","COMPLETE",IF($C49="","NO DATE",IF($C49&lt;TODAY(),"OVERDUE",IF($C49-TODAY()&lt;=7,"THIS WEEK","SCHEDULED")))))</f>
      </c>
      <c r="S49" s="80"/>
      <c r="T49" s="78">
        <f>IF(AND($Q49="Yes",$C49&lt;&gt;"",$C49&gt;=TODAY(),$C49&lt;=TODAY()+7),$C49+ROW()/100000,"")</f>
      </c>
      <c r="U49" s="78">
        <f>IF($B49="",0,IF(COUNTIF('CHRISTMAS CALENDAR'!$B$6:$B$205,$B49)&gt;1,1,0))</f>
      </c>
      <c r="V49" s="78">
        <f>IF(OR(N($K49)&gt;0,N($L49)&gt;0),IF($J49="",1,IF(COUNTIF('MASTER BUDGET'!$D$6:$D$25,$J49)=0,1,0)),0)</f>
      </c>
      <c r="W49" s="75"/>
    </row>
    <row r="50" ht="17" customHeight="1" spans="1:23" x14ac:dyDescent="0.25">
      <c r="A50" s="75"/>
      <c r="B50" s="79"/>
      <c r="C50" s="82"/>
      <c r="D50" s="96"/>
      <c r="E50" s="79"/>
      <c r="F50" s="80"/>
      <c r="G50" s="79"/>
      <c r="H50" s="79"/>
      <c r="I50" s="79"/>
      <c r="J50" s="79"/>
      <c r="K50" s="86"/>
      <c r="L50" s="86"/>
      <c r="M50" s="79"/>
      <c r="N50" s="79"/>
      <c r="O50" s="82"/>
      <c r="P50" s="95">
        <f>IF($C50="","",WEEKNUM($C50,IF(Set_WeekStart="Monday",2,1)))</f>
      </c>
      <c r="Q50" s="78">
        <f>IF($B50="","",IF(OR($M50="Complete",$M50="Attended",$M50="Skipped",$M50="Cancelled"),"No","Yes"))</f>
      </c>
      <c r="R50" s="78">
        <f>IF($B50="","",IF($Q50="No","COMPLETE",IF($C50="","NO DATE",IF($C50&lt;TODAY(),"OVERDUE",IF($C50-TODAY()&lt;=7,"THIS WEEK","SCHEDULED")))))</f>
      </c>
      <c r="S50" s="80"/>
      <c r="T50" s="78">
        <f>IF(AND($Q50="Yes",$C50&lt;&gt;"",$C50&gt;=TODAY(),$C50&lt;=TODAY()+7),$C50+ROW()/100000,"")</f>
      </c>
      <c r="U50" s="78">
        <f>IF($B50="",0,IF(COUNTIF('CHRISTMAS CALENDAR'!$B$6:$B$205,$B50)&gt;1,1,0))</f>
      </c>
      <c r="V50" s="78">
        <f>IF(OR(N($K50)&gt;0,N($L50)&gt;0),IF($J50="",1,IF(COUNTIF('MASTER BUDGET'!$D$6:$D$25,$J50)=0,1,0)),0)</f>
      </c>
      <c r="W50" s="75"/>
    </row>
    <row r="51" ht="17" customHeight="1" spans="1:23" x14ac:dyDescent="0.25">
      <c r="A51" s="75"/>
      <c r="B51" s="79"/>
      <c r="C51" s="82"/>
      <c r="D51" s="96"/>
      <c r="E51" s="79"/>
      <c r="F51" s="80"/>
      <c r="G51" s="79"/>
      <c r="H51" s="79"/>
      <c r="I51" s="79"/>
      <c r="J51" s="79"/>
      <c r="K51" s="86"/>
      <c r="L51" s="86"/>
      <c r="M51" s="79"/>
      <c r="N51" s="79"/>
      <c r="O51" s="82"/>
      <c r="P51" s="95">
        <f>IF($C51="","",WEEKNUM($C51,IF(Set_WeekStart="Monday",2,1)))</f>
      </c>
      <c r="Q51" s="78">
        <f>IF($B51="","",IF(OR($M51="Complete",$M51="Attended",$M51="Skipped",$M51="Cancelled"),"No","Yes"))</f>
      </c>
      <c r="R51" s="78">
        <f>IF($B51="","",IF($Q51="No","COMPLETE",IF($C51="","NO DATE",IF($C51&lt;TODAY(),"OVERDUE",IF($C51-TODAY()&lt;=7,"THIS WEEK","SCHEDULED")))))</f>
      </c>
      <c r="S51" s="80"/>
      <c r="T51" s="78">
        <f>IF(AND($Q51="Yes",$C51&lt;&gt;"",$C51&gt;=TODAY(),$C51&lt;=TODAY()+7),$C51+ROW()/100000,"")</f>
      </c>
      <c r="U51" s="78">
        <f>IF($B51="",0,IF(COUNTIF('CHRISTMAS CALENDAR'!$B$6:$B$205,$B51)&gt;1,1,0))</f>
      </c>
      <c r="V51" s="78">
        <f>IF(OR(N($K51)&gt;0,N($L51)&gt;0),IF($J51="",1,IF(COUNTIF('MASTER BUDGET'!$D$6:$D$25,$J51)=0,1,0)),0)</f>
      </c>
      <c r="W51" s="75"/>
    </row>
    <row r="52" ht="17" customHeight="1" spans="1:23" x14ac:dyDescent="0.25">
      <c r="A52" s="75"/>
      <c r="B52" s="79"/>
      <c r="C52" s="82"/>
      <c r="D52" s="96"/>
      <c r="E52" s="79"/>
      <c r="F52" s="80"/>
      <c r="G52" s="79"/>
      <c r="H52" s="79"/>
      <c r="I52" s="79"/>
      <c r="J52" s="79"/>
      <c r="K52" s="86"/>
      <c r="L52" s="86"/>
      <c r="M52" s="79"/>
      <c r="N52" s="79"/>
      <c r="O52" s="82"/>
      <c r="P52" s="95">
        <f>IF($C52="","",WEEKNUM($C52,IF(Set_WeekStart="Monday",2,1)))</f>
      </c>
      <c r="Q52" s="78">
        <f>IF($B52="","",IF(OR($M52="Complete",$M52="Attended",$M52="Skipped",$M52="Cancelled"),"No","Yes"))</f>
      </c>
      <c r="R52" s="78">
        <f>IF($B52="","",IF($Q52="No","COMPLETE",IF($C52="","NO DATE",IF($C52&lt;TODAY(),"OVERDUE",IF($C52-TODAY()&lt;=7,"THIS WEEK","SCHEDULED")))))</f>
      </c>
      <c r="S52" s="80"/>
      <c r="T52" s="78">
        <f>IF(AND($Q52="Yes",$C52&lt;&gt;"",$C52&gt;=TODAY(),$C52&lt;=TODAY()+7),$C52+ROW()/100000,"")</f>
      </c>
      <c r="U52" s="78">
        <f>IF($B52="",0,IF(COUNTIF('CHRISTMAS CALENDAR'!$B$6:$B$205,$B52)&gt;1,1,0))</f>
      </c>
      <c r="V52" s="78">
        <f>IF(OR(N($K52)&gt;0,N($L52)&gt;0),IF($J52="",1,IF(COUNTIF('MASTER BUDGET'!$D$6:$D$25,$J52)=0,1,0)),0)</f>
      </c>
      <c r="W52" s="75"/>
    </row>
    <row r="53" ht="17" customHeight="1" spans="1:23" x14ac:dyDescent="0.25">
      <c r="A53" s="75"/>
      <c r="B53" s="79"/>
      <c r="C53" s="82"/>
      <c r="D53" s="96"/>
      <c r="E53" s="79"/>
      <c r="F53" s="80"/>
      <c r="G53" s="79"/>
      <c r="H53" s="79"/>
      <c r="I53" s="79"/>
      <c r="J53" s="79"/>
      <c r="K53" s="86"/>
      <c r="L53" s="86"/>
      <c r="M53" s="79"/>
      <c r="N53" s="79"/>
      <c r="O53" s="82"/>
      <c r="P53" s="95">
        <f>IF($C53="","",WEEKNUM($C53,IF(Set_WeekStart="Monday",2,1)))</f>
      </c>
      <c r="Q53" s="78">
        <f>IF($B53="","",IF(OR($M53="Complete",$M53="Attended",$M53="Skipped",$M53="Cancelled"),"No","Yes"))</f>
      </c>
      <c r="R53" s="78">
        <f>IF($B53="","",IF($Q53="No","COMPLETE",IF($C53="","NO DATE",IF($C53&lt;TODAY(),"OVERDUE",IF($C53-TODAY()&lt;=7,"THIS WEEK","SCHEDULED")))))</f>
      </c>
      <c r="S53" s="80"/>
      <c r="T53" s="78">
        <f>IF(AND($Q53="Yes",$C53&lt;&gt;"",$C53&gt;=TODAY(),$C53&lt;=TODAY()+7),$C53+ROW()/100000,"")</f>
      </c>
      <c r="U53" s="78">
        <f>IF($B53="",0,IF(COUNTIF('CHRISTMAS CALENDAR'!$B$6:$B$205,$B53)&gt;1,1,0))</f>
      </c>
      <c r="V53" s="78">
        <f>IF(OR(N($K53)&gt;0,N($L53)&gt;0),IF($J53="",1,IF(COUNTIF('MASTER BUDGET'!$D$6:$D$25,$J53)=0,1,0)),0)</f>
      </c>
      <c r="W53" s="75"/>
    </row>
    <row r="54" ht="17" customHeight="1" spans="1:23" x14ac:dyDescent="0.25">
      <c r="A54" s="75"/>
      <c r="B54" s="79"/>
      <c r="C54" s="82"/>
      <c r="D54" s="96"/>
      <c r="E54" s="79"/>
      <c r="F54" s="80"/>
      <c r="G54" s="79"/>
      <c r="H54" s="79"/>
      <c r="I54" s="79"/>
      <c r="J54" s="79"/>
      <c r="K54" s="86"/>
      <c r="L54" s="86"/>
      <c r="M54" s="79"/>
      <c r="N54" s="79"/>
      <c r="O54" s="82"/>
      <c r="P54" s="95">
        <f>IF($C54="","",WEEKNUM($C54,IF(Set_WeekStart="Monday",2,1)))</f>
      </c>
      <c r="Q54" s="78">
        <f>IF($B54="","",IF(OR($M54="Complete",$M54="Attended",$M54="Skipped",$M54="Cancelled"),"No","Yes"))</f>
      </c>
      <c r="R54" s="78">
        <f>IF($B54="","",IF($Q54="No","COMPLETE",IF($C54="","NO DATE",IF($C54&lt;TODAY(),"OVERDUE",IF($C54-TODAY()&lt;=7,"THIS WEEK","SCHEDULED")))))</f>
      </c>
      <c r="S54" s="80"/>
      <c r="T54" s="78">
        <f>IF(AND($Q54="Yes",$C54&lt;&gt;"",$C54&gt;=TODAY(),$C54&lt;=TODAY()+7),$C54+ROW()/100000,"")</f>
      </c>
      <c r="U54" s="78">
        <f>IF($B54="",0,IF(COUNTIF('CHRISTMAS CALENDAR'!$B$6:$B$205,$B54)&gt;1,1,0))</f>
      </c>
      <c r="V54" s="78">
        <f>IF(OR(N($K54)&gt;0,N($L54)&gt;0),IF($J54="",1,IF(COUNTIF('MASTER BUDGET'!$D$6:$D$25,$J54)=0,1,0)),0)</f>
      </c>
      <c r="W54" s="75"/>
    </row>
    <row r="55" ht="17" customHeight="1" spans="1:23" x14ac:dyDescent="0.25">
      <c r="A55" s="75"/>
      <c r="B55" s="79"/>
      <c r="C55" s="82"/>
      <c r="D55" s="96"/>
      <c r="E55" s="79"/>
      <c r="F55" s="80"/>
      <c r="G55" s="79"/>
      <c r="H55" s="79"/>
      <c r="I55" s="79"/>
      <c r="J55" s="79"/>
      <c r="K55" s="86"/>
      <c r="L55" s="86"/>
      <c r="M55" s="79"/>
      <c r="N55" s="79"/>
      <c r="O55" s="82"/>
      <c r="P55" s="95">
        <f>IF($C55="","",WEEKNUM($C55,IF(Set_WeekStart="Monday",2,1)))</f>
      </c>
      <c r="Q55" s="78">
        <f>IF($B55="","",IF(OR($M55="Complete",$M55="Attended",$M55="Skipped",$M55="Cancelled"),"No","Yes"))</f>
      </c>
      <c r="R55" s="78">
        <f>IF($B55="","",IF($Q55="No","COMPLETE",IF($C55="","NO DATE",IF($C55&lt;TODAY(),"OVERDUE",IF($C55-TODAY()&lt;=7,"THIS WEEK","SCHEDULED")))))</f>
      </c>
      <c r="S55" s="80"/>
      <c r="T55" s="78">
        <f>IF(AND($Q55="Yes",$C55&lt;&gt;"",$C55&gt;=TODAY(),$C55&lt;=TODAY()+7),$C55+ROW()/100000,"")</f>
      </c>
      <c r="U55" s="78">
        <f>IF($B55="",0,IF(COUNTIF('CHRISTMAS CALENDAR'!$B$6:$B$205,$B55)&gt;1,1,0))</f>
      </c>
      <c r="V55" s="78">
        <f>IF(OR(N($K55)&gt;0,N($L55)&gt;0),IF($J55="",1,IF(COUNTIF('MASTER BUDGET'!$D$6:$D$25,$J55)=0,1,0)),0)</f>
      </c>
      <c r="W55" s="75"/>
    </row>
    <row r="56" ht="17" customHeight="1" spans="1:23" x14ac:dyDescent="0.25">
      <c r="A56" s="75"/>
      <c r="B56" s="79"/>
      <c r="C56" s="82"/>
      <c r="D56" s="96"/>
      <c r="E56" s="79"/>
      <c r="F56" s="80"/>
      <c r="G56" s="79"/>
      <c r="H56" s="79"/>
      <c r="I56" s="79"/>
      <c r="J56" s="79"/>
      <c r="K56" s="86"/>
      <c r="L56" s="86"/>
      <c r="M56" s="79"/>
      <c r="N56" s="79"/>
      <c r="O56" s="82"/>
      <c r="P56" s="95">
        <f>IF($C56="","",WEEKNUM($C56,IF(Set_WeekStart="Monday",2,1)))</f>
      </c>
      <c r="Q56" s="78">
        <f>IF($B56="","",IF(OR($M56="Complete",$M56="Attended",$M56="Skipped",$M56="Cancelled"),"No","Yes"))</f>
      </c>
      <c r="R56" s="78">
        <f>IF($B56="","",IF($Q56="No","COMPLETE",IF($C56="","NO DATE",IF($C56&lt;TODAY(),"OVERDUE",IF($C56-TODAY()&lt;=7,"THIS WEEK","SCHEDULED")))))</f>
      </c>
      <c r="S56" s="80"/>
      <c r="T56" s="78">
        <f>IF(AND($Q56="Yes",$C56&lt;&gt;"",$C56&gt;=TODAY(),$C56&lt;=TODAY()+7),$C56+ROW()/100000,"")</f>
      </c>
      <c r="U56" s="78">
        <f>IF($B56="",0,IF(COUNTIF('CHRISTMAS CALENDAR'!$B$6:$B$205,$B56)&gt;1,1,0))</f>
      </c>
      <c r="V56" s="78">
        <f>IF(OR(N($K56)&gt;0,N($L56)&gt;0),IF($J56="",1,IF(COUNTIF('MASTER BUDGET'!$D$6:$D$25,$J56)=0,1,0)),0)</f>
      </c>
      <c r="W56" s="75"/>
    </row>
    <row r="57" ht="17" customHeight="1" spans="1:23" x14ac:dyDescent="0.25">
      <c r="A57" s="75"/>
      <c r="B57" s="79"/>
      <c r="C57" s="82"/>
      <c r="D57" s="96"/>
      <c r="E57" s="79"/>
      <c r="F57" s="80"/>
      <c r="G57" s="79"/>
      <c r="H57" s="79"/>
      <c r="I57" s="79"/>
      <c r="J57" s="79"/>
      <c r="K57" s="86"/>
      <c r="L57" s="86"/>
      <c r="M57" s="79"/>
      <c r="N57" s="79"/>
      <c r="O57" s="82"/>
      <c r="P57" s="95">
        <f>IF($C57="","",WEEKNUM($C57,IF(Set_WeekStart="Monday",2,1)))</f>
      </c>
      <c r="Q57" s="78">
        <f>IF($B57="","",IF(OR($M57="Complete",$M57="Attended",$M57="Skipped",$M57="Cancelled"),"No","Yes"))</f>
      </c>
      <c r="R57" s="78">
        <f>IF($B57="","",IF($Q57="No","COMPLETE",IF($C57="","NO DATE",IF($C57&lt;TODAY(),"OVERDUE",IF($C57-TODAY()&lt;=7,"THIS WEEK","SCHEDULED")))))</f>
      </c>
      <c r="S57" s="80"/>
      <c r="T57" s="78">
        <f>IF(AND($Q57="Yes",$C57&lt;&gt;"",$C57&gt;=TODAY(),$C57&lt;=TODAY()+7),$C57+ROW()/100000,"")</f>
      </c>
      <c r="U57" s="78">
        <f>IF($B57="",0,IF(COUNTIF('CHRISTMAS CALENDAR'!$B$6:$B$205,$B57)&gt;1,1,0))</f>
      </c>
      <c r="V57" s="78">
        <f>IF(OR(N($K57)&gt;0,N($L57)&gt;0),IF($J57="",1,IF(COUNTIF('MASTER BUDGET'!$D$6:$D$25,$J57)=0,1,0)),0)</f>
      </c>
      <c r="W57" s="75"/>
    </row>
    <row r="58" ht="17" customHeight="1" spans="1:23" x14ac:dyDescent="0.25">
      <c r="A58" s="75"/>
      <c r="B58" s="79"/>
      <c r="C58" s="82"/>
      <c r="D58" s="96"/>
      <c r="E58" s="79"/>
      <c r="F58" s="80"/>
      <c r="G58" s="79"/>
      <c r="H58" s="79"/>
      <c r="I58" s="79"/>
      <c r="J58" s="79"/>
      <c r="K58" s="86"/>
      <c r="L58" s="86"/>
      <c r="M58" s="79"/>
      <c r="N58" s="79"/>
      <c r="O58" s="82"/>
      <c r="P58" s="95">
        <f>IF($C58="","",WEEKNUM($C58,IF(Set_WeekStart="Monday",2,1)))</f>
      </c>
      <c r="Q58" s="78">
        <f>IF($B58="","",IF(OR($M58="Complete",$M58="Attended",$M58="Skipped",$M58="Cancelled"),"No","Yes"))</f>
      </c>
      <c r="R58" s="78">
        <f>IF($B58="","",IF($Q58="No","COMPLETE",IF($C58="","NO DATE",IF($C58&lt;TODAY(),"OVERDUE",IF($C58-TODAY()&lt;=7,"THIS WEEK","SCHEDULED")))))</f>
      </c>
      <c r="S58" s="80"/>
      <c r="T58" s="78">
        <f>IF(AND($Q58="Yes",$C58&lt;&gt;"",$C58&gt;=TODAY(),$C58&lt;=TODAY()+7),$C58+ROW()/100000,"")</f>
      </c>
      <c r="U58" s="78">
        <f>IF($B58="",0,IF(COUNTIF('CHRISTMAS CALENDAR'!$B$6:$B$205,$B58)&gt;1,1,0))</f>
      </c>
      <c r="V58" s="78">
        <f>IF(OR(N($K58)&gt;0,N($L58)&gt;0),IF($J58="",1,IF(COUNTIF('MASTER BUDGET'!$D$6:$D$25,$J58)=0,1,0)),0)</f>
      </c>
      <c r="W58" s="75"/>
    </row>
    <row r="59" ht="17" customHeight="1" spans="1:23" x14ac:dyDescent="0.25">
      <c r="A59" s="75"/>
      <c r="B59" s="79"/>
      <c r="C59" s="82"/>
      <c r="D59" s="96"/>
      <c r="E59" s="79"/>
      <c r="F59" s="80"/>
      <c r="G59" s="79"/>
      <c r="H59" s="79"/>
      <c r="I59" s="79"/>
      <c r="J59" s="79"/>
      <c r="K59" s="86"/>
      <c r="L59" s="86"/>
      <c r="M59" s="79"/>
      <c r="N59" s="79"/>
      <c r="O59" s="82"/>
      <c r="P59" s="95">
        <f>IF($C59="","",WEEKNUM($C59,IF(Set_WeekStart="Monday",2,1)))</f>
      </c>
      <c r="Q59" s="78">
        <f>IF($B59="","",IF(OR($M59="Complete",$M59="Attended",$M59="Skipped",$M59="Cancelled"),"No","Yes"))</f>
      </c>
      <c r="R59" s="78">
        <f>IF($B59="","",IF($Q59="No","COMPLETE",IF($C59="","NO DATE",IF($C59&lt;TODAY(),"OVERDUE",IF($C59-TODAY()&lt;=7,"THIS WEEK","SCHEDULED")))))</f>
      </c>
      <c r="S59" s="80"/>
      <c r="T59" s="78">
        <f>IF(AND($Q59="Yes",$C59&lt;&gt;"",$C59&gt;=TODAY(),$C59&lt;=TODAY()+7),$C59+ROW()/100000,"")</f>
      </c>
      <c r="U59" s="78">
        <f>IF($B59="",0,IF(COUNTIF('CHRISTMAS CALENDAR'!$B$6:$B$205,$B59)&gt;1,1,0))</f>
      </c>
      <c r="V59" s="78">
        <f>IF(OR(N($K59)&gt;0,N($L59)&gt;0),IF($J59="",1,IF(COUNTIF('MASTER BUDGET'!$D$6:$D$25,$J59)=0,1,0)),0)</f>
      </c>
      <c r="W59" s="75"/>
    </row>
    <row r="60" ht="17" customHeight="1" spans="1:23" x14ac:dyDescent="0.25">
      <c r="A60" s="75"/>
      <c r="B60" s="79"/>
      <c r="C60" s="82"/>
      <c r="D60" s="96"/>
      <c r="E60" s="79"/>
      <c r="F60" s="80"/>
      <c r="G60" s="79"/>
      <c r="H60" s="79"/>
      <c r="I60" s="79"/>
      <c r="J60" s="79"/>
      <c r="K60" s="86"/>
      <c r="L60" s="86"/>
      <c r="M60" s="79"/>
      <c r="N60" s="79"/>
      <c r="O60" s="82"/>
      <c r="P60" s="95">
        <f>IF($C60="","",WEEKNUM($C60,IF(Set_WeekStart="Monday",2,1)))</f>
      </c>
      <c r="Q60" s="78">
        <f>IF($B60="","",IF(OR($M60="Complete",$M60="Attended",$M60="Skipped",$M60="Cancelled"),"No","Yes"))</f>
      </c>
      <c r="R60" s="78">
        <f>IF($B60="","",IF($Q60="No","COMPLETE",IF($C60="","NO DATE",IF($C60&lt;TODAY(),"OVERDUE",IF($C60-TODAY()&lt;=7,"THIS WEEK","SCHEDULED")))))</f>
      </c>
      <c r="S60" s="80"/>
      <c r="T60" s="78">
        <f>IF(AND($Q60="Yes",$C60&lt;&gt;"",$C60&gt;=TODAY(),$C60&lt;=TODAY()+7),$C60+ROW()/100000,"")</f>
      </c>
      <c r="U60" s="78">
        <f>IF($B60="",0,IF(COUNTIF('CHRISTMAS CALENDAR'!$B$6:$B$205,$B60)&gt;1,1,0))</f>
      </c>
      <c r="V60" s="78">
        <f>IF(OR(N($K60)&gt;0,N($L60)&gt;0),IF($J60="",1,IF(COUNTIF('MASTER BUDGET'!$D$6:$D$25,$J60)=0,1,0)),0)</f>
      </c>
      <c r="W60" s="75"/>
    </row>
    <row r="61" ht="17" customHeight="1" spans="1:23" x14ac:dyDescent="0.25">
      <c r="A61" s="75"/>
      <c r="B61" s="79"/>
      <c r="C61" s="82"/>
      <c r="D61" s="96"/>
      <c r="E61" s="79"/>
      <c r="F61" s="80"/>
      <c r="G61" s="79"/>
      <c r="H61" s="79"/>
      <c r="I61" s="79"/>
      <c r="J61" s="79"/>
      <c r="K61" s="86"/>
      <c r="L61" s="86"/>
      <c r="M61" s="79"/>
      <c r="N61" s="79"/>
      <c r="O61" s="82"/>
      <c r="P61" s="95">
        <f>IF($C61="","",WEEKNUM($C61,IF(Set_WeekStart="Monday",2,1)))</f>
      </c>
      <c r="Q61" s="78">
        <f>IF($B61="","",IF(OR($M61="Complete",$M61="Attended",$M61="Skipped",$M61="Cancelled"),"No","Yes"))</f>
      </c>
      <c r="R61" s="78">
        <f>IF($B61="","",IF($Q61="No","COMPLETE",IF($C61="","NO DATE",IF($C61&lt;TODAY(),"OVERDUE",IF($C61-TODAY()&lt;=7,"THIS WEEK","SCHEDULED")))))</f>
      </c>
      <c r="S61" s="80"/>
      <c r="T61" s="78">
        <f>IF(AND($Q61="Yes",$C61&lt;&gt;"",$C61&gt;=TODAY(),$C61&lt;=TODAY()+7),$C61+ROW()/100000,"")</f>
      </c>
      <c r="U61" s="78">
        <f>IF($B61="",0,IF(COUNTIF('CHRISTMAS CALENDAR'!$B$6:$B$205,$B61)&gt;1,1,0))</f>
      </c>
      <c r="V61" s="78">
        <f>IF(OR(N($K61)&gt;0,N($L61)&gt;0),IF($J61="",1,IF(COUNTIF('MASTER BUDGET'!$D$6:$D$25,$J61)=0,1,0)),0)</f>
      </c>
      <c r="W61" s="75"/>
    </row>
    <row r="62" ht="17" customHeight="1" spans="1:23" x14ac:dyDescent="0.25">
      <c r="A62" s="75"/>
      <c r="B62" s="79"/>
      <c r="C62" s="82"/>
      <c r="D62" s="96"/>
      <c r="E62" s="79"/>
      <c r="F62" s="80"/>
      <c r="G62" s="79"/>
      <c r="H62" s="79"/>
      <c r="I62" s="79"/>
      <c r="J62" s="79"/>
      <c r="K62" s="86"/>
      <c r="L62" s="86"/>
      <c r="M62" s="79"/>
      <c r="N62" s="79"/>
      <c r="O62" s="82"/>
      <c r="P62" s="95">
        <f>IF($C62="","",WEEKNUM($C62,IF(Set_WeekStart="Monday",2,1)))</f>
      </c>
      <c r="Q62" s="78">
        <f>IF($B62="","",IF(OR($M62="Complete",$M62="Attended",$M62="Skipped",$M62="Cancelled"),"No","Yes"))</f>
      </c>
      <c r="R62" s="78">
        <f>IF($B62="","",IF($Q62="No","COMPLETE",IF($C62="","NO DATE",IF($C62&lt;TODAY(),"OVERDUE",IF($C62-TODAY()&lt;=7,"THIS WEEK","SCHEDULED")))))</f>
      </c>
      <c r="S62" s="80"/>
      <c r="T62" s="78">
        <f>IF(AND($Q62="Yes",$C62&lt;&gt;"",$C62&gt;=TODAY(),$C62&lt;=TODAY()+7),$C62+ROW()/100000,"")</f>
      </c>
      <c r="U62" s="78">
        <f>IF($B62="",0,IF(COUNTIF('CHRISTMAS CALENDAR'!$B$6:$B$205,$B62)&gt;1,1,0))</f>
      </c>
      <c r="V62" s="78">
        <f>IF(OR(N($K62)&gt;0,N($L62)&gt;0),IF($J62="",1,IF(COUNTIF('MASTER BUDGET'!$D$6:$D$25,$J62)=0,1,0)),0)</f>
      </c>
      <c r="W62" s="75"/>
    </row>
    <row r="63" ht="17" customHeight="1" spans="1:23" x14ac:dyDescent="0.25">
      <c r="A63" s="75"/>
      <c r="B63" s="79"/>
      <c r="C63" s="82"/>
      <c r="D63" s="96"/>
      <c r="E63" s="79"/>
      <c r="F63" s="80"/>
      <c r="G63" s="79"/>
      <c r="H63" s="79"/>
      <c r="I63" s="79"/>
      <c r="J63" s="79"/>
      <c r="K63" s="86"/>
      <c r="L63" s="86"/>
      <c r="M63" s="79"/>
      <c r="N63" s="79"/>
      <c r="O63" s="82"/>
      <c r="P63" s="95">
        <f>IF($C63="","",WEEKNUM($C63,IF(Set_WeekStart="Monday",2,1)))</f>
      </c>
      <c r="Q63" s="78">
        <f>IF($B63="","",IF(OR($M63="Complete",$M63="Attended",$M63="Skipped",$M63="Cancelled"),"No","Yes"))</f>
      </c>
      <c r="R63" s="78">
        <f>IF($B63="","",IF($Q63="No","COMPLETE",IF($C63="","NO DATE",IF($C63&lt;TODAY(),"OVERDUE",IF($C63-TODAY()&lt;=7,"THIS WEEK","SCHEDULED")))))</f>
      </c>
      <c r="S63" s="80"/>
      <c r="T63" s="78">
        <f>IF(AND($Q63="Yes",$C63&lt;&gt;"",$C63&gt;=TODAY(),$C63&lt;=TODAY()+7),$C63+ROW()/100000,"")</f>
      </c>
      <c r="U63" s="78">
        <f>IF($B63="",0,IF(COUNTIF('CHRISTMAS CALENDAR'!$B$6:$B$205,$B63)&gt;1,1,0))</f>
      </c>
      <c r="V63" s="78">
        <f>IF(OR(N($K63)&gt;0,N($L63)&gt;0),IF($J63="",1,IF(COUNTIF('MASTER BUDGET'!$D$6:$D$25,$J63)=0,1,0)),0)</f>
      </c>
      <c r="W63" s="75"/>
    </row>
    <row r="64" ht="17" customHeight="1" spans="1:23" x14ac:dyDescent="0.25">
      <c r="A64" s="75"/>
      <c r="B64" s="79"/>
      <c r="C64" s="82"/>
      <c r="D64" s="96"/>
      <c r="E64" s="79"/>
      <c r="F64" s="80"/>
      <c r="G64" s="79"/>
      <c r="H64" s="79"/>
      <c r="I64" s="79"/>
      <c r="J64" s="79"/>
      <c r="K64" s="86"/>
      <c r="L64" s="86"/>
      <c r="M64" s="79"/>
      <c r="N64" s="79"/>
      <c r="O64" s="82"/>
      <c r="P64" s="95">
        <f>IF($C64="","",WEEKNUM($C64,IF(Set_WeekStart="Monday",2,1)))</f>
      </c>
      <c r="Q64" s="78">
        <f>IF($B64="","",IF(OR($M64="Complete",$M64="Attended",$M64="Skipped",$M64="Cancelled"),"No","Yes"))</f>
      </c>
      <c r="R64" s="78">
        <f>IF($B64="","",IF($Q64="No","COMPLETE",IF($C64="","NO DATE",IF($C64&lt;TODAY(),"OVERDUE",IF($C64-TODAY()&lt;=7,"THIS WEEK","SCHEDULED")))))</f>
      </c>
      <c r="S64" s="80"/>
      <c r="T64" s="78">
        <f>IF(AND($Q64="Yes",$C64&lt;&gt;"",$C64&gt;=TODAY(),$C64&lt;=TODAY()+7),$C64+ROW()/100000,"")</f>
      </c>
      <c r="U64" s="78">
        <f>IF($B64="",0,IF(COUNTIF('CHRISTMAS CALENDAR'!$B$6:$B$205,$B64)&gt;1,1,0))</f>
      </c>
      <c r="V64" s="78">
        <f>IF(OR(N($K64)&gt;0,N($L64)&gt;0),IF($J64="",1,IF(COUNTIF('MASTER BUDGET'!$D$6:$D$25,$J64)=0,1,0)),0)</f>
      </c>
      <c r="W64" s="75"/>
    </row>
    <row r="65" ht="17" customHeight="1" spans="1:23" x14ac:dyDescent="0.25">
      <c r="A65" s="75"/>
      <c r="B65" s="79"/>
      <c r="C65" s="82"/>
      <c r="D65" s="96"/>
      <c r="E65" s="79"/>
      <c r="F65" s="80"/>
      <c r="G65" s="79"/>
      <c r="H65" s="79"/>
      <c r="I65" s="79"/>
      <c r="J65" s="79"/>
      <c r="K65" s="86"/>
      <c r="L65" s="86"/>
      <c r="M65" s="79"/>
      <c r="N65" s="79"/>
      <c r="O65" s="82"/>
      <c r="P65" s="95">
        <f>IF($C65="","",WEEKNUM($C65,IF(Set_WeekStart="Monday",2,1)))</f>
      </c>
      <c r="Q65" s="78">
        <f>IF($B65="","",IF(OR($M65="Complete",$M65="Attended",$M65="Skipped",$M65="Cancelled"),"No","Yes"))</f>
      </c>
      <c r="R65" s="78">
        <f>IF($B65="","",IF($Q65="No","COMPLETE",IF($C65="","NO DATE",IF($C65&lt;TODAY(),"OVERDUE",IF($C65-TODAY()&lt;=7,"THIS WEEK","SCHEDULED")))))</f>
      </c>
      <c r="S65" s="80"/>
      <c r="T65" s="78">
        <f>IF(AND($Q65="Yes",$C65&lt;&gt;"",$C65&gt;=TODAY(),$C65&lt;=TODAY()+7),$C65+ROW()/100000,"")</f>
      </c>
      <c r="U65" s="78">
        <f>IF($B65="",0,IF(COUNTIF('CHRISTMAS CALENDAR'!$B$6:$B$205,$B65)&gt;1,1,0))</f>
      </c>
      <c r="V65" s="78">
        <f>IF(OR(N($K65)&gt;0,N($L65)&gt;0),IF($J65="",1,IF(COUNTIF('MASTER BUDGET'!$D$6:$D$25,$J65)=0,1,0)),0)</f>
      </c>
      <c r="W65" s="75"/>
    </row>
    <row r="66" ht="17" customHeight="1" spans="1:23" x14ac:dyDescent="0.25">
      <c r="A66" s="75"/>
      <c r="B66" s="79"/>
      <c r="C66" s="82"/>
      <c r="D66" s="96"/>
      <c r="E66" s="79"/>
      <c r="F66" s="80"/>
      <c r="G66" s="79"/>
      <c r="H66" s="79"/>
      <c r="I66" s="79"/>
      <c r="J66" s="79"/>
      <c r="K66" s="86"/>
      <c r="L66" s="86"/>
      <c r="M66" s="79"/>
      <c r="N66" s="79"/>
      <c r="O66" s="82"/>
      <c r="P66" s="95">
        <f>IF($C66="","",WEEKNUM($C66,IF(Set_WeekStart="Monday",2,1)))</f>
      </c>
      <c r="Q66" s="78">
        <f>IF($B66="","",IF(OR($M66="Complete",$M66="Attended",$M66="Skipped",$M66="Cancelled"),"No","Yes"))</f>
      </c>
      <c r="R66" s="78">
        <f>IF($B66="","",IF($Q66="No","COMPLETE",IF($C66="","NO DATE",IF($C66&lt;TODAY(),"OVERDUE",IF($C66-TODAY()&lt;=7,"THIS WEEK","SCHEDULED")))))</f>
      </c>
      <c r="S66" s="80"/>
      <c r="T66" s="78">
        <f>IF(AND($Q66="Yes",$C66&lt;&gt;"",$C66&gt;=TODAY(),$C66&lt;=TODAY()+7),$C66+ROW()/100000,"")</f>
      </c>
      <c r="U66" s="78">
        <f>IF($B66="",0,IF(COUNTIF('CHRISTMAS CALENDAR'!$B$6:$B$205,$B66)&gt;1,1,0))</f>
      </c>
      <c r="V66" s="78">
        <f>IF(OR(N($K66)&gt;0,N($L66)&gt;0),IF($J66="",1,IF(COUNTIF('MASTER BUDGET'!$D$6:$D$25,$J66)=0,1,0)),0)</f>
      </c>
      <c r="W66" s="75"/>
    </row>
    <row r="67" ht="17" customHeight="1" spans="1:23" x14ac:dyDescent="0.25">
      <c r="A67" s="75"/>
      <c r="B67" s="79"/>
      <c r="C67" s="82"/>
      <c r="D67" s="96"/>
      <c r="E67" s="79"/>
      <c r="F67" s="80"/>
      <c r="G67" s="79"/>
      <c r="H67" s="79"/>
      <c r="I67" s="79"/>
      <c r="J67" s="79"/>
      <c r="K67" s="86"/>
      <c r="L67" s="86"/>
      <c r="M67" s="79"/>
      <c r="N67" s="79"/>
      <c r="O67" s="82"/>
      <c r="P67" s="95">
        <f>IF($C67="","",WEEKNUM($C67,IF(Set_WeekStart="Monday",2,1)))</f>
      </c>
      <c r="Q67" s="78">
        <f>IF($B67="","",IF(OR($M67="Complete",$M67="Attended",$M67="Skipped",$M67="Cancelled"),"No","Yes"))</f>
      </c>
      <c r="R67" s="78">
        <f>IF($B67="","",IF($Q67="No","COMPLETE",IF($C67="","NO DATE",IF($C67&lt;TODAY(),"OVERDUE",IF($C67-TODAY()&lt;=7,"THIS WEEK","SCHEDULED")))))</f>
      </c>
      <c r="S67" s="80"/>
      <c r="T67" s="78">
        <f>IF(AND($Q67="Yes",$C67&lt;&gt;"",$C67&gt;=TODAY(),$C67&lt;=TODAY()+7),$C67+ROW()/100000,"")</f>
      </c>
      <c r="U67" s="78">
        <f>IF($B67="",0,IF(COUNTIF('CHRISTMAS CALENDAR'!$B$6:$B$205,$B67)&gt;1,1,0))</f>
      </c>
      <c r="V67" s="78">
        <f>IF(OR(N($K67)&gt;0,N($L67)&gt;0),IF($J67="",1,IF(COUNTIF('MASTER BUDGET'!$D$6:$D$25,$J67)=0,1,0)),0)</f>
      </c>
      <c r="W67" s="75"/>
    </row>
    <row r="68" ht="17" customHeight="1" spans="1:23" x14ac:dyDescent="0.25">
      <c r="A68" s="75"/>
      <c r="B68" s="79"/>
      <c r="C68" s="82"/>
      <c r="D68" s="96"/>
      <c r="E68" s="79"/>
      <c r="F68" s="80"/>
      <c r="G68" s="79"/>
      <c r="H68" s="79"/>
      <c r="I68" s="79"/>
      <c r="J68" s="79"/>
      <c r="K68" s="86"/>
      <c r="L68" s="86"/>
      <c r="M68" s="79"/>
      <c r="N68" s="79"/>
      <c r="O68" s="82"/>
      <c r="P68" s="95">
        <f>IF($C68="","",WEEKNUM($C68,IF(Set_WeekStart="Monday",2,1)))</f>
      </c>
      <c r="Q68" s="78">
        <f>IF($B68="","",IF(OR($M68="Complete",$M68="Attended",$M68="Skipped",$M68="Cancelled"),"No","Yes"))</f>
      </c>
      <c r="R68" s="78">
        <f>IF($B68="","",IF($Q68="No","COMPLETE",IF($C68="","NO DATE",IF($C68&lt;TODAY(),"OVERDUE",IF($C68-TODAY()&lt;=7,"THIS WEEK","SCHEDULED")))))</f>
      </c>
      <c r="S68" s="80"/>
      <c r="T68" s="78">
        <f>IF(AND($Q68="Yes",$C68&lt;&gt;"",$C68&gt;=TODAY(),$C68&lt;=TODAY()+7),$C68+ROW()/100000,"")</f>
      </c>
      <c r="U68" s="78">
        <f>IF($B68="",0,IF(COUNTIF('CHRISTMAS CALENDAR'!$B$6:$B$205,$B68)&gt;1,1,0))</f>
      </c>
      <c r="V68" s="78">
        <f>IF(OR(N($K68)&gt;0,N($L68)&gt;0),IF($J68="",1,IF(COUNTIF('MASTER BUDGET'!$D$6:$D$25,$J68)=0,1,0)),0)</f>
      </c>
      <c r="W68" s="75"/>
    </row>
    <row r="69" ht="17" customHeight="1" spans="1:23" x14ac:dyDescent="0.25">
      <c r="A69" s="75"/>
      <c r="B69" s="79"/>
      <c r="C69" s="82"/>
      <c r="D69" s="96"/>
      <c r="E69" s="79"/>
      <c r="F69" s="80"/>
      <c r="G69" s="79"/>
      <c r="H69" s="79"/>
      <c r="I69" s="79"/>
      <c r="J69" s="79"/>
      <c r="K69" s="86"/>
      <c r="L69" s="86"/>
      <c r="M69" s="79"/>
      <c r="N69" s="79"/>
      <c r="O69" s="82"/>
      <c r="P69" s="95">
        <f>IF($C69="","",WEEKNUM($C69,IF(Set_WeekStart="Monday",2,1)))</f>
      </c>
      <c r="Q69" s="78">
        <f>IF($B69="","",IF(OR($M69="Complete",$M69="Attended",$M69="Skipped",$M69="Cancelled"),"No","Yes"))</f>
      </c>
      <c r="R69" s="78">
        <f>IF($B69="","",IF($Q69="No","COMPLETE",IF($C69="","NO DATE",IF($C69&lt;TODAY(),"OVERDUE",IF($C69-TODAY()&lt;=7,"THIS WEEK","SCHEDULED")))))</f>
      </c>
      <c r="S69" s="80"/>
      <c r="T69" s="78">
        <f>IF(AND($Q69="Yes",$C69&lt;&gt;"",$C69&gt;=TODAY(),$C69&lt;=TODAY()+7),$C69+ROW()/100000,"")</f>
      </c>
      <c r="U69" s="78">
        <f>IF($B69="",0,IF(COUNTIF('CHRISTMAS CALENDAR'!$B$6:$B$205,$B69)&gt;1,1,0))</f>
      </c>
      <c r="V69" s="78">
        <f>IF(OR(N($K69)&gt;0,N($L69)&gt;0),IF($J69="",1,IF(COUNTIF('MASTER BUDGET'!$D$6:$D$25,$J69)=0,1,0)),0)</f>
      </c>
      <c r="W69" s="75"/>
    </row>
    <row r="70" ht="17" customHeight="1" spans="1:23" x14ac:dyDescent="0.25">
      <c r="A70" s="75"/>
      <c r="B70" s="79"/>
      <c r="C70" s="82"/>
      <c r="D70" s="96"/>
      <c r="E70" s="79"/>
      <c r="F70" s="80"/>
      <c r="G70" s="79"/>
      <c r="H70" s="79"/>
      <c r="I70" s="79"/>
      <c r="J70" s="79"/>
      <c r="K70" s="86"/>
      <c r="L70" s="86"/>
      <c r="M70" s="79"/>
      <c r="N70" s="79"/>
      <c r="O70" s="82"/>
      <c r="P70" s="95">
        <f>IF($C70="","",WEEKNUM($C70,IF(Set_WeekStart="Monday",2,1)))</f>
      </c>
      <c r="Q70" s="78">
        <f>IF($B70="","",IF(OR($M70="Complete",$M70="Attended",$M70="Skipped",$M70="Cancelled"),"No","Yes"))</f>
      </c>
      <c r="R70" s="78">
        <f>IF($B70="","",IF($Q70="No","COMPLETE",IF($C70="","NO DATE",IF($C70&lt;TODAY(),"OVERDUE",IF($C70-TODAY()&lt;=7,"THIS WEEK","SCHEDULED")))))</f>
      </c>
      <c r="S70" s="80"/>
      <c r="T70" s="78">
        <f>IF(AND($Q70="Yes",$C70&lt;&gt;"",$C70&gt;=TODAY(),$C70&lt;=TODAY()+7),$C70+ROW()/100000,"")</f>
      </c>
      <c r="U70" s="78">
        <f>IF($B70="",0,IF(COUNTIF('CHRISTMAS CALENDAR'!$B$6:$B$205,$B70)&gt;1,1,0))</f>
      </c>
      <c r="V70" s="78">
        <f>IF(OR(N($K70)&gt;0,N($L70)&gt;0),IF($J70="",1,IF(COUNTIF('MASTER BUDGET'!$D$6:$D$25,$J70)=0,1,0)),0)</f>
      </c>
      <c r="W70" s="75"/>
    </row>
    <row r="71" ht="17" customHeight="1" spans="1:23" x14ac:dyDescent="0.25">
      <c r="A71" s="75"/>
      <c r="B71" s="79"/>
      <c r="C71" s="82"/>
      <c r="D71" s="96"/>
      <c r="E71" s="79"/>
      <c r="F71" s="80"/>
      <c r="G71" s="79"/>
      <c r="H71" s="79"/>
      <c r="I71" s="79"/>
      <c r="J71" s="79"/>
      <c r="K71" s="86"/>
      <c r="L71" s="86"/>
      <c r="M71" s="79"/>
      <c r="N71" s="79"/>
      <c r="O71" s="82"/>
      <c r="P71" s="95">
        <f>IF($C71="","",WEEKNUM($C71,IF(Set_WeekStart="Monday",2,1)))</f>
      </c>
      <c r="Q71" s="78">
        <f>IF($B71="","",IF(OR($M71="Complete",$M71="Attended",$M71="Skipped",$M71="Cancelled"),"No","Yes"))</f>
      </c>
      <c r="R71" s="78">
        <f>IF($B71="","",IF($Q71="No","COMPLETE",IF($C71="","NO DATE",IF($C71&lt;TODAY(),"OVERDUE",IF($C71-TODAY()&lt;=7,"THIS WEEK","SCHEDULED")))))</f>
      </c>
      <c r="S71" s="80"/>
      <c r="T71" s="78">
        <f>IF(AND($Q71="Yes",$C71&lt;&gt;"",$C71&gt;=TODAY(),$C71&lt;=TODAY()+7),$C71+ROW()/100000,"")</f>
      </c>
      <c r="U71" s="78">
        <f>IF($B71="",0,IF(COUNTIF('CHRISTMAS CALENDAR'!$B$6:$B$205,$B71)&gt;1,1,0))</f>
      </c>
      <c r="V71" s="78">
        <f>IF(OR(N($K71)&gt;0,N($L71)&gt;0),IF($J71="",1,IF(COUNTIF('MASTER BUDGET'!$D$6:$D$25,$J71)=0,1,0)),0)</f>
      </c>
      <c r="W71" s="75"/>
    </row>
    <row r="72" ht="17" customHeight="1" spans="1:23" x14ac:dyDescent="0.25">
      <c r="A72" s="75"/>
      <c r="B72" s="79"/>
      <c r="C72" s="82"/>
      <c r="D72" s="96"/>
      <c r="E72" s="79"/>
      <c r="F72" s="80"/>
      <c r="G72" s="79"/>
      <c r="H72" s="79"/>
      <c r="I72" s="79"/>
      <c r="J72" s="79"/>
      <c r="K72" s="86"/>
      <c r="L72" s="86"/>
      <c r="M72" s="79"/>
      <c r="N72" s="79"/>
      <c r="O72" s="82"/>
      <c r="P72" s="95">
        <f>IF($C72="","",WEEKNUM($C72,IF(Set_WeekStart="Monday",2,1)))</f>
      </c>
      <c r="Q72" s="78">
        <f>IF($B72="","",IF(OR($M72="Complete",$M72="Attended",$M72="Skipped",$M72="Cancelled"),"No","Yes"))</f>
      </c>
      <c r="R72" s="78">
        <f>IF($B72="","",IF($Q72="No","COMPLETE",IF($C72="","NO DATE",IF($C72&lt;TODAY(),"OVERDUE",IF($C72-TODAY()&lt;=7,"THIS WEEK","SCHEDULED")))))</f>
      </c>
      <c r="S72" s="80"/>
      <c r="T72" s="78">
        <f>IF(AND($Q72="Yes",$C72&lt;&gt;"",$C72&gt;=TODAY(),$C72&lt;=TODAY()+7),$C72+ROW()/100000,"")</f>
      </c>
      <c r="U72" s="78">
        <f>IF($B72="",0,IF(COUNTIF('CHRISTMAS CALENDAR'!$B$6:$B$205,$B72)&gt;1,1,0))</f>
      </c>
      <c r="V72" s="78">
        <f>IF(OR(N($K72)&gt;0,N($L72)&gt;0),IF($J72="",1,IF(COUNTIF('MASTER BUDGET'!$D$6:$D$25,$J72)=0,1,0)),0)</f>
      </c>
      <c r="W72" s="75"/>
    </row>
    <row r="73" ht="17" customHeight="1" spans="1:23" x14ac:dyDescent="0.25">
      <c r="A73" s="75"/>
      <c r="B73" s="79"/>
      <c r="C73" s="82"/>
      <c r="D73" s="96"/>
      <c r="E73" s="79"/>
      <c r="F73" s="80"/>
      <c r="G73" s="79"/>
      <c r="H73" s="79"/>
      <c r="I73" s="79"/>
      <c r="J73" s="79"/>
      <c r="K73" s="86"/>
      <c r="L73" s="86"/>
      <c r="M73" s="79"/>
      <c r="N73" s="79"/>
      <c r="O73" s="82"/>
      <c r="P73" s="95">
        <f>IF($C73="","",WEEKNUM($C73,IF(Set_WeekStart="Monday",2,1)))</f>
      </c>
      <c r="Q73" s="78">
        <f>IF($B73="","",IF(OR($M73="Complete",$M73="Attended",$M73="Skipped",$M73="Cancelled"),"No","Yes"))</f>
      </c>
      <c r="R73" s="78">
        <f>IF($B73="","",IF($Q73="No","COMPLETE",IF($C73="","NO DATE",IF($C73&lt;TODAY(),"OVERDUE",IF($C73-TODAY()&lt;=7,"THIS WEEK","SCHEDULED")))))</f>
      </c>
      <c r="S73" s="80"/>
      <c r="T73" s="78">
        <f>IF(AND($Q73="Yes",$C73&lt;&gt;"",$C73&gt;=TODAY(),$C73&lt;=TODAY()+7),$C73+ROW()/100000,"")</f>
      </c>
      <c r="U73" s="78">
        <f>IF($B73="",0,IF(COUNTIF('CHRISTMAS CALENDAR'!$B$6:$B$205,$B73)&gt;1,1,0))</f>
      </c>
      <c r="V73" s="78">
        <f>IF(OR(N($K73)&gt;0,N($L73)&gt;0),IF($J73="",1,IF(COUNTIF('MASTER BUDGET'!$D$6:$D$25,$J73)=0,1,0)),0)</f>
      </c>
      <c r="W73" s="75"/>
    </row>
    <row r="74" ht="17" customHeight="1" spans="1:23" x14ac:dyDescent="0.25">
      <c r="A74" s="75"/>
      <c r="B74" s="79"/>
      <c r="C74" s="82"/>
      <c r="D74" s="96"/>
      <c r="E74" s="79"/>
      <c r="F74" s="80"/>
      <c r="G74" s="79"/>
      <c r="H74" s="79"/>
      <c r="I74" s="79"/>
      <c r="J74" s="79"/>
      <c r="K74" s="86"/>
      <c r="L74" s="86"/>
      <c r="M74" s="79"/>
      <c r="N74" s="79"/>
      <c r="O74" s="82"/>
      <c r="P74" s="95">
        <f>IF($C74="","",WEEKNUM($C74,IF(Set_WeekStart="Monday",2,1)))</f>
      </c>
      <c r="Q74" s="78">
        <f>IF($B74="","",IF(OR($M74="Complete",$M74="Attended",$M74="Skipped",$M74="Cancelled"),"No","Yes"))</f>
      </c>
      <c r="R74" s="78">
        <f>IF($B74="","",IF($Q74="No","COMPLETE",IF($C74="","NO DATE",IF($C74&lt;TODAY(),"OVERDUE",IF($C74-TODAY()&lt;=7,"THIS WEEK","SCHEDULED")))))</f>
      </c>
      <c r="S74" s="80"/>
      <c r="T74" s="78">
        <f>IF(AND($Q74="Yes",$C74&lt;&gt;"",$C74&gt;=TODAY(),$C74&lt;=TODAY()+7),$C74+ROW()/100000,"")</f>
      </c>
      <c r="U74" s="78">
        <f>IF($B74="",0,IF(COUNTIF('CHRISTMAS CALENDAR'!$B$6:$B$205,$B74)&gt;1,1,0))</f>
      </c>
      <c r="V74" s="78">
        <f>IF(OR(N($K74)&gt;0,N($L74)&gt;0),IF($J74="",1,IF(COUNTIF('MASTER BUDGET'!$D$6:$D$25,$J74)=0,1,0)),0)</f>
      </c>
      <c r="W74" s="75"/>
    </row>
    <row r="75" ht="17" customHeight="1" spans="1:23" x14ac:dyDescent="0.25">
      <c r="A75" s="75"/>
      <c r="B75" s="79"/>
      <c r="C75" s="82"/>
      <c r="D75" s="96"/>
      <c r="E75" s="79"/>
      <c r="F75" s="80"/>
      <c r="G75" s="79"/>
      <c r="H75" s="79"/>
      <c r="I75" s="79"/>
      <c r="J75" s="79"/>
      <c r="K75" s="86"/>
      <c r="L75" s="86"/>
      <c r="M75" s="79"/>
      <c r="N75" s="79"/>
      <c r="O75" s="82"/>
      <c r="P75" s="95">
        <f>IF($C75="","",WEEKNUM($C75,IF(Set_WeekStart="Monday",2,1)))</f>
      </c>
      <c r="Q75" s="78">
        <f>IF($B75="","",IF(OR($M75="Complete",$M75="Attended",$M75="Skipped",$M75="Cancelled"),"No","Yes"))</f>
      </c>
      <c r="R75" s="78">
        <f>IF($B75="","",IF($Q75="No","COMPLETE",IF($C75="","NO DATE",IF($C75&lt;TODAY(),"OVERDUE",IF($C75-TODAY()&lt;=7,"THIS WEEK","SCHEDULED")))))</f>
      </c>
      <c r="S75" s="80"/>
      <c r="T75" s="78">
        <f>IF(AND($Q75="Yes",$C75&lt;&gt;"",$C75&gt;=TODAY(),$C75&lt;=TODAY()+7),$C75+ROW()/100000,"")</f>
      </c>
      <c r="U75" s="78">
        <f>IF($B75="",0,IF(COUNTIF('CHRISTMAS CALENDAR'!$B$6:$B$205,$B75)&gt;1,1,0))</f>
      </c>
      <c r="V75" s="78">
        <f>IF(OR(N($K75)&gt;0,N($L75)&gt;0),IF($J75="",1,IF(COUNTIF('MASTER BUDGET'!$D$6:$D$25,$J75)=0,1,0)),0)</f>
      </c>
      <c r="W75" s="75"/>
    </row>
    <row r="76" ht="17" customHeight="1" spans="1:23" x14ac:dyDescent="0.25">
      <c r="A76" s="75"/>
      <c r="B76" s="79"/>
      <c r="C76" s="82"/>
      <c r="D76" s="96"/>
      <c r="E76" s="79"/>
      <c r="F76" s="80"/>
      <c r="G76" s="79"/>
      <c r="H76" s="79"/>
      <c r="I76" s="79"/>
      <c r="J76" s="79"/>
      <c r="K76" s="86"/>
      <c r="L76" s="86"/>
      <c r="M76" s="79"/>
      <c r="N76" s="79"/>
      <c r="O76" s="82"/>
      <c r="P76" s="95">
        <f>IF($C76="","",WEEKNUM($C76,IF(Set_WeekStart="Monday",2,1)))</f>
      </c>
      <c r="Q76" s="78">
        <f>IF($B76="","",IF(OR($M76="Complete",$M76="Attended",$M76="Skipped",$M76="Cancelled"),"No","Yes"))</f>
      </c>
      <c r="R76" s="78">
        <f>IF($B76="","",IF($Q76="No","COMPLETE",IF($C76="","NO DATE",IF($C76&lt;TODAY(),"OVERDUE",IF($C76-TODAY()&lt;=7,"THIS WEEK","SCHEDULED")))))</f>
      </c>
      <c r="S76" s="80"/>
      <c r="T76" s="78">
        <f>IF(AND($Q76="Yes",$C76&lt;&gt;"",$C76&gt;=TODAY(),$C76&lt;=TODAY()+7),$C76+ROW()/100000,"")</f>
      </c>
      <c r="U76" s="78">
        <f>IF($B76="",0,IF(COUNTIF('CHRISTMAS CALENDAR'!$B$6:$B$205,$B76)&gt;1,1,0))</f>
      </c>
      <c r="V76" s="78">
        <f>IF(OR(N($K76)&gt;0,N($L76)&gt;0),IF($J76="",1,IF(COUNTIF('MASTER BUDGET'!$D$6:$D$25,$J76)=0,1,0)),0)</f>
      </c>
      <c r="W76" s="75"/>
    </row>
    <row r="77" ht="17" customHeight="1" spans="1:23" x14ac:dyDescent="0.25">
      <c r="A77" s="75"/>
      <c r="B77" s="79"/>
      <c r="C77" s="82"/>
      <c r="D77" s="96"/>
      <c r="E77" s="79"/>
      <c r="F77" s="80"/>
      <c r="G77" s="79"/>
      <c r="H77" s="79"/>
      <c r="I77" s="79"/>
      <c r="J77" s="79"/>
      <c r="K77" s="86"/>
      <c r="L77" s="86"/>
      <c r="M77" s="79"/>
      <c r="N77" s="79"/>
      <c r="O77" s="82"/>
      <c r="P77" s="95">
        <f>IF($C77="","",WEEKNUM($C77,IF(Set_WeekStart="Monday",2,1)))</f>
      </c>
      <c r="Q77" s="78">
        <f>IF($B77="","",IF(OR($M77="Complete",$M77="Attended",$M77="Skipped",$M77="Cancelled"),"No","Yes"))</f>
      </c>
      <c r="R77" s="78">
        <f>IF($B77="","",IF($Q77="No","COMPLETE",IF($C77="","NO DATE",IF($C77&lt;TODAY(),"OVERDUE",IF($C77-TODAY()&lt;=7,"THIS WEEK","SCHEDULED")))))</f>
      </c>
      <c r="S77" s="80"/>
      <c r="T77" s="78">
        <f>IF(AND($Q77="Yes",$C77&lt;&gt;"",$C77&gt;=TODAY(),$C77&lt;=TODAY()+7),$C77+ROW()/100000,"")</f>
      </c>
      <c r="U77" s="78">
        <f>IF($B77="",0,IF(COUNTIF('CHRISTMAS CALENDAR'!$B$6:$B$205,$B77)&gt;1,1,0))</f>
      </c>
      <c r="V77" s="78">
        <f>IF(OR(N($K77)&gt;0,N($L77)&gt;0),IF($J77="",1,IF(COUNTIF('MASTER BUDGET'!$D$6:$D$25,$J77)=0,1,0)),0)</f>
      </c>
      <c r="W77" s="75"/>
    </row>
    <row r="78" ht="17" customHeight="1" spans="1:23" x14ac:dyDescent="0.25">
      <c r="A78" s="75"/>
      <c r="B78" s="79"/>
      <c r="C78" s="82"/>
      <c r="D78" s="96"/>
      <c r="E78" s="79"/>
      <c r="F78" s="80"/>
      <c r="G78" s="79"/>
      <c r="H78" s="79"/>
      <c r="I78" s="79"/>
      <c r="J78" s="79"/>
      <c r="K78" s="86"/>
      <c r="L78" s="86"/>
      <c r="M78" s="79"/>
      <c r="N78" s="79"/>
      <c r="O78" s="82"/>
      <c r="P78" s="95">
        <f>IF($C78="","",WEEKNUM($C78,IF(Set_WeekStart="Monday",2,1)))</f>
      </c>
      <c r="Q78" s="78">
        <f>IF($B78="","",IF(OR($M78="Complete",$M78="Attended",$M78="Skipped",$M78="Cancelled"),"No","Yes"))</f>
      </c>
      <c r="R78" s="78">
        <f>IF($B78="","",IF($Q78="No","COMPLETE",IF($C78="","NO DATE",IF($C78&lt;TODAY(),"OVERDUE",IF($C78-TODAY()&lt;=7,"THIS WEEK","SCHEDULED")))))</f>
      </c>
      <c r="S78" s="80"/>
      <c r="T78" s="78">
        <f>IF(AND($Q78="Yes",$C78&lt;&gt;"",$C78&gt;=TODAY(),$C78&lt;=TODAY()+7),$C78+ROW()/100000,"")</f>
      </c>
      <c r="U78" s="78">
        <f>IF($B78="",0,IF(COUNTIF('CHRISTMAS CALENDAR'!$B$6:$B$205,$B78)&gt;1,1,0))</f>
      </c>
      <c r="V78" s="78">
        <f>IF(OR(N($K78)&gt;0,N($L78)&gt;0),IF($J78="",1,IF(COUNTIF('MASTER BUDGET'!$D$6:$D$25,$J78)=0,1,0)),0)</f>
      </c>
      <c r="W78" s="75"/>
    </row>
    <row r="79" ht="17" customHeight="1" spans="1:23" x14ac:dyDescent="0.25">
      <c r="A79" s="75"/>
      <c r="B79" s="79"/>
      <c r="C79" s="82"/>
      <c r="D79" s="96"/>
      <c r="E79" s="79"/>
      <c r="F79" s="80"/>
      <c r="G79" s="79"/>
      <c r="H79" s="79"/>
      <c r="I79" s="79"/>
      <c r="J79" s="79"/>
      <c r="K79" s="86"/>
      <c r="L79" s="86"/>
      <c r="M79" s="79"/>
      <c r="N79" s="79"/>
      <c r="O79" s="82"/>
      <c r="P79" s="95">
        <f>IF($C79="","",WEEKNUM($C79,IF(Set_WeekStart="Monday",2,1)))</f>
      </c>
      <c r="Q79" s="78">
        <f>IF($B79="","",IF(OR($M79="Complete",$M79="Attended",$M79="Skipped",$M79="Cancelled"),"No","Yes"))</f>
      </c>
      <c r="R79" s="78">
        <f>IF($B79="","",IF($Q79="No","COMPLETE",IF($C79="","NO DATE",IF($C79&lt;TODAY(),"OVERDUE",IF($C79-TODAY()&lt;=7,"THIS WEEK","SCHEDULED")))))</f>
      </c>
      <c r="S79" s="80"/>
      <c r="T79" s="78">
        <f>IF(AND($Q79="Yes",$C79&lt;&gt;"",$C79&gt;=TODAY(),$C79&lt;=TODAY()+7),$C79+ROW()/100000,"")</f>
      </c>
      <c r="U79" s="78">
        <f>IF($B79="",0,IF(COUNTIF('CHRISTMAS CALENDAR'!$B$6:$B$205,$B79)&gt;1,1,0))</f>
      </c>
      <c r="V79" s="78">
        <f>IF(OR(N($K79)&gt;0,N($L79)&gt;0),IF($J79="",1,IF(COUNTIF('MASTER BUDGET'!$D$6:$D$25,$J79)=0,1,0)),0)</f>
      </c>
      <c r="W79" s="75"/>
    </row>
    <row r="80" ht="17" customHeight="1" spans="1:23" x14ac:dyDescent="0.25">
      <c r="A80" s="75"/>
      <c r="B80" s="79"/>
      <c r="C80" s="82"/>
      <c r="D80" s="96"/>
      <c r="E80" s="79"/>
      <c r="F80" s="80"/>
      <c r="G80" s="79"/>
      <c r="H80" s="79"/>
      <c r="I80" s="79"/>
      <c r="J80" s="79"/>
      <c r="K80" s="86"/>
      <c r="L80" s="86"/>
      <c r="M80" s="79"/>
      <c r="N80" s="79"/>
      <c r="O80" s="82"/>
      <c r="P80" s="95">
        <f>IF($C80="","",WEEKNUM($C80,IF(Set_WeekStart="Monday",2,1)))</f>
      </c>
      <c r="Q80" s="78">
        <f>IF($B80="","",IF(OR($M80="Complete",$M80="Attended",$M80="Skipped",$M80="Cancelled"),"No","Yes"))</f>
      </c>
      <c r="R80" s="78">
        <f>IF($B80="","",IF($Q80="No","COMPLETE",IF($C80="","NO DATE",IF($C80&lt;TODAY(),"OVERDUE",IF($C80-TODAY()&lt;=7,"THIS WEEK","SCHEDULED")))))</f>
      </c>
      <c r="S80" s="80"/>
      <c r="T80" s="78">
        <f>IF(AND($Q80="Yes",$C80&lt;&gt;"",$C80&gt;=TODAY(),$C80&lt;=TODAY()+7),$C80+ROW()/100000,"")</f>
      </c>
      <c r="U80" s="78">
        <f>IF($B80="",0,IF(COUNTIF('CHRISTMAS CALENDAR'!$B$6:$B$205,$B80)&gt;1,1,0))</f>
      </c>
      <c r="V80" s="78">
        <f>IF(OR(N($K80)&gt;0,N($L80)&gt;0),IF($J80="",1,IF(COUNTIF('MASTER BUDGET'!$D$6:$D$25,$J80)=0,1,0)),0)</f>
      </c>
      <c r="W80" s="75"/>
    </row>
    <row r="81" ht="17" customHeight="1" spans="1:23" x14ac:dyDescent="0.25">
      <c r="A81" s="75"/>
      <c r="B81" s="79"/>
      <c r="C81" s="82"/>
      <c r="D81" s="96"/>
      <c r="E81" s="79"/>
      <c r="F81" s="80"/>
      <c r="G81" s="79"/>
      <c r="H81" s="79"/>
      <c r="I81" s="79"/>
      <c r="J81" s="79"/>
      <c r="K81" s="86"/>
      <c r="L81" s="86"/>
      <c r="M81" s="79"/>
      <c r="N81" s="79"/>
      <c r="O81" s="82"/>
      <c r="P81" s="95">
        <f>IF($C81="","",WEEKNUM($C81,IF(Set_WeekStart="Monday",2,1)))</f>
      </c>
      <c r="Q81" s="78">
        <f>IF($B81="","",IF(OR($M81="Complete",$M81="Attended",$M81="Skipped",$M81="Cancelled"),"No","Yes"))</f>
      </c>
      <c r="R81" s="78">
        <f>IF($B81="","",IF($Q81="No","COMPLETE",IF($C81="","NO DATE",IF($C81&lt;TODAY(),"OVERDUE",IF($C81-TODAY()&lt;=7,"THIS WEEK","SCHEDULED")))))</f>
      </c>
      <c r="S81" s="80"/>
      <c r="T81" s="78">
        <f>IF(AND($Q81="Yes",$C81&lt;&gt;"",$C81&gt;=TODAY(),$C81&lt;=TODAY()+7),$C81+ROW()/100000,"")</f>
      </c>
      <c r="U81" s="78">
        <f>IF($B81="",0,IF(COUNTIF('CHRISTMAS CALENDAR'!$B$6:$B$205,$B81)&gt;1,1,0))</f>
      </c>
      <c r="V81" s="78">
        <f>IF(OR(N($K81)&gt;0,N($L81)&gt;0),IF($J81="",1,IF(COUNTIF('MASTER BUDGET'!$D$6:$D$25,$J81)=0,1,0)),0)</f>
      </c>
      <c r="W81" s="75"/>
    </row>
    <row r="82" ht="17" customHeight="1" spans="1:23" x14ac:dyDescent="0.25">
      <c r="A82" s="75"/>
      <c r="B82" s="79"/>
      <c r="C82" s="82"/>
      <c r="D82" s="96"/>
      <c r="E82" s="79"/>
      <c r="F82" s="80"/>
      <c r="G82" s="79"/>
      <c r="H82" s="79"/>
      <c r="I82" s="79"/>
      <c r="J82" s="79"/>
      <c r="K82" s="86"/>
      <c r="L82" s="86"/>
      <c r="M82" s="79"/>
      <c r="N82" s="79"/>
      <c r="O82" s="82"/>
      <c r="P82" s="95">
        <f>IF($C82="","",WEEKNUM($C82,IF(Set_WeekStart="Monday",2,1)))</f>
      </c>
      <c r="Q82" s="78">
        <f>IF($B82="","",IF(OR($M82="Complete",$M82="Attended",$M82="Skipped",$M82="Cancelled"),"No","Yes"))</f>
      </c>
      <c r="R82" s="78">
        <f>IF($B82="","",IF($Q82="No","COMPLETE",IF($C82="","NO DATE",IF($C82&lt;TODAY(),"OVERDUE",IF($C82-TODAY()&lt;=7,"THIS WEEK","SCHEDULED")))))</f>
      </c>
      <c r="S82" s="80"/>
      <c r="T82" s="78">
        <f>IF(AND($Q82="Yes",$C82&lt;&gt;"",$C82&gt;=TODAY(),$C82&lt;=TODAY()+7),$C82+ROW()/100000,"")</f>
      </c>
      <c r="U82" s="78">
        <f>IF($B82="",0,IF(COUNTIF('CHRISTMAS CALENDAR'!$B$6:$B$205,$B82)&gt;1,1,0))</f>
      </c>
      <c r="V82" s="78">
        <f>IF(OR(N($K82)&gt;0,N($L82)&gt;0),IF($J82="",1,IF(COUNTIF('MASTER BUDGET'!$D$6:$D$25,$J82)=0,1,0)),0)</f>
      </c>
      <c r="W82" s="75"/>
    </row>
    <row r="83" ht="17" customHeight="1" spans="1:23" x14ac:dyDescent="0.25">
      <c r="A83" s="75"/>
      <c r="B83" s="79"/>
      <c r="C83" s="82"/>
      <c r="D83" s="96"/>
      <c r="E83" s="79"/>
      <c r="F83" s="80"/>
      <c r="G83" s="79"/>
      <c r="H83" s="79"/>
      <c r="I83" s="79"/>
      <c r="J83" s="79"/>
      <c r="K83" s="86"/>
      <c r="L83" s="86"/>
      <c r="M83" s="79"/>
      <c r="N83" s="79"/>
      <c r="O83" s="82"/>
      <c r="P83" s="95">
        <f>IF($C83="","",WEEKNUM($C83,IF(Set_WeekStart="Monday",2,1)))</f>
      </c>
      <c r="Q83" s="78">
        <f>IF($B83="","",IF(OR($M83="Complete",$M83="Attended",$M83="Skipped",$M83="Cancelled"),"No","Yes"))</f>
      </c>
      <c r="R83" s="78">
        <f>IF($B83="","",IF($Q83="No","COMPLETE",IF($C83="","NO DATE",IF($C83&lt;TODAY(),"OVERDUE",IF($C83-TODAY()&lt;=7,"THIS WEEK","SCHEDULED")))))</f>
      </c>
      <c r="S83" s="80"/>
      <c r="T83" s="78">
        <f>IF(AND($Q83="Yes",$C83&lt;&gt;"",$C83&gt;=TODAY(),$C83&lt;=TODAY()+7),$C83+ROW()/100000,"")</f>
      </c>
      <c r="U83" s="78">
        <f>IF($B83="",0,IF(COUNTIF('CHRISTMAS CALENDAR'!$B$6:$B$205,$B83)&gt;1,1,0))</f>
      </c>
      <c r="V83" s="78">
        <f>IF(OR(N($K83)&gt;0,N($L83)&gt;0),IF($J83="",1,IF(COUNTIF('MASTER BUDGET'!$D$6:$D$25,$J83)=0,1,0)),0)</f>
      </c>
      <c r="W83" s="75"/>
    </row>
    <row r="84" ht="17" customHeight="1" spans="1:23" x14ac:dyDescent="0.25">
      <c r="A84" s="75"/>
      <c r="B84" s="79"/>
      <c r="C84" s="82"/>
      <c r="D84" s="96"/>
      <c r="E84" s="79"/>
      <c r="F84" s="80"/>
      <c r="G84" s="79"/>
      <c r="H84" s="79"/>
      <c r="I84" s="79"/>
      <c r="J84" s="79"/>
      <c r="K84" s="86"/>
      <c r="L84" s="86"/>
      <c r="M84" s="79"/>
      <c r="N84" s="79"/>
      <c r="O84" s="82"/>
      <c r="P84" s="95">
        <f>IF($C84="","",WEEKNUM($C84,IF(Set_WeekStart="Monday",2,1)))</f>
      </c>
      <c r="Q84" s="78">
        <f>IF($B84="","",IF(OR($M84="Complete",$M84="Attended",$M84="Skipped",$M84="Cancelled"),"No","Yes"))</f>
      </c>
      <c r="R84" s="78">
        <f>IF($B84="","",IF($Q84="No","COMPLETE",IF($C84="","NO DATE",IF($C84&lt;TODAY(),"OVERDUE",IF($C84-TODAY()&lt;=7,"THIS WEEK","SCHEDULED")))))</f>
      </c>
      <c r="S84" s="80"/>
      <c r="T84" s="78">
        <f>IF(AND($Q84="Yes",$C84&lt;&gt;"",$C84&gt;=TODAY(),$C84&lt;=TODAY()+7),$C84+ROW()/100000,"")</f>
      </c>
      <c r="U84" s="78">
        <f>IF($B84="",0,IF(COUNTIF('CHRISTMAS CALENDAR'!$B$6:$B$205,$B84)&gt;1,1,0))</f>
      </c>
      <c r="V84" s="78">
        <f>IF(OR(N($K84)&gt;0,N($L84)&gt;0),IF($J84="",1,IF(COUNTIF('MASTER BUDGET'!$D$6:$D$25,$J84)=0,1,0)),0)</f>
      </c>
      <c r="W84" s="75"/>
    </row>
    <row r="85" ht="17" customHeight="1" spans="1:23" x14ac:dyDescent="0.25">
      <c r="A85" s="75"/>
      <c r="B85" s="79"/>
      <c r="C85" s="82"/>
      <c r="D85" s="96"/>
      <c r="E85" s="79"/>
      <c r="F85" s="80"/>
      <c r="G85" s="79"/>
      <c r="H85" s="79"/>
      <c r="I85" s="79"/>
      <c r="J85" s="79"/>
      <c r="K85" s="86"/>
      <c r="L85" s="86"/>
      <c r="M85" s="79"/>
      <c r="N85" s="79"/>
      <c r="O85" s="82"/>
      <c r="P85" s="95">
        <f>IF($C85="","",WEEKNUM($C85,IF(Set_WeekStart="Monday",2,1)))</f>
      </c>
      <c r="Q85" s="78">
        <f>IF($B85="","",IF(OR($M85="Complete",$M85="Attended",$M85="Skipped",$M85="Cancelled"),"No","Yes"))</f>
      </c>
      <c r="R85" s="78">
        <f>IF($B85="","",IF($Q85="No","COMPLETE",IF($C85="","NO DATE",IF($C85&lt;TODAY(),"OVERDUE",IF($C85-TODAY()&lt;=7,"THIS WEEK","SCHEDULED")))))</f>
      </c>
      <c r="S85" s="80"/>
      <c r="T85" s="78">
        <f>IF(AND($Q85="Yes",$C85&lt;&gt;"",$C85&gt;=TODAY(),$C85&lt;=TODAY()+7),$C85+ROW()/100000,"")</f>
      </c>
      <c r="U85" s="78">
        <f>IF($B85="",0,IF(COUNTIF('CHRISTMAS CALENDAR'!$B$6:$B$205,$B85)&gt;1,1,0))</f>
      </c>
      <c r="V85" s="78">
        <f>IF(OR(N($K85)&gt;0,N($L85)&gt;0),IF($J85="",1,IF(COUNTIF('MASTER BUDGET'!$D$6:$D$25,$J85)=0,1,0)),0)</f>
      </c>
      <c r="W85" s="75"/>
    </row>
    <row r="86" ht="17" customHeight="1" spans="1:23" x14ac:dyDescent="0.25">
      <c r="A86" s="75"/>
      <c r="B86" s="79"/>
      <c r="C86" s="82"/>
      <c r="D86" s="96"/>
      <c r="E86" s="79"/>
      <c r="F86" s="80"/>
      <c r="G86" s="79"/>
      <c r="H86" s="79"/>
      <c r="I86" s="79"/>
      <c r="J86" s="79"/>
      <c r="K86" s="86"/>
      <c r="L86" s="86"/>
      <c r="M86" s="79"/>
      <c r="N86" s="79"/>
      <c r="O86" s="82"/>
      <c r="P86" s="95">
        <f>IF($C86="","",WEEKNUM($C86,IF(Set_WeekStart="Monday",2,1)))</f>
      </c>
      <c r="Q86" s="78">
        <f>IF($B86="","",IF(OR($M86="Complete",$M86="Attended",$M86="Skipped",$M86="Cancelled"),"No","Yes"))</f>
      </c>
      <c r="R86" s="78">
        <f>IF($B86="","",IF($Q86="No","COMPLETE",IF($C86="","NO DATE",IF($C86&lt;TODAY(),"OVERDUE",IF($C86-TODAY()&lt;=7,"THIS WEEK","SCHEDULED")))))</f>
      </c>
      <c r="S86" s="80"/>
      <c r="T86" s="78">
        <f>IF(AND($Q86="Yes",$C86&lt;&gt;"",$C86&gt;=TODAY(),$C86&lt;=TODAY()+7),$C86+ROW()/100000,"")</f>
      </c>
      <c r="U86" s="78">
        <f>IF($B86="",0,IF(COUNTIF('CHRISTMAS CALENDAR'!$B$6:$B$205,$B86)&gt;1,1,0))</f>
      </c>
      <c r="V86" s="78">
        <f>IF(OR(N($K86)&gt;0,N($L86)&gt;0),IF($J86="",1,IF(COUNTIF('MASTER BUDGET'!$D$6:$D$25,$J86)=0,1,0)),0)</f>
      </c>
      <c r="W86" s="75"/>
    </row>
    <row r="87" ht="17" customHeight="1" spans="1:23" x14ac:dyDescent="0.25">
      <c r="A87" s="75"/>
      <c r="B87" s="79"/>
      <c r="C87" s="82"/>
      <c r="D87" s="96"/>
      <c r="E87" s="79"/>
      <c r="F87" s="80"/>
      <c r="G87" s="79"/>
      <c r="H87" s="79"/>
      <c r="I87" s="79"/>
      <c r="J87" s="79"/>
      <c r="K87" s="86"/>
      <c r="L87" s="86"/>
      <c r="M87" s="79"/>
      <c r="N87" s="79"/>
      <c r="O87" s="82"/>
      <c r="P87" s="95">
        <f>IF($C87="","",WEEKNUM($C87,IF(Set_WeekStart="Monday",2,1)))</f>
      </c>
      <c r="Q87" s="78">
        <f>IF($B87="","",IF(OR($M87="Complete",$M87="Attended",$M87="Skipped",$M87="Cancelled"),"No","Yes"))</f>
      </c>
      <c r="R87" s="78">
        <f>IF($B87="","",IF($Q87="No","COMPLETE",IF($C87="","NO DATE",IF($C87&lt;TODAY(),"OVERDUE",IF($C87-TODAY()&lt;=7,"THIS WEEK","SCHEDULED")))))</f>
      </c>
      <c r="S87" s="80"/>
      <c r="T87" s="78">
        <f>IF(AND($Q87="Yes",$C87&lt;&gt;"",$C87&gt;=TODAY(),$C87&lt;=TODAY()+7),$C87+ROW()/100000,"")</f>
      </c>
      <c r="U87" s="78">
        <f>IF($B87="",0,IF(COUNTIF('CHRISTMAS CALENDAR'!$B$6:$B$205,$B87)&gt;1,1,0))</f>
      </c>
      <c r="V87" s="78">
        <f>IF(OR(N($K87)&gt;0,N($L87)&gt;0),IF($J87="",1,IF(COUNTIF('MASTER BUDGET'!$D$6:$D$25,$J87)=0,1,0)),0)</f>
      </c>
      <c r="W87" s="75"/>
    </row>
    <row r="88" ht="17" customHeight="1" spans="1:23" x14ac:dyDescent="0.25">
      <c r="A88" s="75"/>
      <c r="B88" s="79"/>
      <c r="C88" s="82"/>
      <c r="D88" s="96"/>
      <c r="E88" s="79"/>
      <c r="F88" s="80"/>
      <c r="G88" s="79"/>
      <c r="H88" s="79"/>
      <c r="I88" s="79"/>
      <c r="J88" s="79"/>
      <c r="K88" s="86"/>
      <c r="L88" s="86"/>
      <c r="M88" s="79"/>
      <c r="N88" s="79"/>
      <c r="O88" s="82"/>
      <c r="P88" s="95">
        <f>IF($C88="","",WEEKNUM($C88,IF(Set_WeekStart="Monday",2,1)))</f>
      </c>
      <c r="Q88" s="78">
        <f>IF($B88="","",IF(OR($M88="Complete",$M88="Attended",$M88="Skipped",$M88="Cancelled"),"No","Yes"))</f>
      </c>
      <c r="R88" s="78">
        <f>IF($B88="","",IF($Q88="No","COMPLETE",IF($C88="","NO DATE",IF($C88&lt;TODAY(),"OVERDUE",IF($C88-TODAY()&lt;=7,"THIS WEEK","SCHEDULED")))))</f>
      </c>
      <c r="S88" s="80"/>
      <c r="T88" s="78">
        <f>IF(AND($Q88="Yes",$C88&lt;&gt;"",$C88&gt;=TODAY(),$C88&lt;=TODAY()+7),$C88+ROW()/100000,"")</f>
      </c>
      <c r="U88" s="78">
        <f>IF($B88="",0,IF(COUNTIF('CHRISTMAS CALENDAR'!$B$6:$B$205,$B88)&gt;1,1,0))</f>
      </c>
      <c r="V88" s="78">
        <f>IF(OR(N($K88)&gt;0,N($L88)&gt;0),IF($J88="",1,IF(COUNTIF('MASTER BUDGET'!$D$6:$D$25,$J88)=0,1,0)),0)</f>
      </c>
      <c r="W88" s="75"/>
    </row>
    <row r="89" ht="17" customHeight="1" spans="1:23" x14ac:dyDescent="0.25">
      <c r="A89" s="75"/>
      <c r="B89" s="79"/>
      <c r="C89" s="82"/>
      <c r="D89" s="96"/>
      <c r="E89" s="79"/>
      <c r="F89" s="80"/>
      <c r="G89" s="79"/>
      <c r="H89" s="79"/>
      <c r="I89" s="79"/>
      <c r="J89" s="79"/>
      <c r="K89" s="86"/>
      <c r="L89" s="86"/>
      <c r="M89" s="79"/>
      <c r="N89" s="79"/>
      <c r="O89" s="82"/>
      <c r="P89" s="95">
        <f>IF($C89="","",WEEKNUM($C89,IF(Set_WeekStart="Monday",2,1)))</f>
      </c>
      <c r="Q89" s="78">
        <f>IF($B89="","",IF(OR($M89="Complete",$M89="Attended",$M89="Skipped",$M89="Cancelled"),"No","Yes"))</f>
      </c>
      <c r="R89" s="78">
        <f>IF($B89="","",IF($Q89="No","COMPLETE",IF($C89="","NO DATE",IF($C89&lt;TODAY(),"OVERDUE",IF($C89-TODAY()&lt;=7,"THIS WEEK","SCHEDULED")))))</f>
      </c>
      <c r="S89" s="80"/>
      <c r="T89" s="78">
        <f>IF(AND($Q89="Yes",$C89&lt;&gt;"",$C89&gt;=TODAY(),$C89&lt;=TODAY()+7),$C89+ROW()/100000,"")</f>
      </c>
      <c r="U89" s="78">
        <f>IF($B89="",0,IF(COUNTIF('CHRISTMAS CALENDAR'!$B$6:$B$205,$B89)&gt;1,1,0))</f>
      </c>
      <c r="V89" s="78">
        <f>IF(OR(N($K89)&gt;0,N($L89)&gt;0),IF($J89="",1,IF(COUNTIF('MASTER BUDGET'!$D$6:$D$25,$J89)=0,1,0)),0)</f>
      </c>
      <c r="W89" s="75"/>
    </row>
    <row r="90" ht="17" customHeight="1" spans="1:23" x14ac:dyDescent="0.25">
      <c r="A90" s="75"/>
      <c r="B90" s="79"/>
      <c r="C90" s="82"/>
      <c r="D90" s="96"/>
      <c r="E90" s="79"/>
      <c r="F90" s="80"/>
      <c r="G90" s="79"/>
      <c r="H90" s="79"/>
      <c r="I90" s="79"/>
      <c r="J90" s="79"/>
      <c r="K90" s="86"/>
      <c r="L90" s="86"/>
      <c r="M90" s="79"/>
      <c r="N90" s="79"/>
      <c r="O90" s="82"/>
      <c r="P90" s="95">
        <f>IF($C90="","",WEEKNUM($C90,IF(Set_WeekStart="Monday",2,1)))</f>
      </c>
      <c r="Q90" s="78">
        <f>IF($B90="","",IF(OR($M90="Complete",$M90="Attended",$M90="Skipped",$M90="Cancelled"),"No","Yes"))</f>
      </c>
      <c r="R90" s="78">
        <f>IF($B90="","",IF($Q90="No","COMPLETE",IF($C90="","NO DATE",IF($C90&lt;TODAY(),"OVERDUE",IF($C90-TODAY()&lt;=7,"THIS WEEK","SCHEDULED")))))</f>
      </c>
      <c r="S90" s="80"/>
      <c r="T90" s="78">
        <f>IF(AND($Q90="Yes",$C90&lt;&gt;"",$C90&gt;=TODAY(),$C90&lt;=TODAY()+7),$C90+ROW()/100000,"")</f>
      </c>
      <c r="U90" s="78">
        <f>IF($B90="",0,IF(COUNTIF('CHRISTMAS CALENDAR'!$B$6:$B$205,$B90)&gt;1,1,0))</f>
      </c>
      <c r="V90" s="78">
        <f>IF(OR(N($K90)&gt;0,N($L90)&gt;0),IF($J90="",1,IF(COUNTIF('MASTER BUDGET'!$D$6:$D$25,$J90)=0,1,0)),0)</f>
      </c>
      <c r="W90" s="75"/>
    </row>
    <row r="91" ht="17" customHeight="1" spans="1:23" x14ac:dyDescent="0.25">
      <c r="A91" s="75"/>
      <c r="B91" s="79"/>
      <c r="C91" s="82"/>
      <c r="D91" s="96"/>
      <c r="E91" s="79"/>
      <c r="F91" s="80"/>
      <c r="G91" s="79"/>
      <c r="H91" s="79"/>
      <c r="I91" s="79"/>
      <c r="J91" s="79"/>
      <c r="K91" s="86"/>
      <c r="L91" s="86"/>
      <c r="M91" s="79"/>
      <c r="N91" s="79"/>
      <c r="O91" s="82"/>
      <c r="P91" s="95">
        <f>IF($C91="","",WEEKNUM($C91,IF(Set_WeekStart="Monday",2,1)))</f>
      </c>
      <c r="Q91" s="78">
        <f>IF($B91="","",IF(OR($M91="Complete",$M91="Attended",$M91="Skipped",$M91="Cancelled"),"No","Yes"))</f>
      </c>
      <c r="R91" s="78">
        <f>IF($B91="","",IF($Q91="No","COMPLETE",IF($C91="","NO DATE",IF($C91&lt;TODAY(),"OVERDUE",IF($C91-TODAY()&lt;=7,"THIS WEEK","SCHEDULED")))))</f>
      </c>
      <c r="S91" s="80"/>
      <c r="T91" s="78">
        <f>IF(AND($Q91="Yes",$C91&lt;&gt;"",$C91&gt;=TODAY(),$C91&lt;=TODAY()+7),$C91+ROW()/100000,"")</f>
      </c>
      <c r="U91" s="78">
        <f>IF($B91="",0,IF(COUNTIF('CHRISTMAS CALENDAR'!$B$6:$B$205,$B91)&gt;1,1,0))</f>
      </c>
      <c r="V91" s="78">
        <f>IF(OR(N($K91)&gt;0,N($L91)&gt;0),IF($J91="",1,IF(COUNTIF('MASTER BUDGET'!$D$6:$D$25,$J91)=0,1,0)),0)</f>
      </c>
      <c r="W91" s="75"/>
    </row>
    <row r="92" ht="17" customHeight="1" spans="1:23" x14ac:dyDescent="0.25">
      <c r="A92" s="75"/>
      <c r="B92" s="79"/>
      <c r="C92" s="82"/>
      <c r="D92" s="96"/>
      <c r="E92" s="79"/>
      <c r="F92" s="80"/>
      <c r="G92" s="79"/>
      <c r="H92" s="79"/>
      <c r="I92" s="79"/>
      <c r="J92" s="79"/>
      <c r="K92" s="86"/>
      <c r="L92" s="86"/>
      <c r="M92" s="79"/>
      <c r="N92" s="79"/>
      <c r="O92" s="82"/>
      <c r="P92" s="95">
        <f>IF($C92="","",WEEKNUM($C92,IF(Set_WeekStart="Monday",2,1)))</f>
      </c>
      <c r="Q92" s="78">
        <f>IF($B92="","",IF(OR($M92="Complete",$M92="Attended",$M92="Skipped",$M92="Cancelled"),"No","Yes"))</f>
      </c>
      <c r="R92" s="78">
        <f>IF($B92="","",IF($Q92="No","COMPLETE",IF($C92="","NO DATE",IF($C92&lt;TODAY(),"OVERDUE",IF($C92-TODAY()&lt;=7,"THIS WEEK","SCHEDULED")))))</f>
      </c>
      <c r="S92" s="80"/>
      <c r="T92" s="78">
        <f>IF(AND($Q92="Yes",$C92&lt;&gt;"",$C92&gt;=TODAY(),$C92&lt;=TODAY()+7),$C92+ROW()/100000,"")</f>
      </c>
      <c r="U92" s="78">
        <f>IF($B92="",0,IF(COUNTIF('CHRISTMAS CALENDAR'!$B$6:$B$205,$B92)&gt;1,1,0))</f>
      </c>
      <c r="V92" s="78">
        <f>IF(OR(N($K92)&gt;0,N($L92)&gt;0),IF($J92="",1,IF(COUNTIF('MASTER BUDGET'!$D$6:$D$25,$J92)=0,1,0)),0)</f>
      </c>
      <c r="W92" s="75"/>
    </row>
    <row r="93" ht="17" customHeight="1" spans="1:23" x14ac:dyDescent="0.25">
      <c r="A93" s="75"/>
      <c r="B93" s="79"/>
      <c r="C93" s="82"/>
      <c r="D93" s="96"/>
      <c r="E93" s="79"/>
      <c r="F93" s="80"/>
      <c r="G93" s="79"/>
      <c r="H93" s="79"/>
      <c r="I93" s="79"/>
      <c r="J93" s="79"/>
      <c r="K93" s="86"/>
      <c r="L93" s="86"/>
      <c r="M93" s="79"/>
      <c r="N93" s="79"/>
      <c r="O93" s="82"/>
      <c r="P93" s="95">
        <f>IF($C93="","",WEEKNUM($C93,IF(Set_WeekStart="Monday",2,1)))</f>
      </c>
      <c r="Q93" s="78">
        <f>IF($B93="","",IF(OR($M93="Complete",$M93="Attended",$M93="Skipped",$M93="Cancelled"),"No","Yes"))</f>
      </c>
      <c r="R93" s="78">
        <f>IF($B93="","",IF($Q93="No","COMPLETE",IF($C93="","NO DATE",IF($C93&lt;TODAY(),"OVERDUE",IF($C93-TODAY()&lt;=7,"THIS WEEK","SCHEDULED")))))</f>
      </c>
      <c r="S93" s="80"/>
      <c r="T93" s="78">
        <f>IF(AND($Q93="Yes",$C93&lt;&gt;"",$C93&gt;=TODAY(),$C93&lt;=TODAY()+7),$C93+ROW()/100000,"")</f>
      </c>
      <c r="U93" s="78">
        <f>IF($B93="",0,IF(COUNTIF('CHRISTMAS CALENDAR'!$B$6:$B$205,$B93)&gt;1,1,0))</f>
      </c>
      <c r="V93" s="78">
        <f>IF(OR(N($K93)&gt;0,N($L93)&gt;0),IF($J93="",1,IF(COUNTIF('MASTER BUDGET'!$D$6:$D$25,$J93)=0,1,0)),0)</f>
      </c>
      <c r="W93" s="75"/>
    </row>
    <row r="94" ht="17" customHeight="1" spans="1:23" x14ac:dyDescent="0.25">
      <c r="A94" s="75"/>
      <c r="B94" s="79"/>
      <c r="C94" s="82"/>
      <c r="D94" s="96"/>
      <c r="E94" s="79"/>
      <c r="F94" s="80"/>
      <c r="G94" s="79"/>
      <c r="H94" s="79"/>
      <c r="I94" s="79"/>
      <c r="J94" s="79"/>
      <c r="K94" s="86"/>
      <c r="L94" s="86"/>
      <c r="M94" s="79"/>
      <c r="N94" s="79"/>
      <c r="O94" s="82"/>
      <c r="P94" s="95">
        <f>IF($C94="","",WEEKNUM($C94,IF(Set_WeekStart="Monday",2,1)))</f>
      </c>
      <c r="Q94" s="78">
        <f>IF($B94="","",IF(OR($M94="Complete",$M94="Attended",$M94="Skipped",$M94="Cancelled"),"No","Yes"))</f>
      </c>
      <c r="R94" s="78">
        <f>IF($B94="","",IF($Q94="No","COMPLETE",IF($C94="","NO DATE",IF($C94&lt;TODAY(),"OVERDUE",IF($C94-TODAY()&lt;=7,"THIS WEEK","SCHEDULED")))))</f>
      </c>
      <c r="S94" s="80"/>
      <c r="T94" s="78">
        <f>IF(AND($Q94="Yes",$C94&lt;&gt;"",$C94&gt;=TODAY(),$C94&lt;=TODAY()+7),$C94+ROW()/100000,"")</f>
      </c>
      <c r="U94" s="78">
        <f>IF($B94="",0,IF(COUNTIF('CHRISTMAS CALENDAR'!$B$6:$B$205,$B94)&gt;1,1,0))</f>
      </c>
      <c r="V94" s="78">
        <f>IF(OR(N($K94)&gt;0,N($L94)&gt;0),IF($J94="",1,IF(COUNTIF('MASTER BUDGET'!$D$6:$D$25,$J94)=0,1,0)),0)</f>
      </c>
      <c r="W94" s="75"/>
    </row>
    <row r="95" ht="17" customHeight="1" spans="1:23" x14ac:dyDescent="0.25">
      <c r="A95" s="75"/>
      <c r="B95" s="79"/>
      <c r="C95" s="82"/>
      <c r="D95" s="96"/>
      <c r="E95" s="79"/>
      <c r="F95" s="80"/>
      <c r="G95" s="79"/>
      <c r="H95" s="79"/>
      <c r="I95" s="79"/>
      <c r="J95" s="79"/>
      <c r="K95" s="86"/>
      <c r="L95" s="86"/>
      <c r="M95" s="79"/>
      <c r="N95" s="79"/>
      <c r="O95" s="82"/>
      <c r="P95" s="95">
        <f>IF($C95="","",WEEKNUM($C95,IF(Set_WeekStart="Monday",2,1)))</f>
      </c>
      <c r="Q95" s="78">
        <f>IF($B95="","",IF(OR($M95="Complete",$M95="Attended",$M95="Skipped",$M95="Cancelled"),"No","Yes"))</f>
      </c>
      <c r="R95" s="78">
        <f>IF($B95="","",IF($Q95="No","COMPLETE",IF($C95="","NO DATE",IF($C95&lt;TODAY(),"OVERDUE",IF($C95-TODAY()&lt;=7,"THIS WEEK","SCHEDULED")))))</f>
      </c>
      <c r="S95" s="80"/>
      <c r="T95" s="78">
        <f>IF(AND($Q95="Yes",$C95&lt;&gt;"",$C95&gt;=TODAY(),$C95&lt;=TODAY()+7),$C95+ROW()/100000,"")</f>
      </c>
      <c r="U95" s="78">
        <f>IF($B95="",0,IF(COUNTIF('CHRISTMAS CALENDAR'!$B$6:$B$205,$B95)&gt;1,1,0))</f>
      </c>
      <c r="V95" s="78">
        <f>IF(OR(N($K95)&gt;0,N($L95)&gt;0),IF($J95="",1,IF(COUNTIF('MASTER BUDGET'!$D$6:$D$25,$J95)=0,1,0)),0)</f>
      </c>
      <c r="W95" s="75"/>
    </row>
    <row r="96" ht="17" customHeight="1" spans="1:23" x14ac:dyDescent="0.25">
      <c r="A96" s="75"/>
      <c r="B96" s="79"/>
      <c r="C96" s="82"/>
      <c r="D96" s="96"/>
      <c r="E96" s="79"/>
      <c r="F96" s="80"/>
      <c r="G96" s="79"/>
      <c r="H96" s="79"/>
      <c r="I96" s="79"/>
      <c r="J96" s="79"/>
      <c r="K96" s="86"/>
      <c r="L96" s="86"/>
      <c r="M96" s="79"/>
      <c r="N96" s="79"/>
      <c r="O96" s="82"/>
      <c r="P96" s="95">
        <f>IF($C96="","",WEEKNUM($C96,IF(Set_WeekStart="Monday",2,1)))</f>
      </c>
      <c r="Q96" s="78">
        <f>IF($B96="","",IF(OR($M96="Complete",$M96="Attended",$M96="Skipped",$M96="Cancelled"),"No","Yes"))</f>
      </c>
      <c r="R96" s="78">
        <f>IF($B96="","",IF($Q96="No","COMPLETE",IF($C96="","NO DATE",IF($C96&lt;TODAY(),"OVERDUE",IF($C96-TODAY()&lt;=7,"THIS WEEK","SCHEDULED")))))</f>
      </c>
      <c r="S96" s="80"/>
      <c r="T96" s="78">
        <f>IF(AND($Q96="Yes",$C96&lt;&gt;"",$C96&gt;=TODAY(),$C96&lt;=TODAY()+7),$C96+ROW()/100000,"")</f>
      </c>
      <c r="U96" s="78">
        <f>IF($B96="",0,IF(COUNTIF('CHRISTMAS CALENDAR'!$B$6:$B$205,$B96)&gt;1,1,0))</f>
      </c>
      <c r="V96" s="78">
        <f>IF(OR(N($K96)&gt;0,N($L96)&gt;0),IF($J96="",1,IF(COUNTIF('MASTER BUDGET'!$D$6:$D$25,$J96)=0,1,0)),0)</f>
      </c>
      <c r="W96" s="75"/>
    </row>
    <row r="97" ht="17" customHeight="1" spans="1:23" x14ac:dyDescent="0.25">
      <c r="A97" s="75"/>
      <c r="B97" s="79"/>
      <c r="C97" s="82"/>
      <c r="D97" s="96"/>
      <c r="E97" s="79"/>
      <c r="F97" s="80"/>
      <c r="G97" s="79"/>
      <c r="H97" s="79"/>
      <c r="I97" s="79"/>
      <c r="J97" s="79"/>
      <c r="K97" s="86"/>
      <c r="L97" s="86"/>
      <c r="M97" s="79"/>
      <c r="N97" s="79"/>
      <c r="O97" s="82"/>
      <c r="P97" s="95">
        <f>IF($C97="","",WEEKNUM($C97,IF(Set_WeekStart="Monday",2,1)))</f>
      </c>
      <c r="Q97" s="78">
        <f>IF($B97="","",IF(OR($M97="Complete",$M97="Attended",$M97="Skipped",$M97="Cancelled"),"No","Yes"))</f>
      </c>
      <c r="R97" s="78">
        <f>IF($B97="","",IF($Q97="No","COMPLETE",IF($C97="","NO DATE",IF($C97&lt;TODAY(),"OVERDUE",IF($C97-TODAY()&lt;=7,"THIS WEEK","SCHEDULED")))))</f>
      </c>
      <c r="S97" s="80"/>
      <c r="T97" s="78">
        <f>IF(AND($Q97="Yes",$C97&lt;&gt;"",$C97&gt;=TODAY(),$C97&lt;=TODAY()+7),$C97+ROW()/100000,"")</f>
      </c>
      <c r="U97" s="78">
        <f>IF($B97="",0,IF(COUNTIF('CHRISTMAS CALENDAR'!$B$6:$B$205,$B97)&gt;1,1,0))</f>
      </c>
      <c r="V97" s="78">
        <f>IF(OR(N($K97)&gt;0,N($L97)&gt;0),IF($J97="",1,IF(COUNTIF('MASTER BUDGET'!$D$6:$D$25,$J97)=0,1,0)),0)</f>
      </c>
      <c r="W97" s="75"/>
    </row>
    <row r="98" ht="17" customHeight="1" spans="1:23" x14ac:dyDescent="0.25">
      <c r="A98" s="75"/>
      <c r="B98" s="79"/>
      <c r="C98" s="82"/>
      <c r="D98" s="96"/>
      <c r="E98" s="79"/>
      <c r="F98" s="80"/>
      <c r="G98" s="79"/>
      <c r="H98" s="79"/>
      <c r="I98" s="79"/>
      <c r="J98" s="79"/>
      <c r="K98" s="86"/>
      <c r="L98" s="86"/>
      <c r="M98" s="79"/>
      <c r="N98" s="79"/>
      <c r="O98" s="82"/>
      <c r="P98" s="95">
        <f>IF($C98="","",WEEKNUM($C98,IF(Set_WeekStart="Monday",2,1)))</f>
      </c>
      <c r="Q98" s="78">
        <f>IF($B98="","",IF(OR($M98="Complete",$M98="Attended",$M98="Skipped",$M98="Cancelled"),"No","Yes"))</f>
      </c>
      <c r="R98" s="78">
        <f>IF($B98="","",IF($Q98="No","COMPLETE",IF($C98="","NO DATE",IF($C98&lt;TODAY(),"OVERDUE",IF($C98-TODAY()&lt;=7,"THIS WEEK","SCHEDULED")))))</f>
      </c>
      <c r="S98" s="80"/>
      <c r="T98" s="78">
        <f>IF(AND($Q98="Yes",$C98&lt;&gt;"",$C98&gt;=TODAY(),$C98&lt;=TODAY()+7),$C98+ROW()/100000,"")</f>
      </c>
      <c r="U98" s="78">
        <f>IF($B98="",0,IF(COUNTIF('CHRISTMAS CALENDAR'!$B$6:$B$205,$B98)&gt;1,1,0))</f>
      </c>
      <c r="V98" s="78">
        <f>IF(OR(N($K98)&gt;0,N($L98)&gt;0),IF($J98="",1,IF(COUNTIF('MASTER BUDGET'!$D$6:$D$25,$J98)=0,1,0)),0)</f>
      </c>
      <c r="W98" s="75"/>
    </row>
    <row r="99" ht="17" customHeight="1" spans="1:23" x14ac:dyDescent="0.25">
      <c r="A99" s="75"/>
      <c r="B99" s="79"/>
      <c r="C99" s="82"/>
      <c r="D99" s="96"/>
      <c r="E99" s="79"/>
      <c r="F99" s="80"/>
      <c r="G99" s="79"/>
      <c r="H99" s="79"/>
      <c r="I99" s="79"/>
      <c r="J99" s="79"/>
      <c r="K99" s="86"/>
      <c r="L99" s="86"/>
      <c r="M99" s="79"/>
      <c r="N99" s="79"/>
      <c r="O99" s="82"/>
      <c r="P99" s="95">
        <f>IF($C99="","",WEEKNUM($C99,IF(Set_WeekStart="Monday",2,1)))</f>
      </c>
      <c r="Q99" s="78">
        <f>IF($B99="","",IF(OR($M99="Complete",$M99="Attended",$M99="Skipped",$M99="Cancelled"),"No","Yes"))</f>
      </c>
      <c r="R99" s="78">
        <f>IF($B99="","",IF($Q99="No","COMPLETE",IF($C99="","NO DATE",IF($C99&lt;TODAY(),"OVERDUE",IF($C99-TODAY()&lt;=7,"THIS WEEK","SCHEDULED")))))</f>
      </c>
      <c r="S99" s="80"/>
      <c r="T99" s="78">
        <f>IF(AND($Q99="Yes",$C99&lt;&gt;"",$C99&gt;=TODAY(),$C99&lt;=TODAY()+7),$C99+ROW()/100000,"")</f>
      </c>
      <c r="U99" s="78">
        <f>IF($B99="",0,IF(COUNTIF('CHRISTMAS CALENDAR'!$B$6:$B$205,$B99)&gt;1,1,0))</f>
      </c>
      <c r="V99" s="78">
        <f>IF(OR(N($K99)&gt;0,N($L99)&gt;0),IF($J99="",1,IF(COUNTIF('MASTER BUDGET'!$D$6:$D$25,$J99)=0,1,0)),0)</f>
      </c>
      <c r="W99" s="75"/>
    </row>
    <row r="100" ht="17" customHeight="1" spans="1:23" x14ac:dyDescent="0.25">
      <c r="A100" s="75"/>
      <c r="B100" s="79"/>
      <c r="C100" s="82"/>
      <c r="D100" s="96"/>
      <c r="E100" s="79"/>
      <c r="F100" s="80"/>
      <c r="G100" s="79"/>
      <c r="H100" s="79"/>
      <c r="I100" s="79"/>
      <c r="J100" s="79"/>
      <c r="K100" s="86"/>
      <c r="L100" s="86"/>
      <c r="M100" s="79"/>
      <c r="N100" s="79"/>
      <c r="O100" s="82"/>
      <c r="P100" s="95">
        <f>IF($C100="","",WEEKNUM($C100,IF(Set_WeekStart="Monday",2,1)))</f>
      </c>
      <c r="Q100" s="78">
        <f>IF($B100="","",IF(OR($M100="Complete",$M100="Attended",$M100="Skipped",$M100="Cancelled"),"No","Yes"))</f>
      </c>
      <c r="R100" s="78">
        <f>IF($B100="","",IF($Q100="No","COMPLETE",IF($C100="","NO DATE",IF($C100&lt;TODAY(),"OVERDUE",IF($C100-TODAY()&lt;=7,"THIS WEEK","SCHEDULED")))))</f>
      </c>
      <c r="S100" s="80"/>
      <c r="T100" s="78">
        <f>IF(AND($Q100="Yes",$C100&lt;&gt;"",$C100&gt;=TODAY(),$C100&lt;=TODAY()+7),$C100+ROW()/100000,"")</f>
      </c>
      <c r="U100" s="78">
        <f>IF($B100="",0,IF(COUNTIF('CHRISTMAS CALENDAR'!$B$6:$B$205,$B100)&gt;1,1,0))</f>
      </c>
      <c r="V100" s="78">
        <f>IF(OR(N($K100)&gt;0,N($L100)&gt;0),IF($J100="",1,IF(COUNTIF('MASTER BUDGET'!$D$6:$D$25,$J100)=0,1,0)),0)</f>
      </c>
      <c r="W100" s="75"/>
    </row>
    <row r="101" ht="17" customHeight="1" spans="1:23" x14ac:dyDescent="0.25">
      <c r="A101" s="75"/>
      <c r="B101" s="79"/>
      <c r="C101" s="82"/>
      <c r="D101" s="96"/>
      <c r="E101" s="79"/>
      <c r="F101" s="80"/>
      <c r="G101" s="79"/>
      <c r="H101" s="79"/>
      <c r="I101" s="79"/>
      <c r="J101" s="79"/>
      <c r="K101" s="86"/>
      <c r="L101" s="86"/>
      <c r="M101" s="79"/>
      <c r="N101" s="79"/>
      <c r="O101" s="82"/>
      <c r="P101" s="95">
        <f>IF($C101="","",WEEKNUM($C101,IF(Set_WeekStart="Monday",2,1)))</f>
      </c>
      <c r="Q101" s="78">
        <f>IF($B101="","",IF(OR($M101="Complete",$M101="Attended",$M101="Skipped",$M101="Cancelled"),"No","Yes"))</f>
      </c>
      <c r="R101" s="78">
        <f>IF($B101="","",IF($Q101="No","COMPLETE",IF($C101="","NO DATE",IF($C101&lt;TODAY(),"OVERDUE",IF($C101-TODAY()&lt;=7,"THIS WEEK","SCHEDULED")))))</f>
      </c>
      <c r="S101" s="80"/>
      <c r="T101" s="78">
        <f>IF(AND($Q101="Yes",$C101&lt;&gt;"",$C101&gt;=TODAY(),$C101&lt;=TODAY()+7),$C101+ROW()/100000,"")</f>
      </c>
      <c r="U101" s="78">
        <f>IF($B101="",0,IF(COUNTIF('CHRISTMAS CALENDAR'!$B$6:$B$205,$B101)&gt;1,1,0))</f>
      </c>
      <c r="V101" s="78">
        <f>IF(OR(N($K101)&gt;0,N($L101)&gt;0),IF($J101="",1,IF(COUNTIF('MASTER BUDGET'!$D$6:$D$25,$J101)=0,1,0)),0)</f>
      </c>
      <c r="W101" s="75"/>
    </row>
    <row r="102" ht="17" customHeight="1" spans="1:23" x14ac:dyDescent="0.25">
      <c r="A102" s="75"/>
      <c r="B102" s="79"/>
      <c r="C102" s="82"/>
      <c r="D102" s="96"/>
      <c r="E102" s="79"/>
      <c r="F102" s="80"/>
      <c r="G102" s="79"/>
      <c r="H102" s="79"/>
      <c r="I102" s="79"/>
      <c r="J102" s="79"/>
      <c r="K102" s="86"/>
      <c r="L102" s="86"/>
      <c r="M102" s="79"/>
      <c r="N102" s="79"/>
      <c r="O102" s="82"/>
      <c r="P102" s="95">
        <f>IF($C102="","",WEEKNUM($C102,IF(Set_WeekStart="Monday",2,1)))</f>
      </c>
      <c r="Q102" s="78">
        <f>IF($B102="","",IF(OR($M102="Complete",$M102="Attended",$M102="Skipped",$M102="Cancelled"),"No","Yes"))</f>
      </c>
      <c r="R102" s="78">
        <f>IF($B102="","",IF($Q102="No","COMPLETE",IF($C102="","NO DATE",IF($C102&lt;TODAY(),"OVERDUE",IF($C102-TODAY()&lt;=7,"THIS WEEK","SCHEDULED")))))</f>
      </c>
      <c r="S102" s="80"/>
      <c r="T102" s="78">
        <f>IF(AND($Q102="Yes",$C102&lt;&gt;"",$C102&gt;=TODAY(),$C102&lt;=TODAY()+7),$C102+ROW()/100000,"")</f>
      </c>
      <c r="U102" s="78">
        <f>IF($B102="",0,IF(COUNTIF('CHRISTMAS CALENDAR'!$B$6:$B$205,$B102)&gt;1,1,0))</f>
      </c>
      <c r="V102" s="78">
        <f>IF(OR(N($K102)&gt;0,N($L102)&gt;0),IF($J102="",1,IF(COUNTIF('MASTER BUDGET'!$D$6:$D$25,$J102)=0,1,0)),0)</f>
      </c>
      <c r="W102" s="75"/>
    </row>
    <row r="103" ht="17" customHeight="1" spans="1:23" x14ac:dyDescent="0.25">
      <c r="A103" s="75"/>
      <c r="B103" s="79"/>
      <c r="C103" s="82"/>
      <c r="D103" s="96"/>
      <c r="E103" s="79"/>
      <c r="F103" s="80"/>
      <c r="G103" s="79"/>
      <c r="H103" s="79"/>
      <c r="I103" s="79"/>
      <c r="J103" s="79"/>
      <c r="K103" s="86"/>
      <c r="L103" s="86"/>
      <c r="M103" s="79"/>
      <c r="N103" s="79"/>
      <c r="O103" s="82"/>
      <c r="P103" s="95">
        <f>IF($C103="","",WEEKNUM($C103,IF(Set_WeekStart="Monday",2,1)))</f>
      </c>
      <c r="Q103" s="78">
        <f>IF($B103="","",IF(OR($M103="Complete",$M103="Attended",$M103="Skipped",$M103="Cancelled"),"No","Yes"))</f>
      </c>
      <c r="R103" s="78">
        <f>IF($B103="","",IF($Q103="No","COMPLETE",IF($C103="","NO DATE",IF($C103&lt;TODAY(),"OVERDUE",IF($C103-TODAY()&lt;=7,"THIS WEEK","SCHEDULED")))))</f>
      </c>
      <c r="S103" s="80"/>
      <c r="T103" s="78">
        <f>IF(AND($Q103="Yes",$C103&lt;&gt;"",$C103&gt;=TODAY(),$C103&lt;=TODAY()+7),$C103+ROW()/100000,"")</f>
      </c>
      <c r="U103" s="78">
        <f>IF($B103="",0,IF(COUNTIF('CHRISTMAS CALENDAR'!$B$6:$B$205,$B103)&gt;1,1,0))</f>
      </c>
      <c r="V103" s="78">
        <f>IF(OR(N($K103)&gt;0,N($L103)&gt;0),IF($J103="",1,IF(COUNTIF('MASTER BUDGET'!$D$6:$D$25,$J103)=0,1,0)),0)</f>
      </c>
      <c r="W103" s="75"/>
    </row>
    <row r="104" ht="17" customHeight="1" spans="1:23" x14ac:dyDescent="0.25">
      <c r="A104" s="75"/>
      <c r="B104" s="79"/>
      <c r="C104" s="82"/>
      <c r="D104" s="96"/>
      <c r="E104" s="79"/>
      <c r="F104" s="80"/>
      <c r="G104" s="79"/>
      <c r="H104" s="79"/>
      <c r="I104" s="79"/>
      <c r="J104" s="79"/>
      <c r="K104" s="86"/>
      <c r="L104" s="86"/>
      <c r="M104" s="79"/>
      <c r="N104" s="79"/>
      <c r="O104" s="82"/>
      <c r="P104" s="95">
        <f>IF($C104="","",WEEKNUM($C104,IF(Set_WeekStart="Monday",2,1)))</f>
      </c>
      <c r="Q104" s="78">
        <f>IF($B104="","",IF(OR($M104="Complete",$M104="Attended",$M104="Skipped",$M104="Cancelled"),"No","Yes"))</f>
      </c>
      <c r="R104" s="78">
        <f>IF($B104="","",IF($Q104="No","COMPLETE",IF($C104="","NO DATE",IF($C104&lt;TODAY(),"OVERDUE",IF($C104-TODAY()&lt;=7,"THIS WEEK","SCHEDULED")))))</f>
      </c>
      <c r="S104" s="80"/>
      <c r="T104" s="78">
        <f>IF(AND($Q104="Yes",$C104&lt;&gt;"",$C104&gt;=TODAY(),$C104&lt;=TODAY()+7),$C104+ROW()/100000,"")</f>
      </c>
      <c r="U104" s="78">
        <f>IF($B104="",0,IF(COUNTIF('CHRISTMAS CALENDAR'!$B$6:$B$205,$B104)&gt;1,1,0))</f>
      </c>
      <c r="V104" s="78">
        <f>IF(OR(N($K104)&gt;0,N($L104)&gt;0),IF($J104="",1,IF(COUNTIF('MASTER BUDGET'!$D$6:$D$25,$J104)=0,1,0)),0)</f>
      </c>
      <c r="W104" s="75"/>
    </row>
    <row r="105" ht="17" customHeight="1" spans="1:23" x14ac:dyDescent="0.25">
      <c r="A105" s="75"/>
      <c r="B105" s="79"/>
      <c r="C105" s="82"/>
      <c r="D105" s="96"/>
      <c r="E105" s="79"/>
      <c r="F105" s="80"/>
      <c r="G105" s="79"/>
      <c r="H105" s="79"/>
      <c r="I105" s="79"/>
      <c r="J105" s="79"/>
      <c r="K105" s="86"/>
      <c r="L105" s="86"/>
      <c r="M105" s="79"/>
      <c r="N105" s="79"/>
      <c r="O105" s="82"/>
      <c r="P105" s="95">
        <f>IF($C105="","",WEEKNUM($C105,IF(Set_WeekStart="Monday",2,1)))</f>
      </c>
      <c r="Q105" s="78">
        <f>IF($B105="","",IF(OR($M105="Complete",$M105="Attended",$M105="Skipped",$M105="Cancelled"),"No","Yes"))</f>
      </c>
      <c r="R105" s="78">
        <f>IF($B105="","",IF($Q105="No","COMPLETE",IF($C105="","NO DATE",IF($C105&lt;TODAY(),"OVERDUE",IF($C105-TODAY()&lt;=7,"THIS WEEK","SCHEDULED")))))</f>
      </c>
      <c r="S105" s="80"/>
      <c r="T105" s="78">
        <f>IF(AND($Q105="Yes",$C105&lt;&gt;"",$C105&gt;=TODAY(),$C105&lt;=TODAY()+7),$C105+ROW()/100000,"")</f>
      </c>
      <c r="U105" s="78">
        <f>IF($B105="",0,IF(COUNTIF('CHRISTMAS CALENDAR'!$B$6:$B$205,$B105)&gt;1,1,0))</f>
      </c>
      <c r="V105" s="78">
        <f>IF(OR(N($K105)&gt;0,N($L105)&gt;0),IF($J105="",1,IF(COUNTIF('MASTER BUDGET'!$D$6:$D$25,$J105)=0,1,0)),0)</f>
      </c>
      <c r="W105" s="75"/>
    </row>
    <row r="106" ht="17" customHeight="1" spans="1:23" x14ac:dyDescent="0.25">
      <c r="A106" s="75"/>
      <c r="B106" s="79"/>
      <c r="C106" s="82"/>
      <c r="D106" s="96"/>
      <c r="E106" s="79"/>
      <c r="F106" s="80"/>
      <c r="G106" s="79"/>
      <c r="H106" s="79"/>
      <c r="I106" s="79"/>
      <c r="J106" s="79"/>
      <c r="K106" s="86"/>
      <c r="L106" s="86"/>
      <c r="M106" s="79"/>
      <c r="N106" s="79"/>
      <c r="O106" s="82"/>
      <c r="P106" s="95">
        <f>IF($C106="","",WEEKNUM($C106,IF(Set_WeekStart="Monday",2,1)))</f>
      </c>
      <c r="Q106" s="78">
        <f>IF($B106="","",IF(OR($M106="Complete",$M106="Attended",$M106="Skipped",$M106="Cancelled"),"No","Yes"))</f>
      </c>
      <c r="R106" s="78">
        <f>IF($B106="","",IF($Q106="No","COMPLETE",IF($C106="","NO DATE",IF($C106&lt;TODAY(),"OVERDUE",IF($C106-TODAY()&lt;=7,"THIS WEEK","SCHEDULED")))))</f>
      </c>
      <c r="S106" s="80"/>
      <c r="T106" s="78">
        <f>IF(AND($Q106="Yes",$C106&lt;&gt;"",$C106&gt;=TODAY(),$C106&lt;=TODAY()+7),$C106+ROW()/100000,"")</f>
      </c>
      <c r="U106" s="78">
        <f>IF($B106="",0,IF(COUNTIF('CHRISTMAS CALENDAR'!$B$6:$B$205,$B106)&gt;1,1,0))</f>
      </c>
      <c r="V106" s="78">
        <f>IF(OR(N($K106)&gt;0,N($L106)&gt;0),IF($J106="",1,IF(COUNTIF('MASTER BUDGET'!$D$6:$D$25,$J106)=0,1,0)),0)</f>
      </c>
      <c r="W106" s="75"/>
    </row>
    <row r="107" ht="17" customHeight="1" spans="1:23" x14ac:dyDescent="0.25">
      <c r="A107" s="75"/>
      <c r="B107" s="79"/>
      <c r="C107" s="82"/>
      <c r="D107" s="96"/>
      <c r="E107" s="79"/>
      <c r="F107" s="80"/>
      <c r="G107" s="79"/>
      <c r="H107" s="79"/>
      <c r="I107" s="79"/>
      <c r="J107" s="79"/>
      <c r="K107" s="86"/>
      <c r="L107" s="86"/>
      <c r="M107" s="79"/>
      <c r="N107" s="79"/>
      <c r="O107" s="82"/>
      <c r="P107" s="95">
        <f>IF($C107="","",WEEKNUM($C107,IF(Set_WeekStart="Monday",2,1)))</f>
      </c>
      <c r="Q107" s="78">
        <f>IF($B107="","",IF(OR($M107="Complete",$M107="Attended",$M107="Skipped",$M107="Cancelled"),"No","Yes"))</f>
      </c>
      <c r="R107" s="78">
        <f>IF($B107="","",IF($Q107="No","COMPLETE",IF($C107="","NO DATE",IF($C107&lt;TODAY(),"OVERDUE",IF($C107-TODAY()&lt;=7,"THIS WEEK","SCHEDULED")))))</f>
      </c>
      <c r="S107" s="80"/>
      <c r="T107" s="78">
        <f>IF(AND($Q107="Yes",$C107&lt;&gt;"",$C107&gt;=TODAY(),$C107&lt;=TODAY()+7),$C107+ROW()/100000,"")</f>
      </c>
      <c r="U107" s="78">
        <f>IF($B107="",0,IF(COUNTIF('CHRISTMAS CALENDAR'!$B$6:$B$205,$B107)&gt;1,1,0))</f>
      </c>
      <c r="V107" s="78">
        <f>IF(OR(N($K107)&gt;0,N($L107)&gt;0),IF($J107="",1,IF(COUNTIF('MASTER BUDGET'!$D$6:$D$25,$J107)=0,1,0)),0)</f>
      </c>
      <c r="W107" s="75"/>
    </row>
    <row r="108" ht="17" customHeight="1" spans="1:23" x14ac:dyDescent="0.25">
      <c r="A108" s="75"/>
      <c r="B108" s="79"/>
      <c r="C108" s="82"/>
      <c r="D108" s="96"/>
      <c r="E108" s="79"/>
      <c r="F108" s="80"/>
      <c r="G108" s="79"/>
      <c r="H108" s="79"/>
      <c r="I108" s="79"/>
      <c r="J108" s="79"/>
      <c r="K108" s="86"/>
      <c r="L108" s="86"/>
      <c r="M108" s="79"/>
      <c r="N108" s="79"/>
      <c r="O108" s="82"/>
      <c r="P108" s="95">
        <f>IF($C108="","",WEEKNUM($C108,IF(Set_WeekStart="Monday",2,1)))</f>
      </c>
      <c r="Q108" s="78">
        <f>IF($B108="","",IF(OR($M108="Complete",$M108="Attended",$M108="Skipped",$M108="Cancelled"),"No","Yes"))</f>
      </c>
      <c r="R108" s="78">
        <f>IF($B108="","",IF($Q108="No","COMPLETE",IF($C108="","NO DATE",IF($C108&lt;TODAY(),"OVERDUE",IF($C108-TODAY()&lt;=7,"THIS WEEK","SCHEDULED")))))</f>
      </c>
      <c r="S108" s="80"/>
      <c r="T108" s="78">
        <f>IF(AND($Q108="Yes",$C108&lt;&gt;"",$C108&gt;=TODAY(),$C108&lt;=TODAY()+7),$C108+ROW()/100000,"")</f>
      </c>
      <c r="U108" s="78">
        <f>IF($B108="",0,IF(COUNTIF('CHRISTMAS CALENDAR'!$B$6:$B$205,$B108)&gt;1,1,0))</f>
      </c>
      <c r="V108" s="78">
        <f>IF(OR(N($K108)&gt;0,N($L108)&gt;0),IF($J108="",1,IF(COUNTIF('MASTER BUDGET'!$D$6:$D$25,$J108)=0,1,0)),0)</f>
      </c>
      <c r="W108" s="75"/>
    </row>
    <row r="109" ht="17" customHeight="1" spans="1:23" x14ac:dyDescent="0.25">
      <c r="A109" s="75"/>
      <c r="B109" s="79"/>
      <c r="C109" s="82"/>
      <c r="D109" s="96"/>
      <c r="E109" s="79"/>
      <c r="F109" s="80"/>
      <c r="G109" s="79"/>
      <c r="H109" s="79"/>
      <c r="I109" s="79"/>
      <c r="J109" s="79"/>
      <c r="K109" s="86"/>
      <c r="L109" s="86"/>
      <c r="M109" s="79"/>
      <c r="N109" s="79"/>
      <c r="O109" s="82"/>
      <c r="P109" s="95">
        <f>IF($C109="","",WEEKNUM($C109,IF(Set_WeekStart="Monday",2,1)))</f>
      </c>
      <c r="Q109" s="78">
        <f>IF($B109="","",IF(OR($M109="Complete",$M109="Attended",$M109="Skipped",$M109="Cancelled"),"No","Yes"))</f>
      </c>
      <c r="R109" s="78">
        <f>IF($B109="","",IF($Q109="No","COMPLETE",IF($C109="","NO DATE",IF($C109&lt;TODAY(),"OVERDUE",IF($C109-TODAY()&lt;=7,"THIS WEEK","SCHEDULED")))))</f>
      </c>
      <c r="S109" s="80"/>
      <c r="T109" s="78">
        <f>IF(AND($Q109="Yes",$C109&lt;&gt;"",$C109&gt;=TODAY(),$C109&lt;=TODAY()+7),$C109+ROW()/100000,"")</f>
      </c>
      <c r="U109" s="78">
        <f>IF($B109="",0,IF(COUNTIF('CHRISTMAS CALENDAR'!$B$6:$B$205,$B109)&gt;1,1,0))</f>
      </c>
      <c r="V109" s="78">
        <f>IF(OR(N($K109)&gt;0,N($L109)&gt;0),IF($J109="",1,IF(COUNTIF('MASTER BUDGET'!$D$6:$D$25,$J109)=0,1,0)),0)</f>
      </c>
      <c r="W109" s="75"/>
    </row>
    <row r="110" ht="17" customHeight="1" spans="1:23" x14ac:dyDescent="0.25">
      <c r="A110" s="75"/>
      <c r="B110" s="79"/>
      <c r="C110" s="82"/>
      <c r="D110" s="96"/>
      <c r="E110" s="79"/>
      <c r="F110" s="80"/>
      <c r="G110" s="79"/>
      <c r="H110" s="79"/>
      <c r="I110" s="79"/>
      <c r="J110" s="79"/>
      <c r="K110" s="86"/>
      <c r="L110" s="86"/>
      <c r="M110" s="79"/>
      <c r="N110" s="79"/>
      <c r="O110" s="82"/>
      <c r="P110" s="95">
        <f>IF($C110="","",WEEKNUM($C110,IF(Set_WeekStart="Monday",2,1)))</f>
      </c>
      <c r="Q110" s="78">
        <f>IF($B110="","",IF(OR($M110="Complete",$M110="Attended",$M110="Skipped",$M110="Cancelled"),"No","Yes"))</f>
      </c>
      <c r="R110" s="78">
        <f>IF($B110="","",IF($Q110="No","COMPLETE",IF($C110="","NO DATE",IF($C110&lt;TODAY(),"OVERDUE",IF($C110-TODAY()&lt;=7,"THIS WEEK","SCHEDULED")))))</f>
      </c>
      <c r="S110" s="80"/>
      <c r="T110" s="78">
        <f>IF(AND($Q110="Yes",$C110&lt;&gt;"",$C110&gt;=TODAY(),$C110&lt;=TODAY()+7),$C110+ROW()/100000,"")</f>
      </c>
      <c r="U110" s="78">
        <f>IF($B110="",0,IF(COUNTIF('CHRISTMAS CALENDAR'!$B$6:$B$205,$B110)&gt;1,1,0))</f>
      </c>
      <c r="V110" s="78">
        <f>IF(OR(N($K110)&gt;0,N($L110)&gt;0),IF($J110="",1,IF(COUNTIF('MASTER BUDGET'!$D$6:$D$25,$J110)=0,1,0)),0)</f>
      </c>
      <c r="W110" s="75"/>
    </row>
    <row r="111" ht="17" customHeight="1" spans="1:23" x14ac:dyDescent="0.25">
      <c r="A111" s="75"/>
      <c r="B111" s="79"/>
      <c r="C111" s="82"/>
      <c r="D111" s="96"/>
      <c r="E111" s="79"/>
      <c r="F111" s="80"/>
      <c r="G111" s="79"/>
      <c r="H111" s="79"/>
      <c r="I111" s="79"/>
      <c r="J111" s="79"/>
      <c r="K111" s="86"/>
      <c r="L111" s="86"/>
      <c r="M111" s="79"/>
      <c r="N111" s="79"/>
      <c r="O111" s="82"/>
      <c r="P111" s="95">
        <f>IF($C111="","",WEEKNUM($C111,IF(Set_WeekStart="Monday",2,1)))</f>
      </c>
      <c r="Q111" s="78">
        <f>IF($B111="","",IF(OR($M111="Complete",$M111="Attended",$M111="Skipped",$M111="Cancelled"),"No","Yes"))</f>
      </c>
      <c r="R111" s="78">
        <f>IF($B111="","",IF($Q111="No","COMPLETE",IF($C111="","NO DATE",IF($C111&lt;TODAY(),"OVERDUE",IF($C111-TODAY()&lt;=7,"THIS WEEK","SCHEDULED")))))</f>
      </c>
      <c r="S111" s="80"/>
      <c r="T111" s="78">
        <f>IF(AND($Q111="Yes",$C111&lt;&gt;"",$C111&gt;=TODAY(),$C111&lt;=TODAY()+7),$C111+ROW()/100000,"")</f>
      </c>
      <c r="U111" s="78">
        <f>IF($B111="",0,IF(COUNTIF('CHRISTMAS CALENDAR'!$B$6:$B$205,$B111)&gt;1,1,0))</f>
      </c>
      <c r="V111" s="78">
        <f>IF(OR(N($K111)&gt;0,N($L111)&gt;0),IF($J111="",1,IF(COUNTIF('MASTER BUDGET'!$D$6:$D$25,$J111)=0,1,0)),0)</f>
      </c>
      <c r="W111" s="75"/>
    </row>
    <row r="112" ht="17" customHeight="1" spans="1:23" x14ac:dyDescent="0.25">
      <c r="A112" s="75"/>
      <c r="B112" s="79"/>
      <c r="C112" s="82"/>
      <c r="D112" s="96"/>
      <c r="E112" s="79"/>
      <c r="F112" s="80"/>
      <c r="G112" s="79"/>
      <c r="H112" s="79"/>
      <c r="I112" s="79"/>
      <c r="J112" s="79"/>
      <c r="K112" s="86"/>
      <c r="L112" s="86"/>
      <c r="M112" s="79"/>
      <c r="N112" s="79"/>
      <c r="O112" s="82"/>
      <c r="P112" s="95">
        <f>IF($C112="","",WEEKNUM($C112,IF(Set_WeekStart="Monday",2,1)))</f>
      </c>
      <c r="Q112" s="78">
        <f>IF($B112="","",IF(OR($M112="Complete",$M112="Attended",$M112="Skipped",$M112="Cancelled"),"No","Yes"))</f>
      </c>
      <c r="R112" s="78">
        <f>IF($B112="","",IF($Q112="No","COMPLETE",IF($C112="","NO DATE",IF($C112&lt;TODAY(),"OVERDUE",IF($C112-TODAY()&lt;=7,"THIS WEEK","SCHEDULED")))))</f>
      </c>
      <c r="S112" s="80"/>
      <c r="T112" s="78">
        <f>IF(AND($Q112="Yes",$C112&lt;&gt;"",$C112&gt;=TODAY(),$C112&lt;=TODAY()+7),$C112+ROW()/100000,"")</f>
      </c>
      <c r="U112" s="78">
        <f>IF($B112="",0,IF(COUNTIF('CHRISTMAS CALENDAR'!$B$6:$B$205,$B112)&gt;1,1,0))</f>
      </c>
      <c r="V112" s="78">
        <f>IF(OR(N($K112)&gt;0,N($L112)&gt;0),IF($J112="",1,IF(COUNTIF('MASTER BUDGET'!$D$6:$D$25,$J112)=0,1,0)),0)</f>
      </c>
      <c r="W112" s="75"/>
    </row>
    <row r="113" ht="17" customHeight="1" spans="1:23" x14ac:dyDescent="0.25">
      <c r="A113" s="75"/>
      <c r="B113" s="79"/>
      <c r="C113" s="82"/>
      <c r="D113" s="96"/>
      <c r="E113" s="79"/>
      <c r="F113" s="80"/>
      <c r="G113" s="79"/>
      <c r="H113" s="79"/>
      <c r="I113" s="79"/>
      <c r="J113" s="79"/>
      <c r="K113" s="86"/>
      <c r="L113" s="86"/>
      <c r="M113" s="79"/>
      <c r="N113" s="79"/>
      <c r="O113" s="82"/>
      <c r="P113" s="95">
        <f>IF($C113="","",WEEKNUM($C113,IF(Set_WeekStart="Monday",2,1)))</f>
      </c>
      <c r="Q113" s="78">
        <f>IF($B113="","",IF(OR($M113="Complete",$M113="Attended",$M113="Skipped",$M113="Cancelled"),"No","Yes"))</f>
      </c>
      <c r="R113" s="78">
        <f>IF($B113="","",IF($Q113="No","COMPLETE",IF($C113="","NO DATE",IF($C113&lt;TODAY(),"OVERDUE",IF($C113-TODAY()&lt;=7,"THIS WEEK","SCHEDULED")))))</f>
      </c>
      <c r="S113" s="80"/>
      <c r="T113" s="78">
        <f>IF(AND($Q113="Yes",$C113&lt;&gt;"",$C113&gt;=TODAY(),$C113&lt;=TODAY()+7),$C113+ROW()/100000,"")</f>
      </c>
      <c r="U113" s="78">
        <f>IF($B113="",0,IF(COUNTIF('CHRISTMAS CALENDAR'!$B$6:$B$205,$B113)&gt;1,1,0))</f>
      </c>
      <c r="V113" s="78">
        <f>IF(OR(N($K113)&gt;0,N($L113)&gt;0),IF($J113="",1,IF(COUNTIF('MASTER BUDGET'!$D$6:$D$25,$J113)=0,1,0)),0)</f>
      </c>
      <c r="W113" s="75"/>
    </row>
    <row r="114" ht="17" customHeight="1" spans="1:23" x14ac:dyDescent="0.25">
      <c r="A114" s="75"/>
      <c r="B114" s="79"/>
      <c r="C114" s="82"/>
      <c r="D114" s="96"/>
      <c r="E114" s="79"/>
      <c r="F114" s="80"/>
      <c r="G114" s="79"/>
      <c r="H114" s="79"/>
      <c r="I114" s="79"/>
      <c r="J114" s="79"/>
      <c r="K114" s="86"/>
      <c r="L114" s="86"/>
      <c r="M114" s="79"/>
      <c r="N114" s="79"/>
      <c r="O114" s="82"/>
      <c r="P114" s="95">
        <f>IF($C114="","",WEEKNUM($C114,IF(Set_WeekStart="Monday",2,1)))</f>
      </c>
      <c r="Q114" s="78">
        <f>IF($B114="","",IF(OR($M114="Complete",$M114="Attended",$M114="Skipped",$M114="Cancelled"),"No","Yes"))</f>
      </c>
      <c r="R114" s="78">
        <f>IF($B114="","",IF($Q114="No","COMPLETE",IF($C114="","NO DATE",IF($C114&lt;TODAY(),"OVERDUE",IF($C114-TODAY()&lt;=7,"THIS WEEK","SCHEDULED")))))</f>
      </c>
      <c r="S114" s="80"/>
      <c r="T114" s="78">
        <f>IF(AND($Q114="Yes",$C114&lt;&gt;"",$C114&gt;=TODAY(),$C114&lt;=TODAY()+7),$C114+ROW()/100000,"")</f>
      </c>
      <c r="U114" s="78">
        <f>IF($B114="",0,IF(COUNTIF('CHRISTMAS CALENDAR'!$B$6:$B$205,$B114)&gt;1,1,0))</f>
      </c>
      <c r="V114" s="78">
        <f>IF(OR(N($K114)&gt;0,N($L114)&gt;0),IF($J114="",1,IF(COUNTIF('MASTER BUDGET'!$D$6:$D$25,$J114)=0,1,0)),0)</f>
      </c>
      <c r="W114" s="75"/>
    </row>
    <row r="115" ht="17" customHeight="1" spans="1:23" x14ac:dyDescent="0.25">
      <c r="A115" s="75"/>
      <c r="B115" s="79"/>
      <c r="C115" s="82"/>
      <c r="D115" s="96"/>
      <c r="E115" s="79"/>
      <c r="F115" s="80"/>
      <c r="G115" s="79"/>
      <c r="H115" s="79"/>
      <c r="I115" s="79"/>
      <c r="J115" s="79"/>
      <c r="K115" s="86"/>
      <c r="L115" s="86"/>
      <c r="M115" s="79"/>
      <c r="N115" s="79"/>
      <c r="O115" s="82"/>
      <c r="P115" s="95">
        <f>IF($C115="","",WEEKNUM($C115,IF(Set_WeekStart="Monday",2,1)))</f>
      </c>
      <c r="Q115" s="78">
        <f>IF($B115="","",IF(OR($M115="Complete",$M115="Attended",$M115="Skipped",$M115="Cancelled"),"No","Yes"))</f>
      </c>
      <c r="R115" s="78">
        <f>IF($B115="","",IF($Q115="No","COMPLETE",IF($C115="","NO DATE",IF($C115&lt;TODAY(),"OVERDUE",IF($C115-TODAY()&lt;=7,"THIS WEEK","SCHEDULED")))))</f>
      </c>
      <c r="S115" s="80"/>
      <c r="T115" s="78">
        <f>IF(AND($Q115="Yes",$C115&lt;&gt;"",$C115&gt;=TODAY(),$C115&lt;=TODAY()+7),$C115+ROW()/100000,"")</f>
      </c>
      <c r="U115" s="78">
        <f>IF($B115="",0,IF(COUNTIF('CHRISTMAS CALENDAR'!$B$6:$B$205,$B115)&gt;1,1,0))</f>
      </c>
      <c r="V115" s="78">
        <f>IF(OR(N($K115)&gt;0,N($L115)&gt;0),IF($J115="",1,IF(COUNTIF('MASTER BUDGET'!$D$6:$D$25,$J115)=0,1,0)),0)</f>
      </c>
      <c r="W115" s="75"/>
    </row>
    <row r="116" ht="17" customHeight="1" spans="1:23" x14ac:dyDescent="0.25">
      <c r="A116" s="75"/>
      <c r="B116" s="79"/>
      <c r="C116" s="82"/>
      <c r="D116" s="96"/>
      <c r="E116" s="79"/>
      <c r="F116" s="80"/>
      <c r="G116" s="79"/>
      <c r="H116" s="79"/>
      <c r="I116" s="79"/>
      <c r="J116" s="79"/>
      <c r="K116" s="86"/>
      <c r="L116" s="86"/>
      <c r="M116" s="79"/>
      <c r="N116" s="79"/>
      <c r="O116" s="82"/>
      <c r="P116" s="95">
        <f>IF($C116="","",WEEKNUM($C116,IF(Set_WeekStart="Monday",2,1)))</f>
      </c>
      <c r="Q116" s="78">
        <f>IF($B116="","",IF(OR($M116="Complete",$M116="Attended",$M116="Skipped",$M116="Cancelled"),"No","Yes"))</f>
      </c>
      <c r="R116" s="78">
        <f>IF($B116="","",IF($Q116="No","COMPLETE",IF($C116="","NO DATE",IF($C116&lt;TODAY(),"OVERDUE",IF($C116-TODAY()&lt;=7,"THIS WEEK","SCHEDULED")))))</f>
      </c>
      <c r="S116" s="80"/>
      <c r="T116" s="78">
        <f>IF(AND($Q116="Yes",$C116&lt;&gt;"",$C116&gt;=TODAY(),$C116&lt;=TODAY()+7),$C116+ROW()/100000,"")</f>
      </c>
      <c r="U116" s="78">
        <f>IF($B116="",0,IF(COUNTIF('CHRISTMAS CALENDAR'!$B$6:$B$205,$B116)&gt;1,1,0))</f>
      </c>
      <c r="V116" s="78">
        <f>IF(OR(N($K116)&gt;0,N($L116)&gt;0),IF($J116="",1,IF(COUNTIF('MASTER BUDGET'!$D$6:$D$25,$J116)=0,1,0)),0)</f>
      </c>
      <c r="W116" s="75"/>
    </row>
    <row r="117" ht="17" customHeight="1" spans="1:23" x14ac:dyDescent="0.25">
      <c r="A117" s="75"/>
      <c r="B117" s="79"/>
      <c r="C117" s="82"/>
      <c r="D117" s="96"/>
      <c r="E117" s="79"/>
      <c r="F117" s="80"/>
      <c r="G117" s="79"/>
      <c r="H117" s="79"/>
      <c r="I117" s="79"/>
      <c r="J117" s="79"/>
      <c r="K117" s="86"/>
      <c r="L117" s="86"/>
      <c r="M117" s="79"/>
      <c r="N117" s="79"/>
      <c r="O117" s="82"/>
      <c r="P117" s="95">
        <f>IF($C117="","",WEEKNUM($C117,IF(Set_WeekStart="Monday",2,1)))</f>
      </c>
      <c r="Q117" s="78">
        <f>IF($B117="","",IF(OR($M117="Complete",$M117="Attended",$M117="Skipped",$M117="Cancelled"),"No","Yes"))</f>
      </c>
      <c r="R117" s="78">
        <f>IF($B117="","",IF($Q117="No","COMPLETE",IF($C117="","NO DATE",IF($C117&lt;TODAY(),"OVERDUE",IF($C117-TODAY()&lt;=7,"THIS WEEK","SCHEDULED")))))</f>
      </c>
      <c r="S117" s="80"/>
      <c r="T117" s="78">
        <f>IF(AND($Q117="Yes",$C117&lt;&gt;"",$C117&gt;=TODAY(),$C117&lt;=TODAY()+7),$C117+ROW()/100000,"")</f>
      </c>
      <c r="U117" s="78">
        <f>IF($B117="",0,IF(COUNTIF('CHRISTMAS CALENDAR'!$B$6:$B$205,$B117)&gt;1,1,0))</f>
      </c>
      <c r="V117" s="78">
        <f>IF(OR(N($K117)&gt;0,N($L117)&gt;0),IF($J117="",1,IF(COUNTIF('MASTER BUDGET'!$D$6:$D$25,$J117)=0,1,0)),0)</f>
      </c>
      <c r="W117" s="75"/>
    </row>
    <row r="118" ht="17" customHeight="1" spans="1:23" x14ac:dyDescent="0.25">
      <c r="A118" s="75"/>
      <c r="B118" s="79"/>
      <c r="C118" s="82"/>
      <c r="D118" s="96"/>
      <c r="E118" s="79"/>
      <c r="F118" s="80"/>
      <c r="G118" s="79"/>
      <c r="H118" s="79"/>
      <c r="I118" s="79"/>
      <c r="J118" s="79"/>
      <c r="K118" s="86"/>
      <c r="L118" s="86"/>
      <c r="M118" s="79"/>
      <c r="N118" s="79"/>
      <c r="O118" s="82"/>
      <c r="P118" s="95">
        <f>IF($C118="","",WEEKNUM($C118,IF(Set_WeekStart="Monday",2,1)))</f>
      </c>
      <c r="Q118" s="78">
        <f>IF($B118="","",IF(OR($M118="Complete",$M118="Attended",$M118="Skipped",$M118="Cancelled"),"No","Yes"))</f>
      </c>
      <c r="R118" s="78">
        <f>IF($B118="","",IF($Q118="No","COMPLETE",IF($C118="","NO DATE",IF($C118&lt;TODAY(),"OVERDUE",IF($C118-TODAY()&lt;=7,"THIS WEEK","SCHEDULED")))))</f>
      </c>
      <c r="S118" s="80"/>
      <c r="T118" s="78">
        <f>IF(AND($Q118="Yes",$C118&lt;&gt;"",$C118&gt;=TODAY(),$C118&lt;=TODAY()+7),$C118+ROW()/100000,"")</f>
      </c>
      <c r="U118" s="78">
        <f>IF($B118="",0,IF(COUNTIF('CHRISTMAS CALENDAR'!$B$6:$B$205,$B118)&gt;1,1,0))</f>
      </c>
      <c r="V118" s="78">
        <f>IF(OR(N($K118)&gt;0,N($L118)&gt;0),IF($J118="",1,IF(COUNTIF('MASTER BUDGET'!$D$6:$D$25,$J118)=0,1,0)),0)</f>
      </c>
      <c r="W118" s="75"/>
    </row>
    <row r="119" ht="17" customHeight="1" spans="1:23" x14ac:dyDescent="0.25">
      <c r="A119" s="75"/>
      <c r="B119" s="79"/>
      <c r="C119" s="82"/>
      <c r="D119" s="96"/>
      <c r="E119" s="79"/>
      <c r="F119" s="80"/>
      <c r="G119" s="79"/>
      <c r="H119" s="79"/>
      <c r="I119" s="79"/>
      <c r="J119" s="79"/>
      <c r="K119" s="86"/>
      <c r="L119" s="86"/>
      <c r="M119" s="79"/>
      <c r="N119" s="79"/>
      <c r="O119" s="82"/>
      <c r="P119" s="95">
        <f>IF($C119="","",WEEKNUM($C119,IF(Set_WeekStart="Monday",2,1)))</f>
      </c>
      <c r="Q119" s="78">
        <f>IF($B119="","",IF(OR($M119="Complete",$M119="Attended",$M119="Skipped",$M119="Cancelled"),"No","Yes"))</f>
      </c>
      <c r="R119" s="78">
        <f>IF($B119="","",IF($Q119="No","COMPLETE",IF($C119="","NO DATE",IF($C119&lt;TODAY(),"OVERDUE",IF($C119-TODAY()&lt;=7,"THIS WEEK","SCHEDULED")))))</f>
      </c>
      <c r="S119" s="80"/>
      <c r="T119" s="78">
        <f>IF(AND($Q119="Yes",$C119&lt;&gt;"",$C119&gt;=TODAY(),$C119&lt;=TODAY()+7),$C119+ROW()/100000,"")</f>
      </c>
      <c r="U119" s="78">
        <f>IF($B119="",0,IF(COUNTIF('CHRISTMAS CALENDAR'!$B$6:$B$205,$B119)&gt;1,1,0))</f>
      </c>
      <c r="V119" s="78">
        <f>IF(OR(N($K119)&gt;0,N($L119)&gt;0),IF($J119="",1,IF(COUNTIF('MASTER BUDGET'!$D$6:$D$25,$J119)=0,1,0)),0)</f>
      </c>
      <c r="W119" s="75"/>
    </row>
    <row r="120" ht="17" customHeight="1" spans="1:23" x14ac:dyDescent="0.25">
      <c r="A120" s="75"/>
      <c r="B120" s="79"/>
      <c r="C120" s="82"/>
      <c r="D120" s="96"/>
      <c r="E120" s="79"/>
      <c r="F120" s="80"/>
      <c r="G120" s="79"/>
      <c r="H120" s="79"/>
      <c r="I120" s="79"/>
      <c r="J120" s="79"/>
      <c r="K120" s="86"/>
      <c r="L120" s="86"/>
      <c r="M120" s="79"/>
      <c r="N120" s="79"/>
      <c r="O120" s="82"/>
      <c r="P120" s="95">
        <f>IF($C120="","",WEEKNUM($C120,IF(Set_WeekStart="Monday",2,1)))</f>
      </c>
      <c r="Q120" s="78">
        <f>IF($B120="","",IF(OR($M120="Complete",$M120="Attended",$M120="Skipped",$M120="Cancelled"),"No","Yes"))</f>
      </c>
      <c r="R120" s="78">
        <f>IF($B120="","",IF($Q120="No","COMPLETE",IF($C120="","NO DATE",IF($C120&lt;TODAY(),"OVERDUE",IF($C120-TODAY()&lt;=7,"THIS WEEK","SCHEDULED")))))</f>
      </c>
      <c r="S120" s="80"/>
      <c r="T120" s="78">
        <f>IF(AND($Q120="Yes",$C120&lt;&gt;"",$C120&gt;=TODAY(),$C120&lt;=TODAY()+7),$C120+ROW()/100000,"")</f>
      </c>
      <c r="U120" s="78">
        <f>IF($B120="",0,IF(COUNTIF('CHRISTMAS CALENDAR'!$B$6:$B$205,$B120)&gt;1,1,0))</f>
      </c>
      <c r="V120" s="78">
        <f>IF(OR(N($K120)&gt;0,N($L120)&gt;0),IF($J120="",1,IF(COUNTIF('MASTER BUDGET'!$D$6:$D$25,$J120)=0,1,0)),0)</f>
      </c>
      <c r="W120" s="75"/>
    </row>
    <row r="121" ht="17" customHeight="1" spans="1:23" x14ac:dyDescent="0.25">
      <c r="A121" s="75"/>
      <c r="B121" s="79"/>
      <c r="C121" s="82"/>
      <c r="D121" s="96"/>
      <c r="E121" s="79"/>
      <c r="F121" s="80"/>
      <c r="G121" s="79"/>
      <c r="H121" s="79"/>
      <c r="I121" s="79"/>
      <c r="J121" s="79"/>
      <c r="K121" s="86"/>
      <c r="L121" s="86"/>
      <c r="M121" s="79"/>
      <c r="N121" s="79"/>
      <c r="O121" s="82"/>
      <c r="P121" s="95">
        <f>IF($C121="","",WEEKNUM($C121,IF(Set_WeekStart="Monday",2,1)))</f>
      </c>
      <c r="Q121" s="78">
        <f>IF($B121="","",IF(OR($M121="Complete",$M121="Attended",$M121="Skipped",$M121="Cancelled"),"No","Yes"))</f>
      </c>
      <c r="R121" s="78">
        <f>IF($B121="","",IF($Q121="No","COMPLETE",IF($C121="","NO DATE",IF($C121&lt;TODAY(),"OVERDUE",IF($C121-TODAY()&lt;=7,"THIS WEEK","SCHEDULED")))))</f>
      </c>
      <c r="S121" s="80"/>
      <c r="T121" s="78">
        <f>IF(AND($Q121="Yes",$C121&lt;&gt;"",$C121&gt;=TODAY(),$C121&lt;=TODAY()+7),$C121+ROW()/100000,"")</f>
      </c>
      <c r="U121" s="78">
        <f>IF($B121="",0,IF(COUNTIF('CHRISTMAS CALENDAR'!$B$6:$B$205,$B121)&gt;1,1,0))</f>
      </c>
      <c r="V121" s="78">
        <f>IF(OR(N($K121)&gt;0,N($L121)&gt;0),IF($J121="",1,IF(COUNTIF('MASTER BUDGET'!$D$6:$D$25,$J121)=0,1,0)),0)</f>
      </c>
      <c r="W121" s="75"/>
    </row>
    <row r="122" ht="17" customHeight="1" spans="1:23" x14ac:dyDescent="0.25">
      <c r="A122" s="75"/>
      <c r="B122" s="79"/>
      <c r="C122" s="82"/>
      <c r="D122" s="96"/>
      <c r="E122" s="79"/>
      <c r="F122" s="80"/>
      <c r="G122" s="79"/>
      <c r="H122" s="79"/>
      <c r="I122" s="79"/>
      <c r="J122" s="79"/>
      <c r="K122" s="86"/>
      <c r="L122" s="86"/>
      <c r="M122" s="79"/>
      <c r="N122" s="79"/>
      <c r="O122" s="82"/>
      <c r="P122" s="95">
        <f>IF($C122="","",WEEKNUM($C122,IF(Set_WeekStart="Monday",2,1)))</f>
      </c>
      <c r="Q122" s="78">
        <f>IF($B122="","",IF(OR($M122="Complete",$M122="Attended",$M122="Skipped",$M122="Cancelled"),"No","Yes"))</f>
      </c>
      <c r="R122" s="78">
        <f>IF($B122="","",IF($Q122="No","COMPLETE",IF($C122="","NO DATE",IF($C122&lt;TODAY(),"OVERDUE",IF($C122-TODAY()&lt;=7,"THIS WEEK","SCHEDULED")))))</f>
      </c>
      <c r="S122" s="80"/>
      <c r="T122" s="78">
        <f>IF(AND($Q122="Yes",$C122&lt;&gt;"",$C122&gt;=TODAY(),$C122&lt;=TODAY()+7),$C122+ROW()/100000,"")</f>
      </c>
      <c r="U122" s="78">
        <f>IF($B122="",0,IF(COUNTIF('CHRISTMAS CALENDAR'!$B$6:$B$205,$B122)&gt;1,1,0))</f>
      </c>
      <c r="V122" s="78">
        <f>IF(OR(N($K122)&gt;0,N($L122)&gt;0),IF($J122="",1,IF(COUNTIF('MASTER BUDGET'!$D$6:$D$25,$J122)=0,1,0)),0)</f>
      </c>
      <c r="W122" s="75"/>
    </row>
    <row r="123" ht="17" customHeight="1" spans="1:23" x14ac:dyDescent="0.25">
      <c r="A123" s="75"/>
      <c r="B123" s="79"/>
      <c r="C123" s="82"/>
      <c r="D123" s="96"/>
      <c r="E123" s="79"/>
      <c r="F123" s="80"/>
      <c r="G123" s="79"/>
      <c r="H123" s="79"/>
      <c r="I123" s="79"/>
      <c r="J123" s="79"/>
      <c r="K123" s="86"/>
      <c r="L123" s="86"/>
      <c r="M123" s="79"/>
      <c r="N123" s="79"/>
      <c r="O123" s="82"/>
      <c r="P123" s="95">
        <f>IF($C123="","",WEEKNUM($C123,IF(Set_WeekStart="Monday",2,1)))</f>
      </c>
      <c r="Q123" s="78">
        <f>IF($B123="","",IF(OR($M123="Complete",$M123="Attended",$M123="Skipped",$M123="Cancelled"),"No","Yes"))</f>
      </c>
      <c r="R123" s="78">
        <f>IF($B123="","",IF($Q123="No","COMPLETE",IF($C123="","NO DATE",IF($C123&lt;TODAY(),"OVERDUE",IF($C123-TODAY()&lt;=7,"THIS WEEK","SCHEDULED")))))</f>
      </c>
      <c r="S123" s="80"/>
      <c r="T123" s="78">
        <f>IF(AND($Q123="Yes",$C123&lt;&gt;"",$C123&gt;=TODAY(),$C123&lt;=TODAY()+7),$C123+ROW()/100000,"")</f>
      </c>
      <c r="U123" s="78">
        <f>IF($B123="",0,IF(COUNTIF('CHRISTMAS CALENDAR'!$B$6:$B$205,$B123)&gt;1,1,0))</f>
      </c>
      <c r="V123" s="78">
        <f>IF(OR(N($K123)&gt;0,N($L123)&gt;0),IF($J123="",1,IF(COUNTIF('MASTER BUDGET'!$D$6:$D$25,$J123)=0,1,0)),0)</f>
      </c>
      <c r="W123" s="75"/>
    </row>
    <row r="124" ht="17" customHeight="1" spans="1:23" x14ac:dyDescent="0.25">
      <c r="A124" s="75"/>
      <c r="B124" s="79"/>
      <c r="C124" s="82"/>
      <c r="D124" s="96"/>
      <c r="E124" s="79"/>
      <c r="F124" s="80"/>
      <c r="G124" s="79"/>
      <c r="H124" s="79"/>
      <c r="I124" s="79"/>
      <c r="J124" s="79"/>
      <c r="K124" s="86"/>
      <c r="L124" s="86"/>
      <c r="M124" s="79"/>
      <c r="N124" s="79"/>
      <c r="O124" s="82"/>
      <c r="P124" s="95">
        <f>IF($C124="","",WEEKNUM($C124,IF(Set_WeekStart="Monday",2,1)))</f>
      </c>
      <c r="Q124" s="78">
        <f>IF($B124="","",IF(OR($M124="Complete",$M124="Attended",$M124="Skipped",$M124="Cancelled"),"No","Yes"))</f>
      </c>
      <c r="R124" s="78">
        <f>IF($B124="","",IF($Q124="No","COMPLETE",IF($C124="","NO DATE",IF($C124&lt;TODAY(),"OVERDUE",IF($C124-TODAY()&lt;=7,"THIS WEEK","SCHEDULED")))))</f>
      </c>
      <c r="S124" s="80"/>
      <c r="T124" s="78">
        <f>IF(AND($Q124="Yes",$C124&lt;&gt;"",$C124&gt;=TODAY(),$C124&lt;=TODAY()+7),$C124+ROW()/100000,"")</f>
      </c>
      <c r="U124" s="78">
        <f>IF($B124="",0,IF(COUNTIF('CHRISTMAS CALENDAR'!$B$6:$B$205,$B124)&gt;1,1,0))</f>
      </c>
      <c r="V124" s="78">
        <f>IF(OR(N($K124)&gt;0,N($L124)&gt;0),IF($J124="",1,IF(COUNTIF('MASTER BUDGET'!$D$6:$D$25,$J124)=0,1,0)),0)</f>
      </c>
      <c r="W124" s="75"/>
    </row>
    <row r="125" ht="17" customHeight="1" spans="1:23" x14ac:dyDescent="0.25">
      <c r="A125" s="75"/>
      <c r="B125" s="79"/>
      <c r="C125" s="82"/>
      <c r="D125" s="96"/>
      <c r="E125" s="79"/>
      <c r="F125" s="80"/>
      <c r="G125" s="79"/>
      <c r="H125" s="79"/>
      <c r="I125" s="79"/>
      <c r="J125" s="79"/>
      <c r="K125" s="86"/>
      <c r="L125" s="86"/>
      <c r="M125" s="79"/>
      <c r="N125" s="79"/>
      <c r="O125" s="82"/>
      <c r="P125" s="95">
        <f>IF($C125="","",WEEKNUM($C125,IF(Set_WeekStart="Monday",2,1)))</f>
      </c>
      <c r="Q125" s="78">
        <f>IF($B125="","",IF(OR($M125="Complete",$M125="Attended",$M125="Skipped",$M125="Cancelled"),"No","Yes"))</f>
      </c>
      <c r="R125" s="78">
        <f>IF($B125="","",IF($Q125="No","COMPLETE",IF($C125="","NO DATE",IF($C125&lt;TODAY(),"OVERDUE",IF($C125-TODAY()&lt;=7,"THIS WEEK","SCHEDULED")))))</f>
      </c>
      <c r="S125" s="80"/>
      <c r="T125" s="78">
        <f>IF(AND($Q125="Yes",$C125&lt;&gt;"",$C125&gt;=TODAY(),$C125&lt;=TODAY()+7),$C125+ROW()/100000,"")</f>
      </c>
      <c r="U125" s="78">
        <f>IF($B125="",0,IF(COUNTIF('CHRISTMAS CALENDAR'!$B$6:$B$205,$B125)&gt;1,1,0))</f>
      </c>
      <c r="V125" s="78">
        <f>IF(OR(N($K125)&gt;0,N($L125)&gt;0),IF($J125="",1,IF(COUNTIF('MASTER BUDGET'!$D$6:$D$25,$J125)=0,1,0)),0)</f>
      </c>
      <c r="W125" s="75"/>
    </row>
    <row r="126" ht="17" customHeight="1" spans="1:23" x14ac:dyDescent="0.25">
      <c r="A126" s="75"/>
      <c r="B126" s="79"/>
      <c r="C126" s="82"/>
      <c r="D126" s="96"/>
      <c r="E126" s="79"/>
      <c r="F126" s="80"/>
      <c r="G126" s="79"/>
      <c r="H126" s="79"/>
      <c r="I126" s="79"/>
      <c r="J126" s="79"/>
      <c r="K126" s="86"/>
      <c r="L126" s="86"/>
      <c r="M126" s="79"/>
      <c r="N126" s="79"/>
      <c r="O126" s="82"/>
      <c r="P126" s="95">
        <f>IF($C126="","",WEEKNUM($C126,IF(Set_WeekStart="Monday",2,1)))</f>
      </c>
      <c r="Q126" s="78">
        <f>IF($B126="","",IF(OR($M126="Complete",$M126="Attended",$M126="Skipped",$M126="Cancelled"),"No","Yes"))</f>
      </c>
      <c r="R126" s="78">
        <f>IF($B126="","",IF($Q126="No","COMPLETE",IF($C126="","NO DATE",IF($C126&lt;TODAY(),"OVERDUE",IF($C126-TODAY()&lt;=7,"THIS WEEK","SCHEDULED")))))</f>
      </c>
      <c r="S126" s="80"/>
      <c r="T126" s="78">
        <f>IF(AND($Q126="Yes",$C126&lt;&gt;"",$C126&gt;=TODAY(),$C126&lt;=TODAY()+7),$C126+ROW()/100000,"")</f>
      </c>
      <c r="U126" s="78">
        <f>IF($B126="",0,IF(COUNTIF('CHRISTMAS CALENDAR'!$B$6:$B$205,$B126)&gt;1,1,0))</f>
      </c>
      <c r="V126" s="78">
        <f>IF(OR(N($K126)&gt;0,N($L126)&gt;0),IF($J126="",1,IF(COUNTIF('MASTER BUDGET'!$D$6:$D$25,$J126)=0,1,0)),0)</f>
      </c>
      <c r="W126" s="75"/>
    </row>
    <row r="127" ht="17" customHeight="1" spans="1:23" x14ac:dyDescent="0.25">
      <c r="A127" s="75"/>
      <c r="B127" s="79"/>
      <c r="C127" s="82"/>
      <c r="D127" s="96"/>
      <c r="E127" s="79"/>
      <c r="F127" s="80"/>
      <c r="G127" s="79"/>
      <c r="H127" s="79"/>
      <c r="I127" s="79"/>
      <c r="J127" s="79"/>
      <c r="K127" s="86"/>
      <c r="L127" s="86"/>
      <c r="M127" s="79"/>
      <c r="N127" s="79"/>
      <c r="O127" s="82"/>
      <c r="P127" s="95">
        <f>IF($C127="","",WEEKNUM($C127,IF(Set_WeekStart="Monday",2,1)))</f>
      </c>
      <c r="Q127" s="78">
        <f>IF($B127="","",IF(OR($M127="Complete",$M127="Attended",$M127="Skipped",$M127="Cancelled"),"No","Yes"))</f>
      </c>
      <c r="R127" s="78">
        <f>IF($B127="","",IF($Q127="No","COMPLETE",IF($C127="","NO DATE",IF($C127&lt;TODAY(),"OVERDUE",IF($C127-TODAY()&lt;=7,"THIS WEEK","SCHEDULED")))))</f>
      </c>
      <c r="S127" s="80"/>
      <c r="T127" s="78">
        <f>IF(AND($Q127="Yes",$C127&lt;&gt;"",$C127&gt;=TODAY(),$C127&lt;=TODAY()+7),$C127+ROW()/100000,"")</f>
      </c>
      <c r="U127" s="78">
        <f>IF($B127="",0,IF(COUNTIF('CHRISTMAS CALENDAR'!$B$6:$B$205,$B127)&gt;1,1,0))</f>
      </c>
      <c r="V127" s="78">
        <f>IF(OR(N($K127)&gt;0,N($L127)&gt;0),IF($J127="",1,IF(COUNTIF('MASTER BUDGET'!$D$6:$D$25,$J127)=0,1,0)),0)</f>
      </c>
      <c r="W127" s="75"/>
    </row>
    <row r="128" ht="17" customHeight="1" spans="1:23" x14ac:dyDescent="0.25">
      <c r="A128" s="75"/>
      <c r="B128" s="79"/>
      <c r="C128" s="82"/>
      <c r="D128" s="96"/>
      <c r="E128" s="79"/>
      <c r="F128" s="80"/>
      <c r="G128" s="79"/>
      <c r="H128" s="79"/>
      <c r="I128" s="79"/>
      <c r="J128" s="79"/>
      <c r="K128" s="86"/>
      <c r="L128" s="86"/>
      <c r="M128" s="79"/>
      <c r="N128" s="79"/>
      <c r="O128" s="82"/>
      <c r="P128" s="95">
        <f>IF($C128="","",WEEKNUM($C128,IF(Set_WeekStart="Monday",2,1)))</f>
      </c>
      <c r="Q128" s="78">
        <f>IF($B128="","",IF(OR($M128="Complete",$M128="Attended",$M128="Skipped",$M128="Cancelled"),"No","Yes"))</f>
      </c>
      <c r="R128" s="78">
        <f>IF($B128="","",IF($Q128="No","COMPLETE",IF($C128="","NO DATE",IF($C128&lt;TODAY(),"OVERDUE",IF($C128-TODAY()&lt;=7,"THIS WEEK","SCHEDULED")))))</f>
      </c>
      <c r="S128" s="80"/>
      <c r="T128" s="78">
        <f>IF(AND($Q128="Yes",$C128&lt;&gt;"",$C128&gt;=TODAY(),$C128&lt;=TODAY()+7),$C128+ROW()/100000,"")</f>
      </c>
      <c r="U128" s="78">
        <f>IF($B128="",0,IF(COUNTIF('CHRISTMAS CALENDAR'!$B$6:$B$205,$B128)&gt;1,1,0))</f>
      </c>
      <c r="V128" s="78">
        <f>IF(OR(N($K128)&gt;0,N($L128)&gt;0),IF($J128="",1,IF(COUNTIF('MASTER BUDGET'!$D$6:$D$25,$J128)=0,1,0)),0)</f>
      </c>
      <c r="W128" s="75"/>
    </row>
    <row r="129" ht="17" customHeight="1" spans="1:23" x14ac:dyDescent="0.25">
      <c r="A129" s="75"/>
      <c r="B129" s="79"/>
      <c r="C129" s="82"/>
      <c r="D129" s="96"/>
      <c r="E129" s="79"/>
      <c r="F129" s="80"/>
      <c r="G129" s="79"/>
      <c r="H129" s="79"/>
      <c r="I129" s="79"/>
      <c r="J129" s="79"/>
      <c r="K129" s="86"/>
      <c r="L129" s="86"/>
      <c r="M129" s="79"/>
      <c r="N129" s="79"/>
      <c r="O129" s="82"/>
      <c r="P129" s="95">
        <f>IF($C129="","",WEEKNUM($C129,IF(Set_WeekStart="Monday",2,1)))</f>
      </c>
      <c r="Q129" s="78">
        <f>IF($B129="","",IF(OR($M129="Complete",$M129="Attended",$M129="Skipped",$M129="Cancelled"),"No","Yes"))</f>
      </c>
      <c r="R129" s="78">
        <f>IF($B129="","",IF($Q129="No","COMPLETE",IF($C129="","NO DATE",IF($C129&lt;TODAY(),"OVERDUE",IF($C129-TODAY()&lt;=7,"THIS WEEK","SCHEDULED")))))</f>
      </c>
      <c r="S129" s="80"/>
      <c r="T129" s="78">
        <f>IF(AND($Q129="Yes",$C129&lt;&gt;"",$C129&gt;=TODAY(),$C129&lt;=TODAY()+7),$C129+ROW()/100000,"")</f>
      </c>
      <c r="U129" s="78">
        <f>IF($B129="",0,IF(COUNTIF('CHRISTMAS CALENDAR'!$B$6:$B$205,$B129)&gt;1,1,0))</f>
      </c>
      <c r="V129" s="78">
        <f>IF(OR(N($K129)&gt;0,N($L129)&gt;0),IF($J129="",1,IF(COUNTIF('MASTER BUDGET'!$D$6:$D$25,$J129)=0,1,0)),0)</f>
      </c>
      <c r="W129" s="75"/>
    </row>
    <row r="130" ht="17" customHeight="1" spans="1:23" x14ac:dyDescent="0.25">
      <c r="A130" s="75"/>
      <c r="B130" s="79"/>
      <c r="C130" s="82"/>
      <c r="D130" s="96"/>
      <c r="E130" s="79"/>
      <c r="F130" s="80"/>
      <c r="G130" s="79"/>
      <c r="H130" s="79"/>
      <c r="I130" s="79"/>
      <c r="J130" s="79"/>
      <c r="K130" s="86"/>
      <c r="L130" s="86"/>
      <c r="M130" s="79"/>
      <c r="N130" s="79"/>
      <c r="O130" s="82"/>
      <c r="P130" s="95">
        <f>IF($C130="","",WEEKNUM($C130,IF(Set_WeekStart="Monday",2,1)))</f>
      </c>
      <c r="Q130" s="78">
        <f>IF($B130="","",IF(OR($M130="Complete",$M130="Attended",$M130="Skipped",$M130="Cancelled"),"No","Yes"))</f>
      </c>
      <c r="R130" s="78">
        <f>IF($B130="","",IF($Q130="No","COMPLETE",IF($C130="","NO DATE",IF($C130&lt;TODAY(),"OVERDUE",IF($C130-TODAY()&lt;=7,"THIS WEEK","SCHEDULED")))))</f>
      </c>
      <c r="S130" s="80"/>
      <c r="T130" s="78">
        <f>IF(AND($Q130="Yes",$C130&lt;&gt;"",$C130&gt;=TODAY(),$C130&lt;=TODAY()+7),$C130+ROW()/100000,"")</f>
      </c>
      <c r="U130" s="78">
        <f>IF($B130="",0,IF(COUNTIF('CHRISTMAS CALENDAR'!$B$6:$B$205,$B130)&gt;1,1,0))</f>
      </c>
      <c r="V130" s="78">
        <f>IF(OR(N($K130)&gt;0,N($L130)&gt;0),IF($J130="",1,IF(COUNTIF('MASTER BUDGET'!$D$6:$D$25,$J130)=0,1,0)),0)</f>
      </c>
      <c r="W130" s="75"/>
    </row>
    <row r="131" ht="17" customHeight="1" spans="1:23" x14ac:dyDescent="0.25">
      <c r="A131" s="75"/>
      <c r="B131" s="79"/>
      <c r="C131" s="82"/>
      <c r="D131" s="96"/>
      <c r="E131" s="79"/>
      <c r="F131" s="80"/>
      <c r="G131" s="79"/>
      <c r="H131" s="79"/>
      <c r="I131" s="79"/>
      <c r="J131" s="79"/>
      <c r="K131" s="86"/>
      <c r="L131" s="86"/>
      <c r="M131" s="79"/>
      <c r="N131" s="79"/>
      <c r="O131" s="82"/>
      <c r="P131" s="95">
        <f>IF($C131="","",WEEKNUM($C131,IF(Set_WeekStart="Monday",2,1)))</f>
      </c>
      <c r="Q131" s="78">
        <f>IF($B131="","",IF(OR($M131="Complete",$M131="Attended",$M131="Skipped",$M131="Cancelled"),"No","Yes"))</f>
      </c>
      <c r="R131" s="78">
        <f>IF($B131="","",IF($Q131="No","COMPLETE",IF($C131="","NO DATE",IF($C131&lt;TODAY(),"OVERDUE",IF($C131-TODAY()&lt;=7,"THIS WEEK","SCHEDULED")))))</f>
      </c>
      <c r="S131" s="80"/>
      <c r="T131" s="78">
        <f>IF(AND($Q131="Yes",$C131&lt;&gt;"",$C131&gt;=TODAY(),$C131&lt;=TODAY()+7),$C131+ROW()/100000,"")</f>
      </c>
      <c r="U131" s="78">
        <f>IF($B131="",0,IF(COUNTIF('CHRISTMAS CALENDAR'!$B$6:$B$205,$B131)&gt;1,1,0))</f>
      </c>
      <c r="V131" s="78">
        <f>IF(OR(N($K131)&gt;0,N($L131)&gt;0),IF($J131="",1,IF(COUNTIF('MASTER BUDGET'!$D$6:$D$25,$J131)=0,1,0)),0)</f>
      </c>
      <c r="W131" s="75"/>
    </row>
    <row r="132" ht="17" customHeight="1" spans="1:23" x14ac:dyDescent="0.25">
      <c r="A132" s="75"/>
      <c r="B132" s="79"/>
      <c r="C132" s="82"/>
      <c r="D132" s="96"/>
      <c r="E132" s="79"/>
      <c r="F132" s="80"/>
      <c r="G132" s="79"/>
      <c r="H132" s="79"/>
      <c r="I132" s="79"/>
      <c r="J132" s="79"/>
      <c r="K132" s="86"/>
      <c r="L132" s="86"/>
      <c r="M132" s="79"/>
      <c r="N132" s="79"/>
      <c r="O132" s="82"/>
      <c r="P132" s="95">
        <f>IF($C132="","",WEEKNUM($C132,IF(Set_WeekStart="Monday",2,1)))</f>
      </c>
      <c r="Q132" s="78">
        <f>IF($B132="","",IF(OR($M132="Complete",$M132="Attended",$M132="Skipped",$M132="Cancelled"),"No","Yes"))</f>
      </c>
      <c r="R132" s="78">
        <f>IF($B132="","",IF($Q132="No","COMPLETE",IF($C132="","NO DATE",IF($C132&lt;TODAY(),"OVERDUE",IF($C132-TODAY()&lt;=7,"THIS WEEK","SCHEDULED")))))</f>
      </c>
      <c r="S132" s="80"/>
      <c r="T132" s="78">
        <f>IF(AND($Q132="Yes",$C132&lt;&gt;"",$C132&gt;=TODAY(),$C132&lt;=TODAY()+7),$C132+ROW()/100000,"")</f>
      </c>
      <c r="U132" s="78">
        <f>IF($B132="",0,IF(COUNTIF('CHRISTMAS CALENDAR'!$B$6:$B$205,$B132)&gt;1,1,0))</f>
      </c>
      <c r="V132" s="78">
        <f>IF(OR(N($K132)&gt;0,N($L132)&gt;0),IF($J132="",1,IF(COUNTIF('MASTER BUDGET'!$D$6:$D$25,$J132)=0,1,0)),0)</f>
      </c>
      <c r="W132" s="75"/>
    </row>
    <row r="133" ht="17" customHeight="1" spans="1:23" x14ac:dyDescent="0.25">
      <c r="A133" s="75"/>
      <c r="B133" s="79"/>
      <c r="C133" s="82"/>
      <c r="D133" s="96"/>
      <c r="E133" s="79"/>
      <c r="F133" s="80"/>
      <c r="G133" s="79"/>
      <c r="H133" s="79"/>
      <c r="I133" s="79"/>
      <c r="J133" s="79"/>
      <c r="K133" s="86"/>
      <c r="L133" s="86"/>
      <c r="M133" s="79"/>
      <c r="N133" s="79"/>
      <c r="O133" s="82"/>
      <c r="P133" s="95">
        <f>IF($C133="","",WEEKNUM($C133,IF(Set_WeekStart="Monday",2,1)))</f>
      </c>
      <c r="Q133" s="78">
        <f>IF($B133="","",IF(OR($M133="Complete",$M133="Attended",$M133="Skipped",$M133="Cancelled"),"No","Yes"))</f>
      </c>
      <c r="R133" s="78">
        <f>IF($B133="","",IF($Q133="No","COMPLETE",IF($C133="","NO DATE",IF($C133&lt;TODAY(),"OVERDUE",IF($C133-TODAY()&lt;=7,"THIS WEEK","SCHEDULED")))))</f>
      </c>
      <c r="S133" s="80"/>
      <c r="T133" s="78">
        <f>IF(AND($Q133="Yes",$C133&lt;&gt;"",$C133&gt;=TODAY(),$C133&lt;=TODAY()+7),$C133+ROW()/100000,"")</f>
      </c>
      <c r="U133" s="78">
        <f>IF($B133="",0,IF(COUNTIF('CHRISTMAS CALENDAR'!$B$6:$B$205,$B133)&gt;1,1,0))</f>
      </c>
      <c r="V133" s="78">
        <f>IF(OR(N($K133)&gt;0,N($L133)&gt;0),IF($J133="",1,IF(COUNTIF('MASTER BUDGET'!$D$6:$D$25,$J133)=0,1,0)),0)</f>
      </c>
      <c r="W133" s="75"/>
    </row>
    <row r="134" ht="17" customHeight="1" spans="1:23" x14ac:dyDescent="0.25">
      <c r="A134" s="75"/>
      <c r="B134" s="79"/>
      <c r="C134" s="82"/>
      <c r="D134" s="96"/>
      <c r="E134" s="79"/>
      <c r="F134" s="80"/>
      <c r="G134" s="79"/>
      <c r="H134" s="79"/>
      <c r="I134" s="79"/>
      <c r="J134" s="79"/>
      <c r="K134" s="86"/>
      <c r="L134" s="86"/>
      <c r="M134" s="79"/>
      <c r="N134" s="79"/>
      <c r="O134" s="82"/>
      <c r="P134" s="95">
        <f>IF($C134="","",WEEKNUM($C134,IF(Set_WeekStart="Monday",2,1)))</f>
      </c>
      <c r="Q134" s="78">
        <f>IF($B134="","",IF(OR($M134="Complete",$M134="Attended",$M134="Skipped",$M134="Cancelled"),"No","Yes"))</f>
      </c>
      <c r="R134" s="78">
        <f>IF($B134="","",IF($Q134="No","COMPLETE",IF($C134="","NO DATE",IF($C134&lt;TODAY(),"OVERDUE",IF($C134-TODAY()&lt;=7,"THIS WEEK","SCHEDULED")))))</f>
      </c>
      <c r="S134" s="80"/>
      <c r="T134" s="78">
        <f>IF(AND($Q134="Yes",$C134&lt;&gt;"",$C134&gt;=TODAY(),$C134&lt;=TODAY()+7),$C134+ROW()/100000,"")</f>
      </c>
      <c r="U134" s="78">
        <f>IF($B134="",0,IF(COUNTIF('CHRISTMAS CALENDAR'!$B$6:$B$205,$B134)&gt;1,1,0))</f>
      </c>
      <c r="V134" s="78">
        <f>IF(OR(N($K134)&gt;0,N($L134)&gt;0),IF($J134="",1,IF(COUNTIF('MASTER BUDGET'!$D$6:$D$25,$J134)=0,1,0)),0)</f>
      </c>
      <c r="W134" s="75"/>
    </row>
    <row r="135" ht="17" customHeight="1" spans="1:23" x14ac:dyDescent="0.25">
      <c r="A135" s="75"/>
      <c r="B135" s="79"/>
      <c r="C135" s="82"/>
      <c r="D135" s="96"/>
      <c r="E135" s="79"/>
      <c r="F135" s="80"/>
      <c r="G135" s="79"/>
      <c r="H135" s="79"/>
      <c r="I135" s="79"/>
      <c r="J135" s="79"/>
      <c r="K135" s="86"/>
      <c r="L135" s="86"/>
      <c r="M135" s="79"/>
      <c r="N135" s="79"/>
      <c r="O135" s="82"/>
      <c r="P135" s="95">
        <f>IF($C135="","",WEEKNUM($C135,IF(Set_WeekStart="Monday",2,1)))</f>
      </c>
      <c r="Q135" s="78">
        <f>IF($B135="","",IF(OR($M135="Complete",$M135="Attended",$M135="Skipped",$M135="Cancelled"),"No","Yes"))</f>
      </c>
      <c r="R135" s="78">
        <f>IF($B135="","",IF($Q135="No","COMPLETE",IF($C135="","NO DATE",IF($C135&lt;TODAY(),"OVERDUE",IF($C135-TODAY()&lt;=7,"THIS WEEK","SCHEDULED")))))</f>
      </c>
      <c r="S135" s="80"/>
      <c r="T135" s="78">
        <f>IF(AND($Q135="Yes",$C135&lt;&gt;"",$C135&gt;=TODAY(),$C135&lt;=TODAY()+7),$C135+ROW()/100000,"")</f>
      </c>
      <c r="U135" s="78">
        <f>IF($B135="",0,IF(COUNTIF('CHRISTMAS CALENDAR'!$B$6:$B$205,$B135)&gt;1,1,0))</f>
      </c>
      <c r="V135" s="78">
        <f>IF(OR(N($K135)&gt;0,N($L135)&gt;0),IF($J135="",1,IF(COUNTIF('MASTER BUDGET'!$D$6:$D$25,$J135)=0,1,0)),0)</f>
      </c>
      <c r="W135" s="75"/>
    </row>
    <row r="136" ht="17" customHeight="1" spans="1:23" x14ac:dyDescent="0.25">
      <c r="A136" s="75"/>
      <c r="B136" s="79"/>
      <c r="C136" s="82"/>
      <c r="D136" s="96"/>
      <c r="E136" s="79"/>
      <c r="F136" s="80"/>
      <c r="G136" s="79"/>
      <c r="H136" s="79"/>
      <c r="I136" s="79"/>
      <c r="J136" s="79"/>
      <c r="K136" s="86"/>
      <c r="L136" s="86"/>
      <c r="M136" s="79"/>
      <c r="N136" s="79"/>
      <c r="O136" s="82"/>
      <c r="P136" s="95">
        <f>IF($C136="","",WEEKNUM($C136,IF(Set_WeekStart="Monday",2,1)))</f>
      </c>
      <c r="Q136" s="78">
        <f>IF($B136="","",IF(OR($M136="Complete",$M136="Attended",$M136="Skipped",$M136="Cancelled"),"No","Yes"))</f>
      </c>
      <c r="R136" s="78">
        <f>IF($B136="","",IF($Q136="No","COMPLETE",IF($C136="","NO DATE",IF($C136&lt;TODAY(),"OVERDUE",IF($C136-TODAY()&lt;=7,"THIS WEEK","SCHEDULED")))))</f>
      </c>
      <c r="S136" s="80"/>
      <c r="T136" s="78">
        <f>IF(AND($Q136="Yes",$C136&lt;&gt;"",$C136&gt;=TODAY(),$C136&lt;=TODAY()+7),$C136+ROW()/100000,"")</f>
      </c>
      <c r="U136" s="78">
        <f>IF($B136="",0,IF(COUNTIF('CHRISTMAS CALENDAR'!$B$6:$B$205,$B136)&gt;1,1,0))</f>
      </c>
      <c r="V136" s="78">
        <f>IF(OR(N($K136)&gt;0,N($L136)&gt;0),IF($J136="",1,IF(COUNTIF('MASTER BUDGET'!$D$6:$D$25,$J136)=0,1,0)),0)</f>
      </c>
      <c r="W136" s="75"/>
    </row>
    <row r="137" ht="17" customHeight="1" spans="1:23" x14ac:dyDescent="0.25">
      <c r="A137" s="75"/>
      <c r="B137" s="79"/>
      <c r="C137" s="82"/>
      <c r="D137" s="96"/>
      <c r="E137" s="79"/>
      <c r="F137" s="80"/>
      <c r="G137" s="79"/>
      <c r="H137" s="79"/>
      <c r="I137" s="79"/>
      <c r="J137" s="79"/>
      <c r="K137" s="86"/>
      <c r="L137" s="86"/>
      <c r="M137" s="79"/>
      <c r="N137" s="79"/>
      <c r="O137" s="82"/>
      <c r="P137" s="95">
        <f>IF($C137="","",WEEKNUM($C137,IF(Set_WeekStart="Monday",2,1)))</f>
      </c>
      <c r="Q137" s="78">
        <f>IF($B137="","",IF(OR($M137="Complete",$M137="Attended",$M137="Skipped",$M137="Cancelled"),"No","Yes"))</f>
      </c>
      <c r="R137" s="78">
        <f>IF($B137="","",IF($Q137="No","COMPLETE",IF($C137="","NO DATE",IF($C137&lt;TODAY(),"OVERDUE",IF($C137-TODAY()&lt;=7,"THIS WEEK","SCHEDULED")))))</f>
      </c>
      <c r="S137" s="80"/>
      <c r="T137" s="78">
        <f>IF(AND($Q137="Yes",$C137&lt;&gt;"",$C137&gt;=TODAY(),$C137&lt;=TODAY()+7),$C137+ROW()/100000,"")</f>
      </c>
      <c r="U137" s="78">
        <f>IF($B137="",0,IF(COUNTIF('CHRISTMAS CALENDAR'!$B$6:$B$205,$B137)&gt;1,1,0))</f>
      </c>
      <c r="V137" s="78">
        <f>IF(OR(N($K137)&gt;0,N($L137)&gt;0),IF($J137="",1,IF(COUNTIF('MASTER BUDGET'!$D$6:$D$25,$J137)=0,1,0)),0)</f>
      </c>
      <c r="W137" s="75"/>
    </row>
    <row r="138" ht="17" customHeight="1" spans="1:23" x14ac:dyDescent="0.25">
      <c r="A138" s="75"/>
      <c r="B138" s="79"/>
      <c r="C138" s="82"/>
      <c r="D138" s="96"/>
      <c r="E138" s="79"/>
      <c r="F138" s="80"/>
      <c r="G138" s="79"/>
      <c r="H138" s="79"/>
      <c r="I138" s="79"/>
      <c r="J138" s="79"/>
      <c r="K138" s="86"/>
      <c r="L138" s="86"/>
      <c r="M138" s="79"/>
      <c r="N138" s="79"/>
      <c r="O138" s="82"/>
      <c r="P138" s="95">
        <f>IF($C138="","",WEEKNUM($C138,IF(Set_WeekStart="Monday",2,1)))</f>
      </c>
      <c r="Q138" s="78">
        <f>IF($B138="","",IF(OR($M138="Complete",$M138="Attended",$M138="Skipped",$M138="Cancelled"),"No","Yes"))</f>
      </c>
      <c r="R138" s="78">
        <f>IF($B138="","",IF($Q138="No","COMPLETE",IF($C138="","NO DATE",IF($C138&lt;TODAY(),"OVERDUE",IF($C138-TODAY()&lt;=7,"THIS WEEK","SCHEDULED")))))</f>
      </c>
      <c r="S138" s="80"/>
      <c r="T138" s="78">
        <f>IF(AND($Q138="Yes",$C138&lt;&gt;"",$C138&gt;=TODAY(),$C138&lt;=TODAY()+7),$C138+ROW()/100000,"")</f>
      </c>
      <c r="U138" s="78">
        <f>IF($B138="",0,IF(COUNTIF('CHRISTMAS CALENDAR'!$B$6:$B$205,$B138)&gt;1,1,0))</f>
      </c>
      <c r="V138" s="78">
        <f>IF(OR(N($K138)&gt;0,N($L138)&gt;0),IF($J138="",1,IF(COUNTIF('MASTER BUDGET'!$D$6:$D$25,$J138)=0,1,0)),0)</f>
      </c>
      <c r="W138" s="75"/>
    </row>
    <row r="139" ht="17" customHeight="1" spans="1:23" x14ac:dyDescent="0.25">
      <c r="A139" s="75"/>
      <c r="B139" s="79"/>
      <c r="C139" s="82"/>
      <c r="D139" s="96"/>
      <c r="E139" s="79"/>
      <c r="F139" s="80"/>
      <c r="G139" s="79"/>
      <c r="H139" s="79"/>
      <c r="I139" s="79"/>
      <c r="J139" s="79"/>
      <c r="K139" s="86"/>
      <c r="L139" s="86"/>
      <c r="M139" s="79"/>
      <c r="N139" s="79"/>
      <c r="O139" s="82"/>
      <c r="P139" s="95">
        <f>IF($C139="","",WEEKNUM($C139,IF(Set_WeekStart="Monday",2,1)))</f>
      </c>
      <c r="Q139" s="78">
        <f>IF($B139="","",IF(OR($M139="Complete",$M139="Attended",$M139="Skipped",$M139="Cancelled"),"No","Yes"))</f>
      </c>
      <c r="R139" s="78">
        <f>IF($B139="","",IF($Q139="No","COMPLETE",IF($C139="","NO DATE",IF($C139&lt;TODAY(),"OVERDUE",IF($C139-TODAY()&lt;=7,"THIS WEEK","SCHEDULED")))))</f>
      </c>
      <c r="S139" s="80"/>
      <c r="T139" s="78">
        <f>IF(AND($Q139="Yes",$C139&lt;&gt;"",$C139&gt;=TODAY(),$C139&lt;=TODAY()+7),$C139+ROW()/100000,"")</f>
      </c>
      <c r="U139" s="78">
        <f>IF($B139="",0,IF(COUNTIF('CHRISTMAS CALENDAR'!$B$6:$B$205,$B139)&gt;1,1,0))</f>
      </c>
      <c r="V139" s="78">
        <f>IF(OR(N($K139)&gt;0,N($L139)&gt;0),IF($J139="",1,IF(COUNTIF('MASTER BUDGET'!$D$6:$D$25,$J139)=0,1,0)),0)</f>
      </c>
      <c r="W139" s="75"/>
    </row>
    <row r="140" ht="17" customHeight="1" spans="1:23" x14ac:dyDescent="0.25">
      <c r="A140" s="75"/>
      <c r="B140" s="79"/>
      <c r="C140" s="82"/>
      <c r="D140" s="96"/>
      <c r="E140" s="79"/>
      <c r="F140" s="80"/>
      <c r="G140" s="79"/>
      <c r="H140" s="79"/>
      <c r="I140" s="79"/>
      <c r="J140" s="79"/>
      <c r="K140" s="86"/>
      <c r="L140" s="86"/>
      <c r="M140" s="79"/>
      <c r="N140" s="79"/>
      <c r="O140" s="82"/>
      <c r="P140" s="95">
        <f>IF($C140="","",WEEKNUM($C140,IF(Set_WeekStart="Monday",2,1)))</f>
      </c>
      <c r="Q140" s="78">
        <f>IF($B140="","",IF(OR($M140="Complete",$M140="Attended",$M140="Skipped",$M140="Cancelled"),"No","Yes"))</f>
      </c>
      <c r="R140" s="78">
        <f>IF($B140="","",IF($Q140="No","COMPLETE",IF($C140="","NO DATE",IF($C140&lt;TODAY(),"OVERDUE",IF($C140-TODAY()&lt;=7,"THIS WEEK","SCHEDULED")))))</f>
      </c>
      <c r="S140" s="80"/>
      <c r="T140" s="78">
        <f>IF(AND($Q140="Yes",$C140&lt;&gt;"",$C140&gt;=TODAY(),$C140&lt;=TODAY()+7),$C140+ROW()/100000,"")</f>
      </c>
      <c r="U140" s="78">
        <f>IF($B140="",0,IF(COUNTIF('CHRISTMAS CALENDAR'!$B$6:$B$205,$B140)&gt;1,1,0))</f>
      </c>
      <c r="V140" s="78">
        <f>IF(OR(N($K140)&gt;0,N($L140)&gt;0),IF($J140="",1,IF(COUNTIF('MASTER BUDGET'!$D$6:$D$25,$J140)=0,1,0)),0)</f>
      </c>
      <c r="W140" s="75"/>
    </row>
    <row r="141" ht="17" customHeight="1" spans="1:23" x14ac:dyDescent="0.25">
      <c r="A141" s="75"/>
      <c r="B141" s="79"/>
      <c r="C141" s="82"/>
      <c r="D141" s="96"/>
      <c r="E141" s="79"/>
      <c r="F141" s="80"/>
      <c r="G141" s="79"/>
      <c r="H141" s="79"/>
      <c r="I141" s="79"/>
      <c r="J141" s="79"/>
      <c r="K141" s="86"/>
      <c r="L141" s="86"/>
      <c r="M141" s="79"/>
      <c r="N141" s="79"/>
      <c r="O141" s="82"/>
      <c r="P141" s="95">
        <f>IF($C141="","",WEEKNUM($C141,IF(Set_WeekStart="Monday",2,1)))</f>
      </c>
      <c r="Q141" s="78">
        <f>IF($B141="","",IF(OR($M141="Complete",$M141="Attended",$M141="Skipped",$M141="Cancelled"),"No","Yes"))</f>
      </c>
      <c r="R141" s="78">
        <f>IF($B141="","",IF($Q141="No","COMPLETE",IF($C141="","NO DATE",IF($C141&lt;TODAY(),"OVERDUE",IF($C141-TODAY()&lt;=7,"THIS WEEK","SCHEDULED")))))</f>
      </c>
      <c r="S141" s="80"/>
      <c r="T141" s="78">
        <f>IF(AND($Q141="Yes",$C141&lt;&gt;"",$C141&gt;=TODAY(),$C141&lt;=TODAY()+7),$C141+ROW()/100000,"")</f>
      </c>
      <c r="U141" s="78">
        <f>IF($B141="",0,IF(COUNTIF('CHRISTMAS CALENDAR'!$B$6:$B$205,$B141)&gt;1,1,0))</f>
      </c>
      <c r="V141" s="78">
        <f>IF(OR(N($K141)&gt;0,N($L141)&gt;0),IF($J141="",1,IF(COUNTIF('MASTER BUDGET'!$D$6:$D$25,$J141)=0,1,0)),0)</f>
      </c>
      <c r="W141" s="75"/>
    </row>
    <row r="142" ht="17" customHeight="1" spans="1:23" x14ac:dyDescent="0.25">
      <c r="A142" s="75"/>
      <c r="B142" s="79"/>
      <c r="C142" s="82"/>
      <c r="D142" s="96"/>
      <c r="E142" s="79"/>
      <c r="F142" s="80"/>
      <c r="G142" s="79"/>
      <c r="H142" s="79"/>
      <c r="I142" s="79"/>
      <c r="J142" s="79"/>
      <c r="K142" s="86"/>
      <c r="L142" s="86"/>
      <c r="M142" s="79"/>
      <c r="N142" s="79"/>
      <c r="O142" s="82"/>
      <c r="P142" s="95">
        <f>IF($C142="","",WEEKNUM($C142,IF(Set_WeekStart="Monday",2,1)))</f>
      </c>
      <c r="Q142" s="78">
        <f>IF($B142="","",IF(OR($M142="Complete",$M142="Attended",$M142="Skipped",$M142="Cancelled"),"No","Yes"))</f>
      </c>
      <c r="R142" s="78">
        <f>IF($B142="","",IF($Q142="No","COMPLETE",IF($C142="","NO DATE",IF($C142&lt;TODAY(),"OVERDUE",IF($C142-TODAY()&lt;=7,"THIS WEEK","SCHEDULED")))))</f>
      </c>
      <c r="S142" s="80"/>
      <c r="T142" s="78">
        <f>IF(AND($Q142="Yes",$C142&lt;&gt;"",$C142&gt;=TODAY(),$C142&lt;=TODAY()+7),$C142+ROW()/100000,"")</f>
      </c>
      <c r="U142" s="78">
        <f>IF($B142="",0,IF(COUNTIF('CHRISTMAS CALENDAR'!$B$6:$B$205,$B142)&gt;1,1,0))</f>
      </c>
      <c r="V142" s="78">
        <f>IF(OR(N($K142)&gt;0,N($L142)&gt;0),IF($J142="",1,IF(COUNTIF('MASTER BUDGET'!$D$6:$D$25,$J142)=0,1,0)),0)</f>
      </c>
      <c r="W142" s="75"/>
    </row>
    <row r="143" ht="17" customHeight="1" spans="1:23" x14ac:dyDescent="0.25">
      <c r="A143" s="75"/>
      <c r="B143" s="79"/>
      <c r="C143" s="82"/>
      <c r="D143" s="96"/>
      <c r="E143" s="79"/>
      <c r="F143" s="80"/>
      <c r="G143" s="79"/>
      <c r="H143" s="79"/>
      <c r="I143" s="79"/>
      <c r="J143" s="79"/>
      <c r="K143" s="86"/>
      <c r="L143" s="86"/>
      <c r="M143" s="79"/>
      <c r="N143" s="79"/>
      <c r="O143" s="82"/>
      <c r="P143" s="95">
        <f>IF($C143="","",WEEKNUM($C143,IF(Set_WeekStart="Monday",2,1)))</f>
      </c>
      <c r="Q143" s="78">
        <f>IF($B143="","",IF(OR($M143="Complete",$M143="Attended",$M143="Skipped",$M143="Cancelled"),"No","Yes"))</f>
      </c>
      <c r="R143" s="78">
        <f>IF($B143="","",IF($Q143="No","COMPLETE",IF($C143="","NO DATE",IF($C143&lt;TODAY(),"OVERDUE",IF($C143-TODAY()&lt;=7,"THIS WEEK","SCHEDULED")))))</f>
      </c>
      <c r="S143" s="80"/>
      <c r="T143" s="78">
        <f>IF(AND($Q143="Yes",$C143&lt;&gt;"",$C143&gt;=TODAY(),$C143&lt;=TODAY()+7),$C143+ROW()/100000,"")</f>
      </c>
      <c r="U143" s="78">
        <f>IF($B143="",0,IF(COUNTIF('CHRISTMAS CALENDAR'!$B$6:$B$205,$B143)&gt;1,1,0))</f>
      </c>
      <c r="V143" s="78">
        <f>IF(OR(N($K143)&gt;0,N($L143)&gt;0),IF($J143="",1,IF(COUNTIF('MASTER BUDGET'!$D$6:$D$25,$J143)=0,1,0)),0)</f>
      </c>
      <c r="W143" s="75"/>
    </row>
    <row r="144" ht="17" customHeight="1" spans="1:23" x14ac:dyDescent="0.25">
      <c r="A144" s="75"/>
      <c r="B144" s="79"/>
      <c r="C144" s="82"/>
      <c r="D144" s="96"/>
      <c r="E144" s="79"/>
      <c r="F144" s="80"/>
      <c r="G144" s="79"/>
      <c r="H144" s="79"/>
      <c r="I144" s="79"/>
      <c r="J144" s="79"/>
      <c r="K144" s="86"/>
      <c r="L144" s="86"/>
      <c r="M144" s="79"/>
      <c r="N144" s="79"/>
      <c r="O144" s="82"/>
      <c r="P144" s="95">
        <f>IF($C144="","",WEEKNUM($C144,IF(Set_WeekStart="Monday",2,1)))</f>
      </c>
      <c r="Q144" s="78">
        <f>IF($B144="","",IF(OR($M144="Complete",$M144="Attended",$M144="Skipped",$M144="Cancelled"),"No","Yes"))</f>
      </c>
      <c r="R144" s="78">
        <f>IF($B144="","",IF($Q144="No","COMPLETE",IF($C144="","NO DATE",IF($C144&lt;TODAY(),"OVERDUE",IF($C144-TODAY()&lt;=7,"THIS WEEK","SCHEDULED")))))</f>
      </c>
      <c r="S144" s="80"/>
      <c r="T144" s="78">
        <f>IF(AND($Q144="Yes",$C144&lt;&gt;"",$C144&gt;=TODAY(),$C144&lt;=TODAY()+7),$C144+ROW()/100000,"")</f>
      </c>
      <c r="U144" s="78">
        <f>IF($B144="",0,IF(COUNTIF('CHRISTMAS CALENDAR'!$B$6:$B$205,$B144)&gt;1,1,0))</f>
      </c>
      <c r="V144" s="78">
        <f>IF(OR(N($K144)&gt;0,N($L144)&gt;0),IF($J144="",1,IF(COUNTIF('MASTER BUDGET'!$D$6:$D$25,$J144)=0,1,0)),0)</f>
      </c>
      <c r="W144" s="75"/>
    </row>
    <row r="145" ht="17" customHeight="1" spans="1:23" x14ac:dyDescent="0.25">
      <c r="A145" s="75"/>
      <c r="B145" s="79"/>
      <c r="C145" s="82"/>
      <c r="D145" s="96"/>
      <c r="E145" s="79"/>
      <c r="F145" s="80"/>
      <c r="G145" s="79"/>
      <c r="H145" s="79"/>
      <c r="I145" s="79"/>
      <c r="J145" s="79"/>
      <c r="K145" s="86"/>
      <c r="L145" s="86"/>
      <c r="M145" s="79"/>
      <c r="N145" s="79"/>
      <c r="O145" s="82"/>
      <c r="P145" s="95">
        <f>IF($C145="","",WEEKNUM($C145,IF(Set_WeekStart="Monday",2,1)))</f>
      </c>
      <c r="Q145" s="78">
        <f>IF($B145="","",IF(OR($M145="Complete",$M145="Attended",$M145="Skipped",$M145="Cancelled"),"No","Yes"))</f>
      </c>
      <c r="R145" s="78">
        <f>IF($B145="","",IF($Q145="No","COMPLETE",IF($C145="","NO DATE",IF($C145&lt;TODAY(),"OVERDUE",IF($C145-TODAY()&lt;=7,"THIS WEEK","SCHEDULED")))))</f>
      </c>
      <c r="S145" s="80"/>
      <c r="T145" s="78">
        <f>IF(AND($Q145="Yes",$C145&lt;&gt;"",$C145&gt;=TODAY(),$C145&lt;=TODAY()+7),$C145+ROW()/100000,"")</f>
      </c>
      <c r="U145" s="78">
        <f>IF($B145="",0,IF(COUNTIF('CHRISTMAS CALENDAR'!$B$6:$B$205,$B145)&gt;1,1,0))</f>
      </c>
      <c r="V145" s="78">
        <f>IF(OR(N($K145)&gt;0,N($L145)&gt;0),IF($J145="",1,IF(COUNTIF('MASTER BUDGET'!$D$6:$D$25,$J145)=0,1,0)),0)</f>
      </c>
      <c r="W145" s="75"/>
    </row>
    <row r="146" ht="17" customHeight="1" spans="1:23" x14ac:dyDescent="0.25">
      <c r="A146" s="75"/>
      <c r="B146" s="79"/>
      <c r="C146" s="82"/>
      <c r="D146" s="96"/>
      <c r="E146" s="79"/>
      <c r="F146" s="80"/>
      <c r="G146" s="79"/>
      <c r="H146" s="79"/>
      <c r="I146" s="79"/>
      <c r="J146" s="79"/>
      <c r="K146" s="86"/>
      <c r="L146" s="86"/>
      <c r="M146" s="79"/>
      <c r="N146" s="79"/>
      <c r="O146" s="82"/>
      <c r="P146" s="95">
        <f>IF($C146="","",WEEKNUM($C146,IF(Set_WeekStart="Monday",2,1)))</f>
      </c>
      <c r="Q146" s="78">
        <f>IF($B146="","",IF(OR($M146="Complete",$M146="Attended",$M146="Skipped",$M146="Cancelled"),"No","Yes"))</f>
      </c>
      <c r="R146" s="78">
        <f>IF($B146="","",IF($Q146="No","COMPLETE",IF($C146="","NO DATE",IF($C146&lt;TODAY(),"OVERDUE",IF($C146-TODAY()&lt;=7,"THIS WEEK","SCHEDULED")))))</f>
      </c>
      <c r="S146" s="80"/>
      <c r="T146" s="78">
        <f>IF(AND($Q146="Yes",$C146&lt;&gt;"",$C146&gt;=TODAY(),$C146&lt;=TODAY()+7),$C146+ROW()/100000,"")</f>
      </c>
      <c r="U146" s="78">
        <f>IF($B146="",0,IF(COUNTIF('CHRISTMAS CALENDAR'!$B$6:$B$205,$B146)&gt;1,1,0))</f>
      </c>
      <c r="V146" s="78">
        <f>IF(OR(N($K146)&gt;0,N($L146)&gt;0),IF($J146="",1,IF(COUNTIF('MASTER BUDGET'!$D$6:$D$25,$J146)=0,1,0)),0)</f>
      </c>
      <c r="W146" s="75"/>
    </row>
    <row r="147" ht="17" customHeight="1" spans="1:23" x14ac:dyDescent="0.25">
      <c r="A147" s="75"/>
      <c r="B147" s="79"/>
      <c r="C147" s="82"/>
      <c r="D147" s="96"/>
      <c r="E147" s="79"/>
      <c r="F147" s="80"/>
      <c r="G147" s="79"/>
      <c r="H147" s="79"/>
      <c r="I147" s="79"/>
      <c r="J147" s="79"/>
      <c r="K147" s="86"/>
      <c r="L147" s="86"/>
      <c r="M147" s="79"/>
      <c r="N147" s="79"/>
      <c r="O147" s="82"/>
      <c r="P147" s="95">
        <f>IF($C147="","",WEEKNUM($C147,IF(Set_WeekStart="Monday",2,1)))</f>
      </c>
      <c r="Q147" s="78">
        <f>IF($B147="","",IF(OR($M147="Complete",$M147="Attended",$M147="Skipped",$M147="Cancelled"),"No","Yes"))</f>
      </c>
      <c r="R147" s="78">
        <f>IF($B147="","",IF($Q147="No","COMPLETE",IF($C147="","NO DATE",IF($C147&lt;TODAY(),"OVERDUE",IF($C147-TODAY()&lt;=7,"THIS WEEK","SCHEDULED")))))</f>
      </c>
      <c r="S147" s="80"/>
      <c r="T147" s="78">
        <f>IF(AND($Q147="Yes",$C147&lt;&gt;"",$C147&gt;=TODAY(),$C147&lt;=TODAY()+7),$C147+ROW()/100000,"")</f>
      </c>
      <c r="U147" s="78">
        <f>IF($B147="",0,IF(COUNTIF('CHRISTMAS CALENDAR'!$B$6:$B$205,$B147)&gt;1,1,0))</f>
      </c>
      <c r="V147" s="78">
        <f>IF(OR(N($K147)&gt;0,N($L147)&gt;0),IF($J147="",1,IF(COUNTIF('MASTER BUDGET'!$D$6:$D$25,$J147)=0,1,0)),0)</f>
      </c>
      <c r="W147" s="75"/>
    </row>
    <row r="148" ht="17" customHeight="1" spans="1:23" x14ac:dyDescent="0.25">
      <c r="A148" s="75"/>
      <c r="B148" s="79"/>
      <c r="C148" s="82"/>
      <c r="D148" s="96"/>
      <c r="E148" s="79"/>
      <c r="F148" s="80"/>
      <c r="G148" s="79"/>
      <c r="H148" s="79"/>
      <c r="I148" s="79"/>
      <c r="J148" s="79"/>
      <c r="K148" s="86"/>
      <c r="L148" s="86"/>
      <c r="M148" s="79"/>
      <c r="N148" s="79"/>
      <c r="O148" s="82"/>
      <c r="P148" s="95">
        <f>IF($C148="","",WEEKNUM($C148,IF(Set_WeekStart="Monday",2,1)))</f>
      </c>
      <c r="Q148" s="78">
        <f>IF($B148="","",IF(OR($M148="Complete",$M148="Attended",$M148="Skipped",$M148="Cancelled"),"No","Yes"))</f>
      </c>
      <c r="R148" s="78">
        <f>IF($B148="","",IF($Q148="No","COMPLETE",IF($C148="","NO DATE",IF($C148&lt;TODAY(),"OVERDUE",IF($C148-TODAY()&lt;=7,"THIS WEEK","SCHEDULED")))))</f>
      </c>
      <c r="S148" s="80"/>
      <c r="T148" s="78">
        <f>IF(AND($Q148="Yes",$C148&lt;&gt;"",$C148&gt;=TODAY(),$C148&lt;=TODAY()+7),$C148+ROW()/100000,"")</f>
      </c>
      <c r="U148" s="78">
        <f>IF($B148="",0,IF(COUNTIF('CHRISTMAS CALENDAR'!$B$6:$B$205,$B148)&gt;1,1,0))</f>
      </c>
      <c r="V148" s="78">
        <f>IF(OR(N($K148)&gt;0,N($L148)&gt;0),IF($J148="",1,IF(COUNTIF('MASTER BUDGET'!$D$6:$D$25,$J148)=0,1,0)),0)</f>
      </c>
      <c r="W148" s="75"/>
    </row>
    <row r="149" ht="17" customHeight="1" spans="1:23" x14ac:dyDescent="0.25">
      <c r="A149" s="75"/>
      <c r="B149" s="79"/>
      <c r="C149" s="82"/>
      <c r="D149" s="96"/>
      <c r="E149" s="79"/>
      <c r="F149" s="80"/>
      <c r="G149" s="79"/>
      <c r="H149" s="79"/>
      <c r="I149" s="79"/>
      <c r="J149" s="79"/>
      <c r="K149" s="86"/>
      <c r="L149" s="86"/>
      <c r="M149" s="79"/>
      <c r="N149" s="79"/>
      <c r="O149" s="82"/>
      <c r="P149" s="95">
        <f>IF($C149="","",WEEKNUM($C149,IF(Set_WeekStart="Monday",2,1)))</f>
      </c>
      <c r="Q149" s="78">
        <f>IF($B149="","",IF(OR($M149="Complete",$M149="Attended",$M149="Skipped",$M149="Cancelled"),"No","Yes"))</f>
      </c>
      <c r="R149" s="78">
        <f>IF($B149="","",IF($Q149="No","COMPLETE",IF($C149="","NO DATE",IF($C149&lt;TODAY(),"OVERDUE",IF($C149-TODAY()&lt;=7,"THIS WEEK","SCHEDULED")))))</f>
      </c>
      <c r="S149" s="80"/>
      <c r="T149" s="78">
        <f>IF(AND($Q149="Yes",$C149&lt;&gt;"",$C149&gt;=TODAY(),$C149&lt;=TODAY()+7),$C149+ROW()/100000,"")</f>
      </c>
      <c r="U149" s="78">
        <f>IF($B149="",0,IF(COUNTIF('CHRISTMAS CALENDAR'!$B$6:$B$205,$B149)&gt;1,1,0))</f>
      </c>
      <c r="V149" s="78">
        <f>IF(OR(N($K149)&gt;0,N($L149)&gt;0),IF($J149="",1,IF(COUNTIF('MASTER BUDGET'!$D$6:$D$25,$J149)=0,1,0)),0)</f>
      </c>
      <c r="W149" s="75"/>
    </row>
    <row r="150" ht="17" customHeight="1" spans="1:23" x14ac:dyDescent="0.25">
      <c r="A150" s="75"/>
      <c r="B150" s="79"/>
      <c r="C150" s="82"/>
      <c r="D150" s="96"/>
      <c r="E150" s="79"/>
      <c r="F150" s="80"/>
      <c r="G150" s="79"/>
      <c r="H150" s="79"/>
      <c r="I150" s="79"/>
      <c r="J150" s="79"/>
      <c r="K150" s="86"/>
      <c r="L150" s="86"/>
      <c r="M150" s="79"/>
      <c r="N150" s="79"/>
      <c r="O150" s="82"/>
      <c r="P150" s="95">
        <f>IF($C150="","",WEEKNUM($C150,IF(Set_WeekStart="Monday",2,1)))</f>
      </c>
      <c r="Q150" s="78">
        <f>IF($B150="","",IF(OR($M150="Complete",$M150="Attended",$M150="Skipped",$M150="Cancelled"),"No","Yes"))</f>
      </c>
      <c r="R150" s="78">
        <f>IF($B150="","",IF($Q150="No","COMPLETE",IF($C150="","NO DATE",IF($C150&lt;TODAY(),"OVERDUE",IF($C150-TODAY()&lt;=7,"THIS WEEK","SCHEDULED")))))</f>
      </c>
      <c r="S150" s="80"/>
      <c r="T150" s="78">
        <f>IF(AND($Q150="Yes",$C150&lt;&gt;"",$C150&gt;=TODAY(),$C150&lt;=TODAY()+7),$C150+ROW()/100000,"")</f>
      </c>
      <c r="U150" s="78">
        <f>IF($B150="",0,IF(COUNTIF('CHRISTMAS CALENDAR'!$B$6:$B$205,$B150)&gt;1,1,0))</f>
      </c>
      <c r="V150" s="78">
        <f>IF(OR(N($K150)&gt;0,N($L150)&gt;0),IF($J150="",1,IF(COUNTIF('MASTER BUDGET'!$D$6:$D$25,$J150)=0,1,0)),0)</f>
      </c>
      <c r="W150" s="75"/>
    </row>
    <row r="151" ht="17" customHeight="1" spans="1:23" x14ac:dyDescent="0.25">
      <c r="A151" s="75"/>
      <c r="B151" s="79"/>
      <c r="C151" s="82"/>
      <c r="D151" s="96"/>
      <c r="E151" s="79"/>
      <c r="F151" s="80"/>
      <c r="G151" s="79"/>
      <c r="H151" s="79"/>
      <c r="I151" s="79"/>
      <c r="J151" s="79"/>
      <c r="K151" s="86"/>
      <c r="L151" s="86"/>
      <c r="M151" s="79"/>
      <c r="N151" s="79"/>
      <c r="O151" s="82"/>
      <c r="P151" s="95">
        <f>IF($C151="","",WEEKNUM($C151,IF(Set_WeekStart="Monday",2,1)))</f>
      </c>
      <c r="Q151" s="78">
        <f>IF($B151="","",IF(OR($M151="Complete",$M151="Attended",$M151="Skipped",$M151="Cancelled"),"No","Yes"))</f>
      </c>
      <c r="R151" s="78">
        <f>IF($B151="","",IF($Q151="No","COMPLETE",IF($C151="","NO DATE",IF($C151&lt;TODAY(),"OVERDUE",IF($C151-TODAY()&lt;=7,"THIS WEEK","SCHEDULED")))))</f>
      </c>
      <c r="S151" s="80"/>
      <c r="T151" s="78">
        <f>IF(AND($Q151="Yes",$C151&lt;&gt;"",$C151&gt;=TODAY(),$C151&lt;=TODAY()+7),$C151+ROW()/100000,"")</f>
      </c>
      <c r="U151" s="78">
        <f>IF($B151="",0,IF(COUNTIF('CHRISTMAS CALENDAR'!$B$6:$B$205,$B151)&gt;1,1,0))</f>
      </c>
      <c r="V151" s="78">
        <f>IF(OR(N($K151)&gt;0,N($L151)&gt;0),IF($J151="",1,IF(COUNTIF('MASTER BUDGET'!$D$6:$D$25,$J151)=0,1,0)),0)</f>
      </c>
      <c r="W151" s="75"/>
    </row>
    <row r="152" ht="17" customHeight="1" spans="1:23" x14ac:dyDescent="0.25">
      <c r="A152" s="75"/>
      <c r="B152" s="79"/>
      <c r="C152" s="82"/>
      <c r="D152" s="96"/>
      <c r="E152" s="79"/>
      <c r="F152" s="80"/>
      <c r="G152" s="79"/>
      <c r="H152" s="79"/>
      <c r="I152" s="79"/>
      <c r="J152" s="79"/>
      <c r="K152" s="86"/>
      <c r="L152" s="86"/>
      <c r="M152" s="79"/>
      <c r="N152" s="79"/>
      <c r="O152" s="82"/>
      <c r="P152" s="95">
        <f>IF($C152="","",WEEKNUM($C152,IF(Set_WeekStart="Monday",2,1)))</f>
      </c>
      <c r="Q152" s="78">
        <f>IF($B152="","",IF(OR($M152="Complete",$M152="Attended",$M152="Skipped",$M152="Cancelled"),"No","Yes"))</f>
      </c>
      <c r="R152" s="78">
        <f>IF($B152="","",IF($Q152="No","COMPLETE",IF($C152="","NO DATE",IF($C152&lt;TODAY(),"OVERDUE",IF($C152-TODAY()&lt;=7,"THIS WEEK","SCHEDULED")))))</f>
      </c>
      <c r="S152" s="80"/>
      <c r="T152" s="78">
        <f>IF(AND($Q152="Yes",$C152&lt;&gt;"",$C152&gt;=TODAY(),$C152&lt;=TODAY()+7),$C152+ROW()/100000,"")</f>
      </c>
      <c r="U152" s="78">
        <f>IF($B152="",0,IF(COUNTIF('CHRISTMAS CALENDAR'!$B$6:$B$205,$B152)&gt;1,1,0))</f>
      </c>
      <c r="V152" s="78">
        <f>IF(OR(N($K152)&gt;0,N($L152)&gt;0),IF($J152="",1,IF(COUNTIF('MASTER BUDGET'!$D$6:$D$25,$J152)=0,1,0)),0)</f>
      </c>
      <c r="W152" s="75"/>
    </row>
    <row r="153" ht="17" customHeight="1" spans="1:23" x14ac:dyDescent="0.25">
      <c r="A153" s="75"/>
      <c r="B153" s="79"/>
      <c r="C153" s="82"/>
      <c r="D153" s="96"/>
      <c r="E153" s="79"/>
      <c r="F153" s="80"/>
      <c r="G153" s="79"/>
      <c r="H153" s="79"/>
      <c r="I153" s="79"/>
      <c r="J153" s="79"/>
      <c r="K153" s="86"/>
      <c r="L153" s="86"/>
      <c r="M153" s="79"/>
      <c r="N153" s="79"/>
      <c r="O153" s="82"/>
      <c r="P153" s="95">
        <f>IF($C153="","",WEEKNUM($C153,IF(Set_WeekStart="Monday",2,1)))</f>
      </c>
      <c r="Q153" s="78">
        <f>IF($B153="","",IF(OR($M153="Complete",$M153="Attended",$M153="Skipped",$M153="Cancelled"),"No","Yes"))</f>
      </c>
      <c r="R153" s="78">
        <f>IF($B153="","",IF($Q153="No","COMPLETE",IF($C153="","NO DATE",IF($C153&lt;TODAY(),"OVERDUE",IF($C153-TODAY()&lt;=7,"THIS WEEK","SCHEDULED")))))</f>
      </c>
      <c r="S153" s="80"/>
      <c r="T153" s="78">
        <f>IF(AND($Q153="Yes",$C153&lt;&gt;"",$C153&gt;=TODAY(),$C153&lt;=TODAY()+7),$C153+ROW()/100000,"")</f>
      </c>
      <c r="U153" s="78">
        <f>IF($B153="",0,IF(COUNTIF('CHRISTMAS CALENDAR'!$B$6:$B$205,$B153)&gt;1,1,0))</f>
      </c>
      <c r="V153" s="78">
        <f>IF(OR(N($K153)&gt;0,N($L153)&gt;0),IF($J153="",1,IF(COUNTIF('MASTER BUDGET'!$D$6:$D$25,$J153)=0,1,0)),0)</f>
      </c>
      <c r="W153" s="75"/>
    </row>
    <row r="154" ht="17" customHeight="1" spans="1:23" x14ac:dyDescent="0.25">
      <c r="A154" s="75"/>
      <c r="B154" s="79"/>
      <c r="C154" s="82"/>
      <c r="D154" s="96"/>
      <c r="E154" s="79"/>
      <c r="F154" s="80"/>
      <c r="G154" s="79"/>
      <c r="H154" s="79"/>
      <c r="I154" s="79"/>
      <c r="J154" s="79"/>
      <c r="K154" s="86"/>
      <c r="L154" s="86"/>
      <c r="M154" s="79"/>
      <c r="N154" s="79"/>
      <c r="O154" s="82"/>
      <c r="P154" s="95">
        <f>IF($C154="","",WEEKNUM($C154,IF(Set_WeekStart="Monday",2,1)))</f>
      </c>
      <c r="Q154" s="78">
        <f>IF($B154="","",IF(OR($M154="Complete",$M154="Attended",$M154="Skipped",$M154="Cancelled"),"No","Yes"))</f>
      </c>
      <c r="R154" s="78">
        <f>IF($B154="","",IF($Q154="No","COMPLETE",IF($C154="","NO DATE",IF($C154&lt;TODAY(),"OVERDUE",IF($C154-TODAY()&lt;=7,"THIS WEEK","SCHEDULED")))))</f>
      </c>
      <c r="S154" s="80"/>
      <c r="T154" s="78">
        <f>IF(AND($Q154="Yes",$C154&lt;&gt;"",$C154&gt;=TODAY(),$C154&lt;=TODAY()+7),$C154+ROW()/100000,"")</f>
      </c>
      <c r="U154" s="78">
        <f>IF($B154="",0,IF(COUNTIF('CHRISTMAS CALENDAR'!$B$6:$B$205,$B154)&gt;1,1,0))</f>
      </c>
      <c r="V154" s="78">
        <f>IF(OR(N($K154)&gt;0,N($L154)&gt;0),IF($J154="",1,IF(COUNTIF('MASTER BUDGET'!$D$6:$D$25,$J154)=0,1,0)),0)</f>
      </c>
      <c r="W154" s="75"/>
    </row>
    <row r="155" ht="17" customHeight="1" spans="1:23" x14ac:dyDescent="0.25">
      <c r="A155" s="75"/>
      <c r="B155" s="79"/>
      <c r="C155" s="82"/>
      <c r="D155" s="96"/>
      <c r="E155" s="79"/>
      <c r="F155" s="80"/>
      <c r="G155" s="79"/>
      <c r="H155" s="79"/>
      <c r="I155" s="79"/>
      <c r="J155" s="79"/>
      <c r="K155" s="86"/>
      <c r="L155" s="86"/>
      <c r="M155" s="79"/>
      <c r="N155" s="79"/>
      <c r="O155" s="82"/>
      <c r="P155" s="95">
        <f>IF($C155="","",WEEKNUM($C155,IF(Set_WeekStart="Monday",2,1)))</f>
      </c>
      <c r="Q155" s="78">
        <f>IF($B155="","",IF(OR($M155="Complete",$M155="Attended",$M155="Skipped",$M155="Cancelled"),"No","Yes"))</f>
      </c>
      <c r="R155" s="78">
        <f>IF($B155="","",IF($Q155="No","COMPLETE",IF($C155="","NO DATE",IF($C155&lt;TODAY(),"OVERDUE",IF($C155-TODAY()&lt;=7,"THIS WEEK","SCHEDULED")))))</f>
      </c>
      <c r="S155" s="80"/>
      <c r="T155" s="78">
        <f>IF(AND($Q155="Yes",$C155&lt;&gt;"",$C155&gt;=TODAY(),$C155&lt;=TODAY()+7),$C155+ROW()/100000,"")</f>
      </c>
      <c r="U155" s="78">
        <f>IF($B155="",0,IF(COUNTIF('CHRISTMAS CALENDAR'!$B$6:$B$205,$B155)&gt;1,1,0))</f>
      </c>
      <c r="V155" s="78">
        <f>IF(OR(N($K155)&gt;0,N($L155)&gt;0),IF($J155="",1,IF(COUNTIF('MASTER BUDGET'!$D$6:$D$25,$J155)=0,1,0)),0)</f>
      </c>
      <c r="W155" s="75"/>
    </row>
    <row r="156" ht="17" customHeight="1" spans="1:23" x14ac:dyDescent="0.25">
      <c r="A156" s="75"/>
      <c r="B156" s="79"/>
      <c r="C156" s="82"/>
      <c r="D156" s="96"/>
      <c r="E156" s="79"/>
      <c r="F156" s="80"/>
      <c r="G156" s="79"/>
      <c r="H156" s="79"/>
      <c r="I156" s="79"/>
      <c r="J156" s="79"/>
      <c r="K156" s="86"/>
      <c r="L156" s="86"/>
      <c r="M156" s="79"/>
      <c r="N156" s="79"/>
      <c r="O156" s="82"/>
      <c r="P156" s="95">
        <f>IF($C156="","",WEEKNUM($C156,IF(Set_WeekStart="Monday",2,1)))</f>
      </c>
      <c r="Q156" s="78">
        <f>IF($B156="","",IF(OR($M156="Complete",$M156="Attended",$M156="Skipped",$M156="Cancelled"),"No","Yes"))</f>
      </c>
      <c r="R156" s="78">
        <f>IF($B156="","",IF($Q156="No","COMPLETE",IF($C156="","NO DATE",IF($C156&lt;TODAY(),"OVERDUE",IF($C156-TODAY()&lt;=7,"THIS WEEK","SCHEDULED")))))</f>
      </c>
      <c r="S156" s="80"/>
      <c r="T156" s="78">
        <f>IF(AND($Q156="Yes",$C156&lt;&gt;"",$C156&gt;=TODAY(),$C156&lt;=TODAY()+7),$C156+ROW()/100000,"")</f>
      </c>
      <c r="U156" s="78">
        <f>IF($B156="",0,IF(COUNTIF('CHRISTMAS CALENDAR'!$B$6:$B$205,$B156)&gt;1,1,0))</f>
      </c>
      <c r="V156" s="78">
        <f>IF(OR(N($K156)&gt;0,N($L156)&gt;0),IF($J156="",1,IF(COUNTIF('MASTER BUDGET'!$D$6:$D$25,$J156)=0,1,0)),0)</f>
      </c>
      <c r="W156" s="75"/>
    </row>
    <row r="157" ht="17" customHeight="1" spans="1:23" x14ac:dyDescent="0.25">
      <c r="A157" s="75"/>
      <c r="B157" s="79"/>
      <c r="C157" s="82"/>
      <c r="D157" s="96"/>
      <c r="E157" s="79"/>
      <c r="F157" s="80"/>
      <c r="G157" s="79"/>
      <c r="H157" s="79"/>
      <c r="I157" s="79"/>
      <c r="J157" s="79"/>
      <c r="K157" s="86"/>
      <c r="L157" s="86"/>
      <c r="M157" s="79"/>
      <c r="N157" s="79"/>
      <c r="O157" s="82"/>
      <c r="P157" s="95">
        <f>IF($C157="","",WEEKNUM($C157,IF(Set_WeekStart="Monday",2,1)))</f>
      </c>
      <c r="Q157" s="78">
        <f>IF($B157="","",IF(OR($M157="Complete",$M157="Attended",$M157="Skipped",$M157="Cancelled"),"No","Yes"))</f>
      </c>
      <c r="R157" s="78">
        <f>IF($B157="","",IF($Q157="No","COMPLETE",IF($C157="","NO DATE",IF($C157&lt;TODAY(),"OVERDUE",IF($C157-TODAY()&lt;=7,"THIS WEEK","SCHEDULED")))))</f>
      </c>
      <c r="S157" s="80"/>
      <c r="T157" s="78">
        <f>IF(AND($Q157="Yes",$C157&lt;&gt;"",$C157&gt;=TODAY(),$C157&lt;=TODAY()+7),$C157+ROW()/100000,"")</f>
      </c>
      <c r="U157" s="78">
        <f>IF($B157="",0,IF(COUNTIF('CHRISTMAS CALENDAR'!$B$6:$B$205,$B157)&gt;1,1,0))</f>
      </c>
      <c r="V157" s="78">
        <f>IF(OR(N($K157)&gt;0,N($L157)&gt;0),IF($J157="",1,IF(COUNTIF('MASTER BUDGET'!$D$6:$D$25,$J157)=0,1,0)),0)</f>
      </c>
      <c r="W157" s="75"/>
    </row>
    <row r="158" ht="17" customHeight="1" spans="1:23" x14ac:dyDescent="0.25">
      <c r="A158" s="75"/>
      <c r="B158" s="79"/>
      <c r="C158" s="82"/>
      <c r="D158" s="96"/>
      <c r="E158" s="79"/>
      <c r="F158" s="80"/>
      <c r="G158" s="79"/>
      <c r="H158" s="79"/>
      <c r="I158" s="79"/>
      <c r="J158" s="79"/>
      <c r="K158" s="86"/>
      <c r="L158" s="86"/>
      <c r="M158" s="79"/>
      <c r="N158" s="79"/>
      <c r="O158" s="82"/>
      <c r="P158" s="95">
        <f>IF($C158="","",WEEKNUM($C158,IF(Set_WeekStart="Monday",2,1)))</f>
      </c>
      <c r="Q158" s="78">
        <f>IF($B158="","",IF(OR($M158="Complete",$M158="Attended",$M158="Skipped",$M158="Cancelled"),"No","Yes"))</f>
      </c>
      <c r="R158" s="78">
        <f>IF($B158="","",IF($Q158="No","COMPLETE",IF($C158="","NO DATE",IF($C158&lt;TODAY(),"OVERDUE",IF($C158-TODAY()&lt;=7,"THIS WEEK","SCHEDULED")))))</f>
      </c>
      <c r="S158" s="80"/>
      <c r="T158" s="78">
        <f>IF(AND($Q158="Yes",$C158&lt;&gt;"",$C158&gt;=TODAY(),$C158&lt;=TODAY()+7),$C158+ROW()/100000,"")</f>
      </c>
      <c r="U158" s="78">
        <f>IF($B158="",0,IF(COUNTIF('CHRISTMAS CALENDAR'!$B$6:$B$205,$B158)&gt;1,1,0))</f>
      </c>
      <c r="V158" s="78">
        <f>IF(OR(N($K158)&gt;0,N($L158)&gt;0),IF($J158="",1,IF(COUNTIF('MASTER BUDGET'!$D$6:$D$25,$J158)=0,1,0)),0)</f>
      </c>
      <c r="W158" s="75"/>
    </row>
    <row r="159" ht="17" customHeight="1" spans="1:23" x14ac:dyDescent="0.25">
      <c r="A159" s="75"/>
      <c r="B159" s="79"/>
      <c r="C159" s="82"/>
      <c r="D159" s="96"/>
      <c r="E159" s="79"/>
      <c r="F159" s="80"/>
      <c r="G159" s="79"/>
      <c r="H159" s="79"/>
      <c r="I159" s="79"/>
      <c r="J159" s="79"/>
      <c r="K159" s="86"/>
      <c r="L159" s="86"/>
      <c r="M159" s="79"/>
      <c r="N159" s="79"/>
      <c r="O159" s="82"/>
      <c r="P159" s="95">
        <f>IF($C159="","",WEEKNUM($C159,IF(Set_WeekStart="Monday",2,1)))</f>
      </c>
      <c r="Q159" s="78">
        <f>IF($B159="","",IF(OR($M159="Complete",$M159="Attended",$M159="Skipped",$M159="Cancelled"),"No","Yes"))</f>
      </c>
      <c r="R159" s="78">
        <f>IF($B159="","",IF($Q159="No","COMPLETE",IF($C159="","NO DATE",IF($C159&lt;TODAY(),"OVERDUE",IF($C159-TODAY()&lt;=7,"THIS WEEK","SCHEDULED")))))</f>
      </c>
      <c r="S159" s="80"/>
      <c r="T159" s="78">
        <f>IF(AND($Q159="Yes",$C159&lt;&gt;"",$C159&gt;=TODAY(),$C159&lt;=TODAY()+7),$C159+ROW()/100000,"")</f>
      </c>
      <c r="U159" s="78">
        <f>IF($B159="",0,IF(COUNTIF('CHRISTMAS CALENDAR'!$B$6:$B$205,$B159)&gt;1,1,0))</f>
      </c>
      <c r="V159" s="78">
        <f>IF(OR(N($K159)&gt;0,N($L159)&gt;0),IF($J159="",1,IF(COUNTIF('MASTER BUDGET'!$D$6:$D$25,$J159)=0,1,0)),0)</f>
      </c>
      <c r="W159" s="75"/>
    </row>
    <row r="160" ht="17" customHeight="1" spans="1:23" x14ac:dyDescent="0.25">
      <c r="A160" s="75"/>
      <c r="B160" s="79"/>
      <c r="C160" s="82"/>
      <c r="D160" s="96"/>
      <c r="E160" s="79"/>
      <c r="F160" s="80"/>
      <c r="G160" s="79"/>
      <c r="H160" s="79"/>
      <c r="I160" s="79"/>
      <c r="J160" s="79"/>
      <c r="K160" s="86"/>
      <c r="L160" s="86"/>
      <c r="M160" s="79"/>
      <c r="N160" s="79"/>
      <c r="O160" s="82"/>
      <c r="P160" s="95">
        <f>IF($C160="","",WEEKNUM($C160,IF(Set_WeekStart="Monday",2,1)))</f>
      </c>
      <c r="Q160" s="78">
        <f>IF($B160="","",IF(OR($M160="Complete",$M160="Attended",$M160="Skipped",$M160="Cancelled"),"No","Yes"))</f>
      </c>
      <c r="R160" s="78">
        <f>IF($B160="","",IF($Q160="No","COMPLETE",IF($C160="","NO DATE",IF($C160&lt;TODAY(),"OVERDUE",IF($C160-TODAY()&lt;=7,"THIS WEEK","SCHEDULED")))))</f>
      </c>
      <c r="S160" s="80"/>
      <c r="T160" s="78">
        <f>IF(AND($Q160="Yes",$C160&lt;&gt;"",$C160&gt;=TODAY(),$C160&lt;=TODAY()+7),$C160+ROW()/100000,"")</f>
      </c>
      <c r="U160" s="78">
        <f>IF($B160="",0,IF(COUNTIF('CHRISTMAS CALENDAR'!$B$6:$B$205,$B160)&gt;1,1,0))</f>
      </c>
      <c r="V160" s="78">
        <f>IF(OR(N($K160)&gt;0,N($L160)&gt;0),IF($J160="",1,IF(COUNTIF('MASTER BUDGET'!$D$6:$D$25,$J160)=0,1,0)),0)</f>
      </c>
      <c r="W160" s="75"/>
    </row>
    <row r="161" ht="17" customHeight="1" spans="1:23" x14ac:dyDescent="0.25">
      <c r="A161" s="75"/>
      <c r="B161" s="79"/>
      <c r="C161" s="82"/>
      <c r="D161" s="96"/>
      <c r="E161" s="79"/>
      <c r="F161" s="80"/>
      <c r="G161" s="79"/>
      <c r="H161" s="79"/>
      <c r="I161" s="79"/>
      <c r="J161" s="79"/>
      <c r="K161" s="86"/>
      <c r="L161" s="86"/>
      <c r="M161" s="79"/>
      <c r="N161" s="79"/>
      <c r="O161" s="82"/>
      <c r="P161" s="95">
        <f>IF($C161="","",WEEKNUM($C161,IF(Set_WeekStart="Monday",2,1)))</f>
      </c>
      <c r="Q161" s="78">
        <f>IF($B161="","",IF(OR($M161="Complete",$M161="Attended",$M161="Skipped",$M161="Cancelled"),"No","Yes"))</f>
      </c>
      <c r="R161" s="78">
        <f>IF($B161="","",IF($Q161="No","COMPLETE",IF($C161="","NO DATE",IF($C161&lt;TODAY(),"OVERDUE",IF($C161-TODAY()&lt;=7,"THIS WEEK","SCHEDULED")))))</f>
      </c>
      <c r="S161" s="80"/>
      <c r="T161" s="78">
        <f>IF(AND($Q161="Yes",$C161&lt;&gt;"",$C161&gt;=TODAY(),$C161&lt;=TODAY()+7),$C161+ROW()/100000,"")</f>
      </c>
      <c r="U161" s="78">
        <f>IF($B161="",0,IF(COUNTIF('CHRISTMAS CALENDAR'!$B$6:$B$205,$B161)&gt;1,1,0))</f>
      </c>
      <c r="V161" s="78">
        <f>IF(OR(N($K161)&gt;0,N($L161)&gt;0),IF($J161="",1,IF(COUNTIF('MASTER BUDGET'!$D$6:$D$25,$J161)=0,1,0)),0)</f>
      </c>
      <c r="W161" s="75"/>
    </row>
    <row r="162" ht="17" customHeight="1" spans="1:23" x14ac:dyDescent="0.25">
      <c r="A162" s="75"/>
      <c r="B162" s="79"/>
      <c r="C162" s="82"/>
      <c r="D162" s="96"/>
      <c r="E162" s="79"/>
      <c r="F162" s="80"/>
      <c r="G162" s="79"/>
      <c r="H162" s="79"/>
      <c r="I162" s="79"/>
      <c r="J162" s="79"/>
      <c r="K162" s="86"/>
      <c r="L162" s="86"/>
      <c r="M162" s="79"/>
      <c r="N162" s="79"/>
      <c r="O162" s="82"/>
      <c r="P162" s="95">
        <f>IF($C162="","",WEEKNUM($C162,IF(Set_WeekStart="Monday",2,1)))</f>
      </c>
      <c r="Q162" s="78">
        <f>IF($B162="","",IF(OR($M162="Complete",$M162="Attended",$M162="Skipped",$M162="Cancelled"),"No","Yes"))</f>
      </c>
      <c r="R162" s="78">
        <f>IF($B162="","",IF($Q162="No","COMPLETE",IF($C162="","NO DATE",IF($C162&lt;TODAY(),"OVERDUE",IF($C162-TODAY()&lt;=7,"THIS WEEK","SCHEDULED")))))</f>
      </c>
      <c r="S162" s="80"/>
      <c r="T162" s="78">
        <f>IF(AND($Q162="Yes",$C162&lt;&gt;"",$C162&gt;=TODAY(),$C162&lt;=TODAY()+7),$C162+ROW()/100000,"")</f>
      </c>
      <c r="U162" s="78">
        <f>IF($B162="",0,IF(COUNTIF('CHRISTMAS CALENDAR'!$B$6:$B$205,$B162)&gt;1,1,0))</f>
      </c>
      <c r="V162" s="78">
        <f>IF(OR(N($K162)&gt;0,N($L162)&gt;0),IF($J162="",1,IF(COUNTIF('MASTER BUDGET'!$D$6:$D$25,$J162)=0,1,0)),0)</f>
      </c>
      <c r="W162" s="75"/>
    </row>
    <row r="163" ht="17" customHeight="1" spans="1:23" x14ac:dyDescent="0.25">
      <c r="A163" s="75"/>
      <c r="B163" s="79"/>
      <c r="C163" s="82"/>
      <c r="D163" s="96"/>
      <c r="E163" s="79"/>
      <c r="F163" s="80"/>
      <c r="G163" s="79"/>
      <c r="H163" s="79"/>
      <c r="I163" s="79"/>
      <c r="J163" s="79"/>
      <c r="K163" s="86"/>
      <c r="L163" s="86"/>
      <c r="M163" s="79"/>
      <c r="N163" s="79"/>
      <c r="O163" s="82"/>
      <c r="P163" s="95">
        <f>IF($C163="","",WEEKNUM($C163,IF(Set_WeekStart="Monday",2,1)))</f>
      </c>
      <c r="Q163" s="78">
        <f>IF($B163="","",IF(OR($M163="Complete",$M163="Attended",$M163="Skipped",$M163="Cancelled"),"No","Yes"))</f>
      </c>
      <c r="R163" s="78">
        <f>IF($B163="","",IF($Q163="No","COMPLETE",IF($C163="","NO DATE",IF($C163&lt;TODAY(),"OVERDUE",IF($C163-TODAY()&lt;=7,"THIS WEEK","SCHEDULED")))))</f>
      </c>
      <c r="S163" s="80"/>
      <c r="T163" s="78">
        <f>IF(AND($Q163="Yes",$C163&lt;&gt;"",$C163&gt;=TODAY(),$C163&lt;=TODAY()+7),$C163+ROW()/100000,"")</f>
      </c>
      <c r="U163" s="78">
        <f>IF($B163="",0,IF(COUNTIF('CHRISTMAS CALENDAR'!$B$6:$B$205,$B163)&gt;1,1,0))</f>
      </c>
      <c r="V163" s="78">
        <f>IF(OR(N($K163)&gt;0,N($L163)&gt;0),IF($J163="",1,IF(COUNTIF('MASTER BUDGET'!$D$6:$D$25,$J163)=0,1,0)),0)</f>
      </c>
      <c r="W163" s="75"/>
    </row>
    <row r="164" ht="17" customHeight="1" spans="1:23" x14ac:dyDescent="0.25">
      <c r="A164" s="75"/>
      <c r="B164" s="79"/>
      <c r="C164" s="82"/>
      <c r="D164" s="96"/>
      <c r="E164" s="79"/>
      <c r="F164" s="80"/>
      <c r="G164" s="79"/>
      <c r="H164" s="79"/>
      <c r="I164" s="79"/>
      <c r="J164" s="79"/>
      <c r="K164" s="86"/>
      <c r="L164" s="86"/>
      <c r="M164" s="79"/>
      <c r="N164" s="79"/>
      <c r="O164" s="82"/>
      <c r="P164" s="95">
        <f>IF($C164="","",WEEKNUM($C164,IF(Set_WeekStart="Monday",2,1)))</f>
      </c>
      <c r="Q164" s="78">
        <f>IF($B164="","",IF(OR($M164="Complete",$M164="Attended",$M164="Skipped",$M164="Cancelled"),"No","Yes"))</f>
      </c>
      <c r="R164" s="78">
        <f>IF($B164="","",IF($Q164="No","COMPLETE",IF($C164="","NO DATE",IF($C164&lt;TODAY(),"OVERDUE",IF($C164-TODAY()&lt;=7,"THIS WEEK","SCHEDULED")))))</f>
      </c>
      <c r="S164" s="80"/>
      <c r="T164" s="78">
        <f>IF(AND($Q164="Yes",$C164&lt;&gt;"",$C164&gt;=TODAY(),$C164&lt;=TODAY()+7),$C164+ROW()/100000,"")</f>
      </c>
      <c r="U164" s="78">
        <f>IF($B164="",0,IF(COUNTIF('CHRISTMAS CALENDAR'!$B$6:$B$205,$B164)&gt;1,1,0))</f>
      </c>
      <c r="V164" s="78">
        <f>IF(OR(N($K164)&gt;0,N($L164)&gt;0),IF($J164="",1,IF(COUNTIF('MASTER BUDGET'!$D$6:$D$25,$J164)=0,1,0)),0)</f>
      </c>
      <c r="W164" s="75"/>
    </row>
    <row r="165" ht="17" customHeight="1" spans="1:23" x14ac:dyDescent="0.25">
      <c r="A165" s="75"/>
      <c r="B165" s="79"/>
      <c r="C165" s="82"/>
      <c r="D165" s="96"/>
      <c r="E165" s="79"/>
      <c r="F165" s="80"/>
      <c r="G165" s="79"/>
      <c r="H165" s="79"/>
      <c r="I165" s="79"/>
      <c r="J165" s="79"/>
      <c r="K165" s="86"/>
      <c r="L165" s="86"/>
      <c r="M165" s="79"/>
      <c r="N165" s="79"/>
      <c r="O165" s="82"/>
      <c r="P165" s="95">
        <f>IF($C165="","",WEEKNUM($C165,IF(Set_WeekStart="Monday",2,1)))</f>
      </c>
      <c r="Q165" s="78">
        <f>IF($B165="","",IF(OR($M165="Complete",$M165="Attended",$M165="Skipped",$M165="Cancelled"),"No","Yes"))</f>
      </c>
      <c r="R165" s="78">
        <f>IF($B165="","",IF($Q165="No","COMPLETE",IF($C165="","NO DATE",IF($C165&lt;TODAY(),"OVERDUE",IF($C165-TODAY()&lt;=7,"THIS WEEK","SCHEDULED")))))</f>
      </c>
      <c r="S165" s="80"/>
      <c r="T165" s="78">
        <f>IF(AND($Q165="Yes",$C165&lt;&gt;"",$C165&gt;=TODAY(),$C165&lt;=TODAY()+7),$C165+ROW()/100000,"")</f>
      </c>
      <c r="U165" s="78">
        <f>IF($B165="",0,IF(COUNTIF('CHRISTMAS CALENDAR'!$B$6:$B$205,$B165)&gt;1,1,0))</f>
      </c>
      <c r="V165" s="78">
        <f>IF(OR(N($K165)&gt;0,N($L165)&gt;0),IF($J165="",1,IF(COUNTIF('MASTER BUDGET'!$D$6:$D$25,$J165)=0,1,0)),0)</f>
      </c>
      <c r="W165" s="75"/>
    </row>
    <row r="166" ht="17" customHeight="1" spans="1:23" x14ac:dyDescent="0.25">
      <c r="A166" s="75"/>
      <c r="B166" s="79"/>
      <c r="C166" s="82"/>
      <c r="D166" s="96"/>
      <c r="E166" s="79"/>
      <c r="F166" s="80"/>
      <c r="G166" s="79"/>
      <c r="H166" s="79"/>
      <c r="I166" s="79"/>
      <c r="J166" s="79"/>
      <c r="K166" s="86"/>
      <c r="L166" s="86"/>
      <c r="M166" s="79"/>
      <c r="N166" s="79"/>
      <c r="O166" s="82"/>
      <c r="P166" s="95">
        <f>IF($C166="","",WEEKNUM($C166,IF(Set_WeekStart="Monday",2,1)))</f>
      </c>
      <c r="Q166" s="78">
        <f>IF($B166="","",IF(OR($M166="Complete",$M166="Attended",$M166="Skipped",$M166="Cancelled"),"No","Yes"))</f>
      </c>
      <c r="R166" s="78">
        <f>IF($B166="","",IF($Q166="No","COMPLETE",IF($C166="","NO DATE",IF($C166&lt;TODAY(),"OVERDUE",IF($C166-TODAY()&lt;=7,"THIS WEEK","SCHEDULED")))))</f>
      </c>
      <c r="S166" s="80"/>
      <c r="T166" s="78">
        <f>IF(AND($Q166="Yes",$C166&lt;&gt;"",$C166&gt;=TODAY(),$C166&lt;=TODAY()+7),$C166+ROW()/100000,"")</f>
      </c>
      <c r="U166" s="78">
        <f>IF($B166="",0,IF(COUNTIF('CHRISTMAS CALENDAR'!$B$6:$B$205,$B166)&gt;1,1,0))</f>
      </c>
      <c r="V166" s="78">
        <f>IF(OR(N($K166)&gt;0,N($L166)&gt;0),IF($J166="",1,IF(COUNTIF('MASTER BUDGET'!$D$6:$D$25,$J166)=0,1,0)),0)</f>
      </c>
      <c r="W166" s="75"/>
    </row>
    <row r="167" ht="17" customHeight="1" spans="1:23" x14ac:dyDescent="0.25">
      <c r="A167" s="75"/>
      <c r="B167" s="79"/>
      <c r="C167" s="82"/>
      <c r="D167" s="96"/>
      <c r="E167" s="79"/>
      <c r="F167" s="80"/>
      <c r="G167" s="79"/>
      <c r="H167" s="79"/>
      <c r="I167" s="79"/>
      <c r="J167" s="79"/>
      <c r="K167" s="86"/>
      <c r="L167" s="86"/>
      <c r="M167" s="79"/>
      <c r="N167" s="79"/>
      <c r="O167" s="82"/>
      <c r="P167" s="95">
        <f>IF($C167="","",WEEKNUM($C167,IF(Set_WeekStart="Monday",2,1)))</f>
      </c>
      <c r="Q167" s="78">
        <f>IF($B167="","",IF(OR($M167="Complete",$M167="Attended",$M167="Skipped",$M167="Cancelled"),"No","Yes"))</f>
      </c>
      <c r="R167" s="78">
        <f>IF($B167="","",IF($Q167="No","COMPLETE",IF($C167="","NO DATE",IF($C167&lt;TODAY(),"OVERDUE",IF($C167-TODAY()&lt;=7,"THIS WEEK","SCHEDULED")))))</f>
      </c>
      <c r="S167" s="80"/>
      <c r="T167" s="78">
        <f>IF(AND($Q167="Yes",$C167&lt;&gt;"",$C167&gt;=TODAY(),$C167&lt;=TODAY()+7),$C167+ROW()/100000,"")</f>
      </c>
      <c r="U167" s="78">
        <f>IF($B167="",0,IF(COUNTIF('CHRISTMAS CALENDAR'!$B$6:$B$205,$B167)&gt;1,1,0))</f>
      </c>
      <c r="V167" s="78">
        <f>IF(OR(N($K167)&gt;0,N($L167)&gt;0),IF($J167="",1,IF(COUNTIF('MASTER BUDGET'!$D$6:$D$25,$J167)=0,1,0)),0)</f>
      </c>
      <c r="W167" s="75"/>
    </row>
    <row r="168" ht="17" customHeight="1" spans="1:23" x14ac:dyDescent="0.25">
      <c r="A168" s="75"/>
      <c r="B168" s="79"/>
      <c r="C168" s="82"/>
      <c r="D168" s="96"/>
      <c r="E168" s="79"/>
      <c r="F168" s="80"/>
      <c r="G168" s="79"/>
      <c r="H168" s="79"/>
      <c r="I168" s="79"/>
      <c r="J168" s="79"/>
      <c r="K168" s="86"/>
      <c r="L168" s="86"/>
      <c r="M168" s="79"/>
      <c r="N168" s="79"/>
      <c r="O168" s="82"/>
      <c r="P168" s="95">
        <f>IF($C168="","",WEEKNUM($C168,IF(Set_WeekStart="Monday",2,1)))</f>
      </c>
      <c r="Q168" s="78">
        <f>IF($B168="","",IF(OR($M168="Complete",$M168="Attended",$M168="Skipped",$M168="Cancelled"),"No","Yes"))</f>
      </c>
      <c r="R168" s="78">
        <f>IF($B168="","",IF($Q168="No","COMPLETE",IF($C168="","NO DATE",IF($C168&lt;TODAY(),"OVERDUE",IF($C168-TODAY()&lt;=7,"THIS WEEK","SCHEDULED")))))</f>
      </c>
      <c r="S168" s="80"/>
      <c r="T168" s="78">
        <f>IF(AND($Q168="Yes",$C168&lt;&gt;"",$C168&gt;=TODAY(),$C168&lt;=TODAY()+7),$C168+ROW()/100000,"")</f>
      </c>
      <c r="U168" s="78">
        <f>IF($B168="",0,IF(COUNTIF('CHRISTMAS CALENDAR'!$B$6:$B$205,$B168)&gt;1,1,0))</f>
      </c>
      <c r="V168" s="78">
        <f>IF(OR(N($K168)&gt;0,N($L168)&gt;0),IF($J168="",1,IF(COUNTIF('MASTER BUDGET'!$D$6:$D$25,$J168)=0,1,0)),0)</f>
      </c>
      <c r="W168" s="75"/>
    </row>
    <row r="169" ht="17" customHeight="1" spans="1:23" x14ac:dyDescent="0.25">
      <c r="A169" s="75"/>
      <c r="B169" s="79"/>
      <c r="C169" s="82"/>
      <c r="D169" s="96"/>
      <c r="E169" s="79"/>
      <c r="F169" s="80"/>
      <c r="G169" s="79"/>
      <c r="H169" s="79"/>
      <c r="I169" s="79"/>
      <c r="J169" s="79"/>
      <c r="K169" s="86"/>
      <c r="L169" s="86"/>
      <c r="M169" s="79"/>
      <c r="N169" s="79"/>
      <c r="O169" s="82"/>
      <c r="P169" s="95">
        <f>IF($C169="","",WEEKNUM($C169,IF(Set_WeekStart="Monday",2,1)))</f>
      </c>
      <c r="Q169" s="78">
        <f>IF($B169="","",IF(OR($M169="Complete",$M169="Attended",$M169="Skipped",$M169="Cancelled"),"No","Yes"))</f>
      </c>
      <c r="R169" s="78">
        <f>IF($B169="","",IF($Q169="No","COMPLETE",IF($C169="","NO DATE",IF($C169&lt;TODAY(),"OVERDUE",IF($C169-TODAY()&lt;=7,"THIS WEEK","SCHEDULED")))))</f>
      </c>
      <c r="S169" s="80"/>
      <c r="T169" s="78">
        <f>IF(AND($Q169="Yes",$C169&lt;&gt;"",$C169&gt;=TODAY(),$C169&lt;=TODAY()+7),$C169+ROW()/100000,"")</f>
      </c>
      <c r="U169" s="78">
        <f>IF($B169="",0,IF(COUNTIF('CHRISTMAS CALENDAR'!$B$6:$B$205,$B169)&gt;1,1,0))</f>
      </c>
      <c r="V169" s="78">
        <f>IF(OR(N($K169)&gt;0,N($L169)&gt;0),IF($J169="",1,IF(COUNTIF('MASTER BUDGET'!$D$6:$D$25,$J169)=0,1,0)),0)</f>
      </c>
      <c r="W169" s="75"/>
    </row>
    <row r="170" ht="17" customHeight="1" spans="1:23" x14ac:dyDescent="0.25">
      <c r="A170" s="75"/>
      <c r="B170" s="79"/>
      <c r="C170" s="82"/>
      <c r="D170" s="96"/>
      <c r="E170" s="79"/>
      <c r="F170" s="80"/>
      <c r="G170" s="79"/>
      <c r="H170" s="79"/>
      <c r="I170" s="79"/>
      <c r="J170" s="79"/>
      <c r="K170" s="86"/>
      <c r="L170" s="86"/>
      <c r="M170" s="79"/>
      <c r="N170" s="79"/>
      <c r="O170" s="82"/>
      <c r="P170" s="95">
        <f>IF($C170="","",WEEKNUM($C170,IF(Set_WeekStart="Monday",2,1)))</f>
      </c>
      <c r="Q170" s="78">
        <f>IF($B170="","",IF(OR($M170="Complete",$M170="Attended",$M170="Skipped",$M170="Cancelled"),"No","Yes"))</f>
      </c>
      <c r="R170" s="78">
        <f>IF($B170="","",IF($Q170="No","COMPLETE",IF($C170="","NO DATE",IF($C170&lt;TODAY(),"OVERDUE",IF($C170-TODAY()&lt;=7,"THIS WEEK","SCHEDULED")))))</f>
      </c>
      <c r="S170" s="80"/>
      <c r="T170" s="78">
        <f>IF(AND($Q170="Yes",$C170&lt;&gt;"",$C170&gt;=TODAY(),$C170&lt;=TODAY()+7),$C170+ROW()/100000,"")</f>
      </c>
      <c r="U170" s="78">
        <f>IF($B170="",0,IF(COUNTIF('CHRISTMAS CALENDAR'!$B$6:$B$205,$B170)&gt;1,1,0))</f>
      </c>
      <c r="V170" s="78">
        <f>IF(OR(N($K170)&gt;0,N($L170)&gt;0),IF($J170="",1,IF(COUNTIF('MASTER BUDGET'!$D$6:$D$25,$J170)=0,1,0)),0)</f>
      </c>
      <c r="W170" s="75"/>
    </row>
    <row r="171" ht="17" customHeight="1" spans="1:23" x14ac:dyDescent="0.25">
      <c r="A171" s="75"/>
      <c r="B171" s="79"/>
      <c r="C171" s="82"/>
      <c r="D171" s="96"/>
      <c r="E171" s="79"/>
      <c r="F171" s="80"/>
      <c r="G171" s="79"/>
      <c r="H171" s="79"/>
      <c r="I171" s="79"/>
      <c r="J171" s="79"/>
      <c r="K171" s="86"/>
      <c r="L171" s="86"/>
      <c r="M171" s="79"/>
      <c r="N171" s="79"/>
      <c r="O171" s="82"/>
      <c r="P171" s="95">
        <f>IF($C171="","",WEEKNUM($C171,IF(Set_WeekStart="Monday",2,1)))</f>
      </c>
      <c r="Q171" s="78">
        <f>IF($B171="","",IF(OR($M171="Complete",$M171="Attended",$M171="Skipped",$M171="Cancelled"),"No","Yes"))</f>
      </c>
      <c r="R171" s="78">
        <f>IF($B171="","",IF($Q171="No","COMPLETE",IF($C171="","NO DATE",IF($C171&lt;TODAY(),"OVERDUE",IF($C171-TODAY()&lt;=7,"THIS WEEK","SCHEDULED")))))</f>
      </c>
      <c r="S171" s="80"/>
      <c r="T171" s="78">
        <f>IF(AND($Q171="Yes",$C171&lt;&gt;"",$C171&gt;=TODAY(),$C171&lt;=TODAY()+7),$C171+ROW()/100000,"")</f>
      </c>
      <c r="U171" s="78">
        <f>IF($B171="",0,IF(COUNTIF('CHRISTMAS CALENDAR'!$B$6:$B$205,$B171)&gt;1,1,0))</f>
      </c>
      <c r="V171" s="78">
        <f>IF(OR(N($K171)&gt;0,N($L171)&gt;0),IF($J171="",1,IF(COUNTIF('MASTER BUDGET'!$D$6:$D$25,$J171)=0,1,0)),0)</f>
      </c>
      <c r="W171" s="75"/>
    </row>
    <row r="172" ht="17" customHeight="1" spans="1:23" x14ac:dyDescent="0.25">
      <c r="A172" s="75"/>
      <c r="B172" s="79"/>
      <c r="C172" s="82"/>
      <c r="D172" s="96"/>
      <c r="E172" s="79"/>
      <c r="F172" s="80"/>
      <c r="G172" s="79"/>
      <c r="H172" s="79"/>
      <c r="I172" s="79"/>
      <c r="J172" s="79"/>
      <c r="K172" s="86"/>
      <c r="L172" s="86"/>
      <c r="M172" s="79"/>
      <c r="N172" s="79"/>
      <c r="O172" s="82"/>
      <c r="P172" s="95">
        <f>IF($C172="","",WEEKNUM($C172,IF(Set_WeekStart="Monday",2,1)))</f>
      </c>
      <c r="Q172" s="78">
        <f>IF($B172="","",IF(OR($M172="Complete",$M172="Attended",$M172="Skipped",$M172="Cancelled"),"No","Yes"))</f>
      </c>
      <c r="R172" s="78">
        <f>IF($B172="","",IF($Q172="No","COMPLETE",IF($C172="","NO DATE",IF($C172&lt;TODAY(),"OVERDUE",IF($C172-TODAY()&lt;=7,"THIS WEEK","SCHEDULED")))))</f>
      </c>
      <c r="S172" s="80"/>
      <c r="T172" s="78">
        <f>IF(AND($Q172="Yes",$C172&lt;&gt;"",$C172&gt;=TODAY(),$C172&lt;=TODAY()+7),$C172+ROW()/100000,"")</f>
      </c>
      <c r="U172" s="78">
        <f>IF($B172="",0,IF(COUNTIF('CHRISTMAS CALENDAR'!$B$6:$B$205,$B172)&gt;1,1,0))</f>
      </c>
      <c r="V172" s="78">
        <f>IF(OR(N($K172)&gt;0,N($L172)&gt;0),IF($J172="",1,IF(COUNTIF('MASTER BUDGET'!$D$6:$D$25,$J172)=0,1,0)),0)</f>
      </c>
      <c r="W172" s="75"/>
    </row>
    <row r="173" ht="17" customHeight="1" spans="1:23" x14ac:dyDescent="0.25">
      <c r="A173" s="75"/>
      <c r="B173" s="79"/>
      <c r="C173" s="82"/>
      <c r="D173" s="96"/>
      <c r="E173" s="79"/>
      <c r="F173" s="80"/>
      <c r="G173" s="79"/>
      <c r="H173" s="79"/>
      <c r="I173" s="79"/>
      <c r="J173" s="79"/>
      <c r="K173" s="86"/>
      <c r="L173" s="86"/>
      <c r="M173" s="79"/>
      <c r="N173" s="79"/>
      <c r="O173" s="82"/>
      <c r="P173" s="95">
        <f>IF($C173="","",WEEKNUM($C173,IF(Set_WeekStart="Monday",2,1)))</f>
      </c>
      <c r="Q173" s="78">
        <f>IF($B173="","",IF(OR($M173="Complete",$M173="Attended",$M173="Skipped",$M173="Cancelled"),"No","Yes"))</f>
      </c>
      <c r="R173" s="78">
        <f>IF($B173="","",IF($Q173="No","COMPLETE",IF($C173="","NO DATE",IF($C173&lt;TODAY(),"OVERDUE",IF($C173-TODAY()&lt;=7,"THIS WEEK","SCHEDULED")))))</f>
      </c>
      <c r="S173" s="80"/>
      <c r="T173" s="78">
        <f>IF(AND($Q173="Yes",$C173&lt;&gt;"",$C173&gt;=TODAY(),$C173&lt;=TODAY()+7),$C173+ROW()/100000,"")</f>
      </c>
      <c r="U173" s="78">
        <f>IF($B173="",0,IF(COUNTIF('CHRISTMAS CALENDAR'!$B$6:$B$205,$B173)&gt;1,1,0))</f>
      </c>
      <c r="V173" s="78">
        <f>IF(OR(N($K173)&gt;0,N($L173)&gt;0),IF($J173="",1,IF(COUNTIF('MASTER BUDGET'!$D$6:$D$25,$J173)=0,1,0)),0)</f>
      </c>
      <c r="W173" s="75"/>
    </row>
    <row r="174" ht="17" customHeight="1" spans="1:23" x14ac:dyDescent="0.25">
      <c r="A174" s="75"/>
      <c r="B174" s="79"/>
      <c r="C174" s="82"/>
      <c r="D174" s="96"/>
      <c r="E174" s="79"/>
      <c r="F174" s="80"/>
      <c r="G174" s="79"/>
      <c r="H174" s="79"/>
      <c r="I174" s="79"/>
      <c r="J174" s="79"/>
      <c r="K174" s="86"/>
      <c r="L174" s="86"/>
      <c r="M174" s="79"/>
      <c r="N174" s="79"/>
      <c r="O174" s="82"/>
      <c r="P174" s="95">
        <f>IF($C174="","",WEEKNUM($C174,IF(Set_WeekStart="Monday",2,1)))</f>
      </c>
      <c r="Q174" s="78">
        <f>IF($B174="","",IF(OR($M174="Complete",$M174="Attended",$M174="Skipped",$M174="Cancelled"),"No","Yes"))</f>
      </c>
      <c r="R174" s="78">
        <f>IF($B174="","",IF($Q174="No","COMPLETE",IF($C174="","NO DATE",IF($C174&lt;TODAY(),"OVERDUE",IF($C174-TODAY()&lt;=7,"THIS WEEK","SCHEDULED")))))</f>
      </c>
      <c r="S174" s="80"/>
      <c r="T174" s="78">
        <f>IF(AND($Q174="Yes",$C174&lt;&gt;"",$C174&gt;=TODAY(),$C174&lt;=TODAY()+7),$C174+ROW()/100000,"")</f>
      </c>
      <c r="U174" s="78">
        <f>IF($B174="",0,IF(COUNTIF('CHRISTMAS CALENDAR'!$B$6:$B$205,$B174)&gt;1,1,0))</f>
      </c>
      <c r="V174" s="78">
        <f>IF(OR(N($K174)&gt;0,N($L174)&gt;0),IF($J174="",1,IF(COUNTIF('MASTER BUDGET'!$D$6:$D$25,$J174)=0,1,0)),0)</f>
      </c>
      <c r="W174" s="75"/>
    </row>
    <row r="175" ht="17" customHeight="1" spans="1:23" x14ac:dyDescent="0.25">
      <c r="A175" s="75"/>
      <c r="B175" s="79"/>
      <c r="C175" s="82"/>
      <c r="D175" s="96"/>
      <c r="E175" s="79"/>
      <c r="F175" s="80"/>
      <c r="G175" s="79"/>
      <c r="H175" s="79"/>
      <c r="I175" s="79"/>
      <c r="J175" s="79"/>
      <c r="K175" s="86"/>
      <c r="L175" s="86"/>
      <c r="M175" s="79"/>
      <c r="N175" s="79"/>
      <c r="O175" s="82"/>
      <c r="P175" s="95">
        <f>IF($C175="","",WEEKNUM($C175,IF(Set_WeekStart="Monday",2,1)))</f>
      </c>
      <c r="Q175" s="78">
        <f>IF($B175="","",IF(OR($M175="Complete",$M175="Attended",$M175="Skipped",$M175="Cancelled"),"No","Yes"))</f>
      </c>
      <c r="R175" s="78">
        <f>IF($B175="","",IF($Q175="No","COMPLETE",IF($C175="","NO DATE",IF($C175&lt;TODAY(),"OVERDUE",IF($C175-TODAY()&lt;=7,"THIS WEEK","SCHEDULED")))))</f>
      </c>
      <c r="S175" s="80"/>
      <c r="T175" s="78">
        <f>IF(AND($Q175="Yes",$C175&lt;&gt;"",$C175&gt;=TODAY(),$C175&lt;=TODAY()+7),$C175+ROW()/100000,"")</f>
      </c>
      <c r="U175" s="78">
        <f>IF($B175="",0,IF(COUNTIF('CHRISTMAS CALENDAR'!$B$6:$B$205,$B175)&gt;1,1,0))</f>
      </c>
      <c r="V175" s="78">
        <f>IF(OR(N($K175)&gt;0,N($L175)&gt;0),IF($J175="",1,IF(COUNTIF('MASTER BUDGET'!$D$6:$D$25,$J175)=0,1,0)),0)</f>
      </c>
      <c r="W175" s="75"/>
    </row>
    <row r="176" ht="17" customHeight="1" spans="1:23" x14ac:dyDescent="0.25">
      <c r="A176" s="75"/>
      <c r="B176" s="79"/>
      <c r="C176" s="82"/>
      <c r="D176" s="96"/>
      <c r="E176" s="79"/>
      <c r="F176" s="80"/>
      <c r="G176" s="79"/>
      <c r="H176" s="79"/>
      <c r="I176" s="79"/>
      <c r="J176" s="79"/>
      <c r="K176" s="86"/>
      <c r="L176" s="86"/>
      <c r="M176" s="79"/>
      <c r="N176" s="79"/>
      <c r="O176" s="82"/>
      <c r="P176" s="95">
        <f>IF($C176="","",WEEKNUM($C176,IF(Set_WeekStart="Monday",2,1)))</f>
      </c>
      <c r="Q176" s="78">
        <f>IF($B176="","",IF(OR($M176="Complete",$M176="Attended",$M176="Skipped",$M176="Cancelled"),"No","Yes"))</f>
      </c>
      <c r="R176" s="78">
        <f>IF($B176="","",IF($Q176="No","COMPLETE",IF($C176="","NO DATE",IF($C176&lt;TODAY(),"OVERDUE",IF($C176-TODAY()&lt;=7,"THIS WEEK","SCHEDULED")))))</f>
      </c>
      <c r="S176" s="80"/>
      <c r="T176" s="78">
        <f>IF(AND($Q176="Yes",$C176&lt;&gt;"",$C176&gt;=TODAY(),$C176&lt;=TODAY()+7),$C176+ROW()/100000,"")</f>
      </c>
      <c r="U176" s="78">
        <f>IF($B176="",0,IF(COUNTIF('CHRISTMAS CALENDAR'!$B$6:$B$205,$B176)&gt;1,1,0))</f>
      </c>
      <c r="V176" s="78">
        <f>IF(OR(N($K176)&gt;0,N($L176)&gt;0),IF($J176="",1,IF(COUNTIF('MASTER BUDGET'!$D$6:$D$25,$J176)=0,1,0)),0)</f>
      </c>
      <c r="W176" s="75"/>
    </row>
    <row r="177" ht="17" customHeight="1" spans="1:23" x14ac:dyDescent="0.25">
      <c r="A177" s="75"/>
      <c r="B177" s="79"/>
      <c r="C177" s="82"/>
      <c r="D177" s="96"/>
      <c r="E177" s="79"/>
      <c r="F177" s="80"/>
      <c r="G177" s="79"/>
      <c r="H177" s="79"/>
      <c r="I177" s="79"/>
      <c r="J177" s="79"/>
      <c r="K177" s="86"/>
      <c r="L177" s="86"/>
      <c r="M177" s="79"/>
      <c r="N177" s="79"/>
      <c r="O177" s="82"/>
      <c r="P177" s="95">
        <f>IF($C177="","",WEEKNUM($C177,IF(Set_WeekStart="Monday",2,1)))</f>
      </c>
      <c r="Q177" s="78">
        <f>IF($B177="","",IF(OR($M177="Complete",$M177="Attended",$M177="Skipped",$M177="Cancelled"),"No","Yes"))</f>
      </c>
      <c r="R177" s="78">
        <f>IF($B177="","",IF($Q177="No","COMPLETE",IF($C177="","NO DATE",IF($C177&lt;TODAY(),"OVERDUE",IF($C177-TODAY()&lt;=7,"THIS WEEK","SCHEDULED")))))</f>
      </c>
      <c r="S177" s="80"/>
      <c r="T177" s="78">
        <f>IF(AND($Q177="Yes",$C177&lt;&gt;"",$C177&gt;=TODAY(),$C177&lt;=TODAY()+7),$C177+ROW()/100000,"")</f>
      </c>
      <c r="U177" s="78">
        <f>IF($B177="",0,IF(COUNTIF('CHRISTMAS CALENDAR'!$B$6:$B$205,$B177)&gt;1,1,0))</f>
      </c>
      <c r="V177" s="78">
        <f>IF(OR(N($K177)&gt;0,N($L177)&gt;0),IF($J177="",1,IF(COUNTIF('MASTER BUDGET'!$D$6:$D$25,$J177)=0,1,0)),0)</f>
      </c>
      <c r="W177" s="75"/>
    </row>
    <row r="178" ht="17" customHeight="1" spans="1:23" x14ac:dyDescent="0.25">
      <c r="A178" s="75"/>
      <c r="B178" s="79"/>
      <c r="C178" s="82"/>
      <c r="D178" s="96"/>
      <c r="E178" s="79"/>
      <c r="F178" s="80"/>
      <c r="G178" s="79"/>
      <c r="H178" s="79"/>
      <c r="I178" s="79"/>
      <c r="J178" s="79"/>
      <c r="K178" s="86"/>
      <c r="L178" s="86"/>
      <c r="M178" s="79"/>
      <c r="N178" s="79"/>
      <c r="O178" s="82"/>
      <c r="P178" s="95">
        <f>IF($C178="","",WEEKNUM($C178,IF(Set_WeekStart="Monday",2,1)))</f>
      </c>
      <c r="Q178" s="78">
        <f>IF($B178="","",IF(OR($M178="Complete",$M178="Attended",$M178="Skipped",$M178="Cancelled"),"No","Yes"))</f>
      </c>
      <c r="R178" s="78">
        <f>IF($B178="","",IF($Q178="No","COMPLETE",IF($C178="","NO DATE",IF($C178&lt;TODAY(),"OVERDUE",IF($C178-TODAY()&lt;=7,"THIS WEEK","SCHEDULED")))))</f>
      </c>
      <c r="S178" s="80"/>
      <c r="T178" s="78">
        <f>IF(AND($Q178="Yes",$C178&lt;&gt;"",$C178&gt;=TODAY(),$C178&lt;=TODAY()+7),$C178+ROW()/100000,"")</f>
      </c>
      <c r="U178" s="78">
        <f>IF($B178="",0,IF(COUNTIF('CHRISTMAS CALENDAR'!$B$6:$B$205,$B178)&gt;1,1,0))</f>
      </c>
      <c r="V178" s="78">
        <f>IF(OR(N($K178)&gt;0,N($L178)&gt;0),IF($J178="",1,IF(COUNTIF('MASTER BUDGET'!$D$6:$D$25,$J178)=0,1,0)),0)</f>
      </c>
      <c r="W178" s="75"/>
    </row>
    <row r="179" ht="17" customHeight="1" spans="1:23" x14ac:dyDescent="0.25">
      <c r="A179" s="75"/>
      <c r="B179" s="79"/>
      <c r="C179" s="82"/>
      <c r="D179" s="96"/>
      <c r="E179" s="79"/>
      <c r="F179" s="80"/>
      <c r="G179" s="79"/>
      <c r="H179" s="79"/>
      <c r="I179" s="79"/>
      <c r="J179" s="79"/>
      <c r="K179" s="86"/>
      <c r="L179" s="86"/>
      <c r="M179" s="79"/>
      <c r="N179" s="79"/>
      <c r="O179" s="82"/>
      <c r="P179" s="95">
        <f>IF($C179="","",WEEKNUM($C179,IF(Set_WeekStart="Monday",2,1)))</f>
      </c>
      <c r="Q179" s="78">
        <f>IF($B179="","",IF(OR($M179="Complete",$M179="Attended",$M179="Skipped",$M179="Cancelled"),"No","Yes"))</f>
      </c>
      <c r="R179" s="78">
        <f>IF($B179="","",IF($Q179="No","COMPLETE",IF($C179="","NO DATE",IF($C179&lt;TODAY(),"OVERDUE",IF($C179-TODAY()&lt;=7,"THIS WEEK","SCHEDULED")))))</f>
      </c>
      <c r="S179" s="80"/>
      <c r="T179" s="78">
        <f>IF(AND($Q179="Yes",$C179&lt;&gt;"",$C179&gt;=TODAY(),$C179&lt;=TODAY()+7),$C179+ROW()/100000,"")</f>
      </c>
      <c r="U179" s="78">
        <f>IF($B179="",0,IF(COUNTIF('CHRISTMAS CALENDAR'!$B$6:$B$205,$B179)&gt;1,1,0))</f>
      </c>
      <c r="V179" s="78">
        <f>IF(OR(N($K179)&gt;0,N($L179)&gt;0),IF($J179="",1,IF(COUNTIF('MASTER BUDGET'!$D$6:$D$25,$J179)=0,1,0)),0)</f>
      </c>
      <c r="W179" s="75"/>
    </row>
    <row r="180" ht="17" customHeight="1" spans="1:23" x14ac:dyDescent="0.25">
      <c r="A180" s="75"/>
      <c r="B180" s="79"/>
      <c r="C180" s="82"/>
      <c r="D180" s="96"/>
      <c r="E180" s="79"/>
      <c r="F180" s="80"/>
      <c r="G180" s="79"/>
      <c r="H180" s="79"/>
      <c r="I180" s="79"/>
      <c r="J180" s="79"/>
      <c r="K180" s="86"/>
      <c r="L180" s="86"/>
      <c r="M180" s="79"/>
      <c r="N180" s="79"/>
      <c r="O180" s="82"/>
      <c r="P180" s="95">
        <f>IF($C180="","",WEEKNUM($C180,IF(Set_WeekStart="Monday",2,1)))</f>
      </c>
      <c r="Q180" s="78">
        <f>IF($B180="","",IF(OR($M180="Complete",$M180="Attended",$M180="Skipped",$M180="Cancelled"),"No","Yes"))</f>
      </c>
      <c r="R180" s="78">
        <f>IF($B180="","",IF($Q180="No","COMPLETE",IF($C180="","NO DATE",IF($C180&lt;TODAY(),"OVERDUE",IF($C180-TODAY()&lt;=7,"THIS WEEK","SCHEDULED")))))</f>
      </c>
      <c r="S180" s="80"/>
      <c r="T180" s="78">
        <f>IF(AND($Q180="Yes",$C180&lt;&gt;"",$C180&gt;=TODAY(),$C180&lt;=TODAY()+7),$C180+ROW()/100000,"")</f>
      </c>
      <c r="U180" s="78">
        <f>IF($B180="",0,IF(COUNTIF('CHRISTMAS CALENDAR'!$B$6:$B$205,$B180)&gt;1,1,0))</f>
      </c>
      <c r="V180" s="78">
        <f>IF(OR(N($K180)&gt;0,N($L180)&gt;0),IF($J180="",1,IF(COUNTIF('MASTER BUDGET'!$D$6:$D$25,$J180)=0,1,0)),0)</f>
      </c>
      <c r="W180" s="75"/>
    </row>
    <row r="181" ht="17" customHeight="1" spans="1:23" x14ac:dyDescent="0.25">
      <c r="A181" s="75"/>
      <c r="B181" s="79"/>
      <c r="C181" s="82"/>
      <c r="D181" s="96"/>
      <c r="E181" s="79"/>
      <c r="F181" s="80"/>
      <c r="G181" s="79"/>
      <c r="H181" s="79"/>
      <c r="I181" s="79"/>
      <c r="J181" s="79"/>
      <c r="K181" s="86"/>
      <c r="L181" s="86"/>
      <c r="M181" s="79"/>
      <c r="N181" s="79"/>
      <c r="O181" s="82"/>
      <c r="P181" s="95">
        <f>IF($C181="","",WEEKNUM($C181,IF(Set_WeekStart="Monday",2,1)))</f>
      </c>
      <c r="Q181" s="78">
        <f>IF($B181="","",IF(OR($M181="Complete",$M181="Attended",$M181="Skipped",$M181="Cancelled"),"No","Yes"))</f>
      </c>
      <c r="R181" s="78">
        <f>IF($B181="","",IF($Q181="No","COMPLETE",IF($C181="","NO DATE",IF($C181&lt;TODAY(),"OVERDUE",IF($C181-TODAY()&lt;=7,"THIS WEEK","SCHEDULED")))))</f>
      </c>
      <c r="S181" s="80"/>
      <c r="T181" s="78">
        <f>IF(AND($Q181="Yes",$C181&lt;&gt;"",$C181&gt;=TODAY(),$C181&lt;=TODAY()+7),$C181+ROW()/100000,"")</f>
      </c>
      <c r="U181" s="78">
        <f>IF($B181="",0,IF(COUNTIF('CHRISTMAS CALENDAR'!$B$6:$B$205,$B181)&gt;1,1,0))</f>
      </c>
      <c r="V181" s="78">
        <f>IF(OR(N($K181)&gt;0,N($L181)&gt;0),IF($J181="",1,IF(COUNTIF('MASTER BUDGET'!$D$6:$D$25,$J181)=0,1,0)),0)</f>
      </c>
      <c r="W181" s="75"/>
    </row>
    <row r="182" ht="17" customHeight="1" spans="1:23" x14ac:dyDescent="0.25">
      <c r="A182" s="75"/>
      <c r="B182" s="79"/>
      <c r="C182" s="82"/>
      <c r="D182" s="96"/>
      <c r="E182" s="79"/>
      <c r="F182" s="80"/>
      <c r="G182" s="79"/>
      <c r="H182" s="79"/>
      <c r="I182" s="79"/>
      <c r="J182" s="79"/>
      <c r="K182" s="86"/>
      <c r="L182" s="86"/>
      <c r="M182" s="79"/>
      <c r="N182" s="79"/>
      <c r="O182" s="82"/>
      <c r="P182" s="95">
        <f>IF($C182="","",WEEKNUM($C182,IF(Set_WeekStart="Monday",2,1)))</f>
      </c>
      <c r="Q182" s="78">
        <f>IF($B182="","",IF(OR($M182="Complete",$M182="Attended",$M182="Skipped",$M182="Cancelled"),"No","Yes"))</f>
      </c>
      <c r="R182" s="78">
        <f>IF($B182="","",IF($Q182="No","COMPLETE",IF($C182="","NO DATE",IF($C182&lt;TODAY(),"OVERDUE",IF($C182-TODAY()&lt;=7,"THIS WEEK","SCHEDULED")))))</f>
      </c>
      <c r="S182" s="80"/>
      <c r="T182" s="78">
        <f>IF(AND($Q182="Yes",$C182&lt;&gt;"",$C182&gt;=TODAY(),$C182&lt;=TODAY()+7),$C182+ROW()/100000,"")</f>
      </c>
      <c r="U182" s="78">
        <f>IF($B182="",0,IF(COUNTIF('CHRISTMAS CALENDAR'!$B$6:$B$205,$B182)&gt;1,1,0))</f>
      </c>
      <c r="V182" s="78">
        <f>IF(OR(N($K182)&gt;0,N($L182)&gt;0),IF($J182="",1,IF(COUNTIF('MASTER BUDGET'!$D$6:$D$25,$J182)=0,1,0)),0)</f>
      </c>
      <c r="W182" s="75"/>
    </row>
    <row r="183" ht="17" customHeight="1" spans="1:23" x14ac:dyDescent="0.25">
      <c r="A183" s="75"/>
      <c r="B183" s="79"/>
      <c r="C183" s="82"/>
      <c r="D183" s="96"/>
      <c r="E183" s="79"/>
      <c r="F183" s="80"/>
      <c r="G183" s="79"/>
      <c r="H183" s="79"/>
      <c r="I183" s="79"/>
      <c r="J183" s="79"/>
      <c r="K183" s="86"/>
      <c r="L183" s="86"/>
      <c r="M183" s="79"/>
      <c r="N183" s="79"/>
      <c r="O183" s="82"/>
      <c r="P183" s="95">
        <f>IF($C183="","",WEEKNUM($C183,IF(Set_WeekStart="Monday",2,1)))</f>
      </c>
      <c r="Q183" s="78">
        <f>IF($B183="","",IF(OR($M183="Complete",$M183="Attended",$M183="Skipped",$M183="Cancelled"),"No","Yes"))</f>
      </c>
      <c r="R183" s="78">
        <f>IF($B183="","",IF($Q183="No","COMPLETE",IF($C183="","NO DATE",IF($C183&lt;TODAY(),"OVERDUE",IF($C183-TODAY()&lt;=7,"THIS WEEK","SCHEDULED")))))</f>
      </c>
      <c r="S183" s="80"/>
      <c r="T183" s="78">
        <f>IF(AND($Q183="Yes",$C183&lt;&gt;"",$C183&gt;=TODAY(),$C183&lt;=TODAY()+7),$C183+ROW()/100000,"")</f>
      </c>
      <c r="U183" s="78">
        <f>IF($B183="",0,IF(COUNTIF('CHRISTMAS CALENDAR'!$B$6:$B$205,$B183)&gt;1,1,0))</f>
      </c>
      <c r="V183" s="78">
        <f>IF(OR(N($K183)&gt;0,N($L183)&gt;0),IF($J183="",1,IF(COUNTIF('MASTER BUDGET'!$D$6:$D$25,$J183)=0,1,0)),0)</f>
      </c>
      <c r="W183" s="75"/>
    </row>
    <row r="184" ht="17" customHeight="1" spans="1:23" x14ac:dyDescent="0.25">
      <c r="A184" s="75"/>
      <c r="B184" s="79"/>
      <c r="C184" s="82"/>
      <c r="D184" s="96"/>
      <c r="E184" s="79"/>
      <c r="F184" s="80"/>
      <c r="G184" s="79"/>
      <c r="H184" s="79"/>
      <c r="I184" s="79"/>
      <c r="J184" s="79"/>
      <c r="K184" s="86"/>
      <c r="L184" s="86"/>
      <c r="M184" s="79"/>
      <c r="N184" s="79"/>
      <c r="O184" s="82"/>
      <c r="P184" s="95">
        <f>IF($C184="","",WEEKNUM($C184,IF(Set_WeekStart="Monday",2,1)))</f>
      </c>
      <c r="Q184" s="78">
        <f>IF($B184="","",IF(OR($M184="Complete",$M184="Attended",$M184="Skipped",$M184="Cancelled"),"No","Yes"))</f>
      </c>
      <c r="R184" s="78">
        <f>IF($B184="","",IF($Q184="No","COMPLETE",IF($C184="","NO DATE",IF($C184&lt;TODAY(),"OVERDUE",IF($C184-TODAY()&lt;=7,"THIS WEEK","SCHEDULED")))))</f>
      </c>
      <c r="S184" s="80"/>
      <c r="T184" s="78">
        <f>IF(AND($Q184="Yes",$C184&lt;&gt;"",$C184&gt;=TODAY(),$C184&lt;=TODAY()+7),$C184+ROW()/100000,"")</f>
      </c>
      <c r="U184" s="78">
        <f>IF($B184="",0,IF(COUNTIF('CHRISTMAS CALENDAR'!$B$6:$B$205,$B184)&gt;1,1,0))</f>
      </c>
      <c r="V184" s="78">
        <f>IF(OR(N($K184)&gt;0,N($L184)&gt;0),IF($J184="",1,IF(COUNTIF('MASTER BUDGET'!$D$6:$D$25,$J184)=0,1,0)),0)</f>
      </c>
      <c r="W184" s="75"/>
    </row>
    <row r="185" ht="17" customHeight="1" spans="1:23" x14ac:dyDescent="0.25">
      <c r="A185" s="75"/>
      <c r="B185" s="79"/>
      <c r="C185" s="82"/>
      <c r="D185" s="96"/>
      <c r="E185" s="79"/>
      <c r="F185" s="80"/>
      <c r="G185" s="79"/>
      <c r="H185" s="79"/>
      <c r="I185" s="79"/>
      <c r="J185" s="79"/>
      <c r="K185" s="86"/>
      <c r="L185" s="86"/>
      <c r="M185" s="79"/>
      <c r="N185" s="79"/>
      <c r="O185" s="82"/>
      <c r="P185" s="95">
        <f>IF($C185="","",WEEKNUM($C185,IF(Set_WeekStart="Monday",2,1)))</f>
      </c>
      <c r="Q185" s="78">
        <f>IF($B185="","",IF(OR($M185="Complete",$M185="Attended",$M185="Skipped",$M185="Cancelled"),"No","Yes"))</f>
      </c>
      <c r="R185" s="78">
        <f>IF($B185="","",IF($Q185="No","COMPLETE",IF($C185="","NO DATE",IF($C185&lt;TODAY(),"OVERDUE",IF($C185-TODAY()&lt;=7,"THIS WEEK","SCHEDULED")))))</f>
      </c>
      <c r="S185" s="80"/>
      <c r="T185" s="78">
        <f>IF(AND($Q185="Yes",$C185&lt;&gt;"",$C185&gt;=TODAY(),$C185&lt;=TODAY()+7),$C185+ROW()/100000,"")</f>
      </c>
      <c r="U185" s="78">
        <f>IF($B185="",0,IF(COUNTIF('CHRISTMAS CALENDAR'!$B$6:$B$205,$B185)&gt;1,1,0))</f>
      </c>
      <c r="V185" s="78">
        <f>IF(OR(N($K185)&gt;0,N($L185)&gt;0),IF($J185="",1,IF(COUNTIF('MASTER BUDGET'!$D$6:$D$25,$J185)=0,1,0)),0)</f>
      </c>
      <c r="W185" s="75"/>
    </row>
    <row r="186" ht="17" customHeight="1" spans="1:23" x14ac:dyDescent="0.25">
      <c r="A186" s="75"/>
      <c r="B186" s="79"/>
      <c r="C186" s="82"/>
      <c r="D186" s="96"/>
      <c r="E186" s="79"/>
      <c r="F186" s="80"/>
      <c r="G186" s="79"/>
      <c r="H186" s="79"/>
      <c r="I186" s="79"/>
      <c r="J186" s="79"/>
      <c r="K186" s="86"/>
      <c r="L186" s="86"/>
      <c r="M186" s="79"/>
      <c r="N186" s="79"/>
      <c r="O186" s="82"/>
      <c r="P186" s="95">
        <f>IF($C186="","",WEEKNUM($C186,IF(Set_WeekStart="Monday",2,1)))</f>
      </c>
      <c r="Q186" s="78">
        <f>IF($B186="","",IF(OR($M186="Complete",$M186="Attended",$M186="Skipped",$M186="Cancelled"),"No","Yes"))</f>
      </c>
      <c r="R186" s="78">
        <f>IF($B186="","",IF($Q186="No","COMPLETE",IF($C186="","NO DATE",IF($C186&lt;TODAY(),"OVERDUE",IF($C186-TODAY()&lt;=7,"THIS WEEK","SCHEDULED")))))</f>
      </c>
      <c r="S186" s="80"/>
      <c r="T186" s="78">
        <f>IF(AND($Q186="Yes",$C186&lt;&gt;"",$C186&gt;=TODAY(),$C186&lt;=TODAY()+7),$C186+ROW()/100000,"")</f>
      </c>
      <c r="U186" s="78">
        <f>IF($B186="",0,IF(COUNTIF('CHRISTMAS CALENDAR'!$B$6:$B$205,$B186)&gt;1,1,0))</f>
      </c>
      <c r="V186" s="78">
        <f>IF(OR(N($K186)&gt;0,N($L186)&gt;0),IF($J186="",1,IF(COUNTIF('MASTER BUDGET'!$D$6:$D$25,$J186)=0,1,0)),0)</f>
      </c>
      <c r="W186" s="75"/>
    </row>
    <row r="187" ht="17" customHeight="1" spans="1:23" x14ac:dyDescent="0.25">
      <c r="A187" s="75"/>
      <c r="B187" s="79"/>
      <c r="C187" s="82"/>
      <c r="D187" s="96"/>
      <c r="E187" s="79"/>
      <c r="F187" s="80"/>
      <c r="G187" s="79"/>
      <c r="H187" s="79"/>
      <c r="I187" s="79"/>
      <c r="J187" s="79"/>
      <c r="K187" s="86"/>
      <c r="L187" s="86"/>
      <c r="M187" s="79"/>
      <c r="N187" s="79"/>
      <c r="O187" s="82"/>
      <c r="P187" s="95">
        <f>IF($C187="","",WEEKNUM($C187,IF(Set_WeekStart="Monday",2,1)))</f>
      </c>
      <c r="Q187" s="78">
        <f>IF($B187="","",IF(OR($M187="Complete",$M187="Attended",$M187="Skipped",$M187="Cancelled"),"No","Yes"))</f>
      </c>
      <c r="R187" s="78">
        <f>IF($B187="","",IF($Q187="No","COMPLETE",IF($C187="","NO DATE",IF($C187&lt;TODAY(),"OVERDUE",IF($C187-TODAY()&lt;=7,"THIS WEEK","SCHEDULED")))))</f>
      </c>
      <c r="S187" s="80"/>
      <c r="T187" s="78">
        <f>IF(AND($Q187="Yes",$C187&lt;&gt;"",$C187&gt;=TODAY(),$C187&lt;=TODAY()+7),$C187+ROW()/100000,"")</f>
      </c>
      <c r="U187" s="78">
        <f>IF($B187="",0,IF(COUNTIF('CHRISTMAS CALENDAR'!$B$6:$B$205,$B187)&gt;1,1,0))</f>
      </c>
      <c r="V187" s="78">
        <f>IF(OR(N($K187)&gt;0,N($L187)&gt;0),IF($J187="",1,IF(COUNTIF('MASTER BUDGET'!$D$6:$D$25,$J187)=0,1,0)),0)</f>
      </c>
      <c r="W187" s="75"/>
    </row>
    <row r="188" ht="17" customHeight="1" spans="1:23" x14ac:dyDescent="0.25">
      <c r="A188" s="75"/>
      <c r="B188" s="79"/>
      <c r="C188" s="82"/>
      <c r="D188" s="96"/>
      <c r="E188" s="79"/>
      <c r="F188" s="80"/>
      <c r="G188" s="79"/>
      <c r="H188" s="79"/>
      <c r="I188" s="79"/>
      <c r="J188" s="79"/>
      <c r="K188" s="86"/>
      <c r="L188" s="86"/>
      <c r="M188" s="79"/>
      <c r="N188" s="79"/>
      <c r="O188" s="82"/>
      <c r="P188" s="95">
        <f>IF($C188="","",WEEKNUM($C188,IF(Set_WeekStart="Monday",2,1)))</f>
      </c>
      <c r="Q188" s="78">
        <f>IF($B188="","",IF(OR($M188="Complete",$M188="Attended",$M188="Skipped",$M188="Cancelled"),"No","Yes"))</f>
      </c>
      <c r="R188" s="78">
        <f>IF($B188="","",IF($Q188="No","COMPLETE",IF($C188="","NO DATE",IF($C188&lt;TODAY(),"OVERDUE",IF($C188-TODAY()&lt;=7,"THIS WEEK","SCHEDULED")))))</f>
      </c>
      <c r="S188" s="80"/>
      <c r="T188" s="78">
        <f>IF(AND($Q188="Yes",$C188&lt;&gt;"",$C188&gt;=TODAY(),$C188&lt;=TODAY()+7),$C188+ROW()/100000,"")</f>
      </c>
      <c r="U188" s="78">
        <f>IF($B188="",0,IF(COUNTIF('CHRISTMAS CALENDAR'!$B$6:$B$205,$B188)&gt;1,1,0))</f>
      </c>
      <c r="V188" s="78">
        <f>IF(OR(N($K188)&gt;0,N($L188)&gt;0),IF($J188="",1,IF(COUNTIF('MASTER BUDGET'!$D$6:$D$25,$J188)=0,1,0)),0)</f>
      </c>
      <c r="W188" s="75"/>
    </row>
    <row r="189" ht="17" customHeight="1" spans="1:23" x14ac:dyDescent="0.25">
      <c r="A189" s="75"/>
      <c r="B189" s="79"/>
      <c r="C189" s="82"/>
      <c r="D189" s="96"/>
      <c r="E189" s="79"/>
      <c r="F189" s="80"/>
      <c r="G189" s="79"/>
      <c r="H189" s="79"/>
      <c r="I189" s="79"/>
      <c r="J189" s="79"/>
      <c r="K189" s="86"/>
      <c r="L189" s="86"/>
      <c r="M189" s="79"/>
      <c r="N189" s="79"/>
      <c r="O189" s="82"/>
      <c r="P189" s="95">
        <f>IF($C189="","",WEEKNUM($C189,IF(Set_WeekStart="Monday",2,1)))</f>
      </c>
      <c r="Q189" s="78">
        <f>IF($B189="","",IF(OR($M189="Complete",$M189="Attended",$M189="Skipped",$M189="Cancelled"),"No","Yes"))</f>
      </c>
      <c r="R189" s="78">
        <f>IF($B189="","",IF($Q189="No","COMPLETE",IF($C189="","NO DATE",IF($C189&lt;TODAY(),"OVERDUE",IF($C189-TODAY()&lt;=7,"THIS WEEK","SCHEDULED")))))</f>
      </c>
      <c r="S189" s="80"/>
      <c r="T189" s="78">
        <f>IF(AND($Q189="Yes",$C189&lt;&gt;"",$C189&gt;=TODAY(),$C189&lt;=TODAY()+7),$C189+ROW()/100000,"")</f>
      </c>
      <c r="U189" s="78">
        <f>IF($B189="",0,IF(COUNTIF('CHRISTMAS CALENDAR'!$B$6:$B$205,$B189)&gt;1,1,0))</f>
      </c>
      <c r="V189" s="78">
        <f>IF(OR(N($K189)&gt;0,N($L189)&gt;0),IF($J189="",1,IF(COUNTIF('MASTER BUDGET'!$D$6:$D$25,$J189)=0,1,0)),0)</f>
      </c>
      <c r="W189" s="75"/>
    </row>
    <row r="190" ht="17" customHeight="1" spans="1:23" x14ac:dyDescent="0.25">
      <c r="A190" s="75"/>
      <c r="B190" s="79"/>
      <c r="C190" s="82"/>
      <c r="D190" s="96"/>
      <c r="E190" s="79"/>
      <c r="F190" s="80"/>
      <c r="G190" s="79"/>
      <c r="H190" s="79"/>
      <c r="I190" s="79"/>
      <c r="J190" s="79"/>
      <c r="K190" s="86"/>
      <c r="L190" s="86"/>
      <c r="M190" s="79"/>
      <c r="N190" s="79"/>
      <c r="O190" s="82"/>
      <c r="P190" s="95">
        <f>IF($C190="","",WEEKNUM($C190,IF(Set_WeekStart="Monday",2,1)))</f>
      </c>
      <c r="Q190" s="78">
        <f>IF($B190="","",IF(OR($M190="Complete",$M190="Attended",$M190="Skipped",$M190="Cancelled"),"No","Yes"))</f>
      </c>
      <c r="R190" s="78">
        <f>IF($B190="","",IF($Q190="No","COMPLETE",IF($C190="","NO DATE",IF($C190&lt;TODAY(),"OVERDUE",IF($C190-TODAY()&lt;=7,"THIS WEEK","SCHEDULED")))))</f>
      </c>
      <c r="S190" s="80"/>
      <c r="T190" s="78">
        <f>IF(AND($Q190="Yes",$C190&lt;&gt;"",$C190&gt;=TODAY(),$C190&lt;=TODAY()+7),$C190+ROW()/100000,"")</f>
      </c>
      <c r="U190" s="78">
        <f>IF($B190="",0,IF(COUNTIF('CHRISTMAS CALENDAR'!$B$6:$B$205,$B190)&gt;1,1,0))</f>
      </c>
      <c r="V190" s="78">
        <f>IF(OR(N($K190)&gt;0,N($L190)&gt;0),IF($J190="",1,IF(COUNTIF('MASTER BUDGET'!$D$6:$D$25,$J190)=0,1,0)),0)</f>
      </c>
      <c r="W190" s="75"/>
    </row>
    <row r="191" ht="17" customHeight="1" spans="1:23" x14ac:dyDescent="0.25">
      <c r="A191" s="75"/>
      <c r="B191" s="79"/>
      <c r="C191" s="82"/>
      <c r="D191" s="96"/>
      <c r="E191" s="79"/>
      <c r="F191" s="80"/>
      <c r="G191" s="79"/>
      <c r="H191" s="79"/>
      <c r="I191" s="79"/>
      <c r="J191" s="79"/>
      <c r="K191" s="86"/>
      <c r="L191" s="86"/>
      <c r="M191" s="79"/>
      <c r="N191" s="79"/>
      <c r="O191" s="82"/>
      <c r="P191" s="95">
        <f>IF($C191="","",WEEKNUM($C191,IF(Set_WeekStart="Monday",2,1)))</f>
      </c>
      <c r="Q191" s="78">
        <f>IF($B191="","",IF(OR($M191="Complete",$M191="Attended",$M191="Skipped",$M191="Cancelled"),"No","Yes"))</f>
      </c>
      <c r="R191" s="78">
        <f>IF($B191="","",IF($Q191="No","COMPLETE",IF($C191="","NO DATE",IF($C191&lt;TODAY(),"OVERDUE",IF($C191-TODAY()&lt;=7,"THIS WEEK","SCHEDULED")))))</f>
      </c>
      <c r="S191" s="80"/>
      <c r="T191" s="78">
        <f>IF(AND($Q191="Yes",$C191&lt;&gt;"",$C191&gt;=TODAY(),$C191&lt;=TODAY()+7),$C191+ROW()/100000,"")</f>
      </c>
      <c r="U191" s="78">
        <f>IF($B191="",0,IF(COUNTIF('CHRISTMAS CALENDAR'!$B$6:$B$205,$B191)&gt;1,1,0))</f>
      </c>
      <c r="V191" s="78">
        <f>IF(OR(N($K191)&gt;0,N($L191)&gt;0),IF($J191="",1,IF(COUNTIF('MASTER BUDGET'!$D$6:$D$25,$J191)=0,1,0)),0)</f>
      </c>
      <c r="W191" s="75"/>
    </row>
    <row r="192" ht="17" customHeight="1" spans="1:23" x14ac:dyDescent="0.25">
      <c r="A192" s="75"/>
      <c r="B192" s="79"/>
      <c r="C192" s="82"/>
      <c r="D192" s="96"/>
      <c r="E192" s="79"/>
      <c r="F192" s="80"/>
      <c r="G192" s="79"/>
      <c r="H192" s="79"/>
      <c r="I192" s="79"/>
      <c r="J192" s="79"/>
      <c r="K192" s="86"/>
      <c r="L192" s="86"/>
      <c r="M192" s="79"/>
      <c r="N192" s="79"/>
      <c r="O192" s="82"/>
      <c r="P192" s="95">
        <f>IF($C192="","",WEEKNUM($C192,IF(Set_WeekStart="Monday",2,1)))</f>
      </c>
      <c r="Q192" s="78">
        <f>IF($B192="","",IF(OR($M192="Complete",$M192="Attended",$M192="Skipped",$M192="Cancelled"),"No","Yes"))</f>
      </c>
      <c r="R192" s="78">
        <f>IF($B192="","",IF($Q192="No","COMPLETE",IF($C192="","NO DATE",IF($C192&lt;TODAY(),"OVERDUE",IF($C192-TODAY()&lt;=7,"THIS WEEK","SCHEDULED")))))</f>
      </c>
      <c r="S192" s="80"/>
      <c r="T192" s="78">
        <f>IF(AND($Q192="Yes",$C192&lt;&gt;"",$C192&gt;=TODAY(),$C192&lt;=TODAY()+7),$C192+ROW()/100000,"")</f>
      </c>
      <c r="U192" s="78">
        <f>IF($B192="",0,IF(COUNTIF('CHRISTMAS CALENDAR'!$B$6:$B$205,$B192)&gt;1,1,0))</f>
      </c>
      <c r="V192" s="78">
        <f>IF(OR(N($K192)&gt;0,N($L192)&gt;0),IF($J192="",1,IF(COUNTIF('MASTER BUDGET'!$D$6:$D$25,$J192)=0,1,0)),0)</f>
      </c>
      <c r="W192" s="75"/>
    </row>
    <row r="193" ht="17" customHeight="1" spans="1:23" x14ac:dyDescent="0.25">
      <c r="A193" s="75"/>
      <c r="B193" s="79"/>
      <c r="C193" s="82"/>
      <c r="D193" s="96"/>
      <c r="E193" s="79"/>
      <c r="F193" s="80"/>
      <c r="G193" s="79"/>
      <c r="H193" s="79"/>
      <c r="I193" s="79"/>
      <c r="J193" s="79"/>
      <c r="K193" s="86"/>
      <c r="L193" s="86"/>
      <c r="M193" s="79"/>
      <c r="N193" s="79"/>
      <c r="O193" s="82"/>
      <c r="P193" s="95">
        <f>IF($C193="","",WEEKNUM($C193,IF(Set_WeekStart="Monday",2,1)))</f>
      </c>
      <c r="Q193" s="78">
        <f>IF($B193="","",IF(OR($M193="Complete",$M193="Attended",$M193="Skipped",$M193="Cancelled"),"No","Yes"))</f>
      </c>
      <c r="R193" s="78">
        <f>IF($B193="","",IF($Q193="No","COMPLETE",IF($C193="","NO DATE",IF($C193&lt;TODAY(),"OVERDUE",IF($C193-TODAY()&lt;=7,"THIS WEEK","SCHEDULED")))))</f>
      </c>
      <c r="S193" s="80"/>
      <c r="T193" s="78">
        <f>IF(AND($Q193="Yes",$C193&lt;&gt;"",$C193&gt;=TODAY(),$C193&lt;=TODAY()+7),$C193+ROW()/100000,"")</f>
      </c>
      <c r="U193" s="78">
        <f>IF($B193="",0,IF(COUNTIF('CHRISTMAS CALENDAR'!$B$6:$B$205,$B193)&gt;1,1,0))</f>
      </c>
      <c r="V193" s="78">
        <f>IF(OR(N($K193)&gt;0,N($L193)&gt;0),IF($J193="",1,IF(COUNTIF('MASTER BUDGET'!$D$6:$D$25,$J193)=0,1,0)),0)</f>
      </c>
      <c r="W193" s="75"/>
    </row>
    <row r="194" ht="17" customHeight="1" spans="1:23" x14ac:dyDescent="0.25">
      <c r="A194" s="75"/>
      <c r="B194" s="79"/>
      <c r="C194" s="82"/>
      <c r="D194" s="96"/>
      <c r="E194" s="79"/>
      <c r="F194" s="80"/>
      <c r="G194" s="79"/>
      <c r="H194" s="79"/>
      <c r="I194" s="79"/>
      <c r="J194" s="79"/>
      <c r="K194" s="86"/>
      <c r="L194" s="86"/>
      <c r="M194" s="79"/>
      <c r="N194" s="79"/>
      <c r="O194" s="82"/>
      <c r="P194" s="95">
        <f>IF($C194="","",WEEKNUM($C194,IF(Set_WeekStart="Monday",2,1)))</f>
      </c>
      <c r="Q194" s="78">
        <f>IF($B194="","",IF(OR($M194="Complete",$M194="Attended",$M194="Skipped",$M194="Cancelled"),"No","Yes"))</f>
      </c>
      <c r="R194" s="78">
        <f>IF($B194="","",IF($Q194="No","COMPLETE",IF($C194="","NO DATE",IF($C194&lt;TODAY(),"OVERDUE",IF($C194-TODAY()&lt;=7,"THIS WEEK","SCHEDULED")))))</f>
      </c>
      <c r="S194" s="80"/>
      <c r="T194" s="78">
        <f>IF(AND($Q194="Yes",$C194&lt;&gt;"",$C194&gt;=TODAY(),$C194&lt;=TODAY()+7),$C194+ROW()/100000,"")</f>
      </c>
      <c r="U194" s="78">
        <f>IF($B194="",0,IF(COUNTIF('CHRISTMAS CALENDAR'!$B$6:$B$205,$B194)&gt;1,1,0))</f>
      </c>
      <c r="V194" s="78">
        <f>IF(OR(N($K194)&gt;0,N($L194)&gt;0),IF($J194="",1,IF(COUNTIF('MASTER BUDGET'!$D$6:$D$25,$J194)=0,1,0)),0)</f>
      </c>
      <c r="W194" s="75"/>
    </row>
    <row r="195" ht="17" customHeight="1" spans="1:23" x14ac:dyDescent="0.25">
      <c r="A195" s="75"/>
      <c r="B195" s="79"/>
      <c r="C195" s="82"/>
      <c r="D195" s="96"/>
      <c r="E195" s="79"/>
      <c r="F195" s="80"/>
      <c r="G195" s="79"/>
      <c r="H195" s="79"/>
      <c r="I195" s="79"/>
      <c r="J195" s="79"/>
      <c r="K195" s="86"/>
      <c r="L195" s="86"/>
      <c r="M195" s="79"/>
      <c r="N195" s="79"/>
      <c r="O195" s="82"/>
      <c r="P195" s="95">
        <f>IF($C195="","",WEEKNUM($C195,IF(Set_WeekStart="Monday",2,1)))</f>
      </c>
      <c r="Q195" s="78">
        <f>IF($B195="","",IF(OR($M195="Complete",$M195="Attended",$M195="Skipped",$M195="Cancelled"),"No","Yes"))</f>
      </c>
      <c r="R195" s="78">
        <f>IF($B195="","",IF($Q195="No","COMPLETE",IF($C195="","NO DATE",IF($C195&lt;TODAY(),"OVERDUE",IF($C195-TODAY()&lt;=7,"THIS WEEK","SCHEDULED")))))</f>
      </c>
      <c r="S195" s="80"/>
      <c r="T195" s="78">
        <f>IF(AND($Q195="Yes",$C195&lt;&gt;"",$C195&gt;=TODAY(),$C195&lt;=TODAY()+7),$C195+ROW()/100000,"")</f>
      </c>
      <c r="U195" s="78">
        <f>IF($B195="",0,IF(COUNTIF('CHRISTMAS CALENDAR'!$B$6:$B$205,$B195)&gt;1,1,0))</f>
      </c>
      <c r="V195" s="78">
        <f>IF(OR(N($K195)&gt;0,N($L195)&gt;0),IF($J195="",1,IF(COUNTIF('MASTER BUDGET'!$D$6:$D$25,$J195)=0,1,0)),0)</f>
      </c>
      <c r="W195" s="75"/>
    </row>
    <row r="196" ht="17" customHeight="1" spans="1:23" x14ac:dyDescent="0.25">
      <c r="A196" s="75"/>
      <c r="B196" s="79"/>
      <c r="C196" s="82"/>
      <c r="D196" s="96"/>
      <c r="E196" s="79"/>
      <c r="F196" s="80"/>
      <c r="G196" s="79"/>
      <c r="H196" s="79"/>
      <c r="I196" s="79"/>
      <c r="J196" s="79"/>
      <c r="K196" s="86"/>
      <c r="L196" s="86"/>
      <c r="M196" s="79"/>
      <c r="N196" s="79"/>
      <c r="O196" s="82"/>
      <c r="P196" s="95">
        <f>IF($C196="","",WEEKNUM($C196,IF(Set_WeekStart="Monday",2,1)))</f>
      </c>
      <c r="Q196" s="78">
        <f>IF($B196="","",IF(OR($M196="Complete",$M196="Attended",$M196="Skipped",$M196="Cancelled"),"No","Yes"))</f>
      </c>
      <c r="R196" s="78">
        <f>IF($B196="","",IF($Q196="No","COMPLETE",IF($C196="","NO DATE",IF($C196&lt;TODAY(),"OVERDUE",IF($C196-TODAY()&lt;=7,"THIS WEEK","SCHEDULED")))))</f>
      </c>
      <c r="S196" s="80"/>
      <c r="T196" s="78">
        <f>IF(AND($Q196="Yes",$C196&lt;&gt;"",$C196&gt;=TODAY(),$C196&lt;=TODAY()+7),$C196+ROW()/100000,"")</f>
      </c>
      <c r="U196" s="78">
        <f>IF($B196="",0,IF(COUNTIF('CHRISTMAS CALENDAR'!$B$6:$B$205,$B196)&gt;1,1,0))</f>
      </c>
      <c r="V196" s="78">
        <f>IF(OR(N($K196)&gt;0,N($L196)&gt;0),IF($J196="",1,IF(COUNTIF('MASTER BUDGET'!$D$6:$D$25,$J196)=0,1,0)),0)</f>
      </c>
      <c r="W196" s="75"/>
    </row>
    <row r="197" ht="17" customHeight="1" spans="1:23" x14ac:dyDescent="0.25">
      <c r="A197" s="75"/>
      <c r="B197" s="79"/>
      <c r="C197" s="82"/>
      <c r="D197" s="96"/>
      <c r="E197" s="79"/>
      <c r="F197" s="80"/>
      <c r="G197" s="79"/>
      <c r="H197" s="79"/>
      <c r="I197" s="79"/>
      <c r="J197" s="79"/>
      <c r="K197" s="86"/>
      <c r="L197" s="86"/>
      <c r="M197" s="79"/>
      <c r="N197" s="79"/>
      <c r="O197" s="82"/>
      <c r="P197" s="95">
        <f>IF($C197="","",WEEKNUM($C197,IF(Set_WeekStart="Monday",2,1)))</f>
      </c>
      <c r="Q197" s="78">
        <f>IF($B197="","",IF(OR($M197="Complete",$M197="Attended",$M197="Skipped",$M197="Cancelled"),"No","Yes"))</f>
      </c>
      <c r="R197" s="78">
        <f>IF($B197="","",IF($Q197="No","COMPLETE",IF($C197="","NO DATE",IF($C197&lt;TODAY(),"OVERDUE",IF($C197-TODAY()&lt;=7,"THIS WEEK","SCHEDULED")))))</f>
      </c>
      <c r="S197" s="80"/>
      <c r="T197" s="78">
        <f>IF(AND($Q197="Yes",$C197&lt;&gt;"",$C197&gt;=TODAY(),$C197&lt;=TODAY()+7),$C197+ROW()/100000,"")</f>
      </c>
      <c r="U197" s="78">
        <f>IF($B197="",0,IF(COUNTIF('CHRISTMAS CALENDAR'!$B$6:$B$205,$B197)&gt;1,1,0))</f>
      </c>
      <c r="V197" s="78">
        <f>IF(OR(N($K197)&gt;0,N($L197)&gt;0),IF($J197="",1,IF(COUNTIF('MASTER BUDGET'!$D$6:$D$25,$J197)=0,1,0)),0)</f>
      </c>
      <c r="W197" s="75"/>
    </row>
    <row r="198" ht="17" customHeight="1" spans="1:23" x14ac:dyDescent="0.25">
      <c r="A198" s="75"/>
      <c r="B198" s="79"/>
      <c r="C198" s="82"/>
      <c r="D198" s="96"/>
      <c r="E198" s="79"/>
      <c r="F198" s="80"/>
      <c r="G198" s="79"/>
      <c r="H198" s="79"/>
      <c r="I198" s="79"/>
      <c r="J198" s="79"/>
      <c r="K198" s="86"/>
      <c r="L198" s="86"/>
      <c r="M198" s="79"/>
      <c r="N198" s="79"/>
      <c r="O198" s="82"/>
      <c r="P198" s="95">
        <f>IF($C198="","",WEEKNUM($C198,IF(Set_WeekStart="Monday",2,1)))</f>
      </c>
      <c r="Q198" s="78">
        <f>IF($B198="","",IF(OR($M198="Complete",$M198="Attended",$M198="Skipped",$M198="Cancelled"),"No","Yes"))</f>
      </c>
      <c r="R198" s="78">
        <f>IF($B198="","",IF($Q198="No","COMPLETE",IF($C198="","NO DATE",IF($C198&lt;TODAY(),"OVERDUE",IF($C198-TODAY()&lt;=7,"THIS WEEK","SCHEDULED")))))</f>
      </c>
      <c r="S198" s="80"/>
      <c r="T198" s="78">
        <f>IF(AND($Q198="Yes",$C198&lt;&gt;"",$C198&gt;=TODAY(),$C198&lt;=TODAY()+7),$C198+ROW()/100000,"")</f>
      </c>
      <c r="U198" s="78">
        <f>IF($B198="",0,IF(COUNTIF('CHRISTMAS CALENDAR'!$B$6:$B$205,$B198)&gt;1,1,0))</f>
      </c>
      <c r="V198" s="78">
        <f>IF(OR(N($K198)&gt;0,N($L198)&gt;0),IF($J198="",1,IF(COUNTIF('MASTER BUDGET'!$D$6:$D$25,$J198)=0,1,0)),0)</f>
      </c>
      <c r="W198" s="75"/>
    </row>
    <row r="199" ht="17" customHeight="1" spans="1:23" x14ac:dyDescent="0.25">
      <c r="A199" s="75"/>
      <c r="B199" s="79"/>
      <c r="C199" s="82"/>
      <c r="D199" s="96"/>
      <c r="E199" s="79"/>
      <c r="F199" s="80"/>
      <c r="G199" s="79"/>
      <c r="H199" s="79"/>
      <c r="I199" s="79"/>
      <c r="J199" s="79"/>
      <c r="K199" s="86"/>
      <c r="L199" s="86"/>
      <c r="M199" s="79"/>
      <c r="N199" s="79"/>
      <c r="O199" s="82"/>
      <c r="P199" s="95">
        <f>IF($C199="","",WEEKNUM($C199,IF(Set_WeekStart="Monday",2,1)))</f>
      </c>
      <c r="Q199" s="78">
        <f>IF($B199="","",IF(OR($M199="Complete",$M199="Attended",$M199="Skipped",$M199="Cancelled"),"No","Yes"))</f>
      </c>
      <c r="R199" s="78">
        <f>IF($B199="","",IF($Q199="No","COMPLETE",IF($C199="","NO DATE",IF($C199&lt;TODAY(),"OVERDUE",IF($C199-TODAY()&lt;=7,"THIS WEEK","SCHEDULED")))))</f>
      </c>
      <c r="S199" s="80"/>
      <c r="T199" s="78">
        <f>IF(AND($Q199="Yes",$C199&lt;&gt;"",$C199&gt;=TODAY(),$C199&lt;=TODAY()+7),$C199+ROW()/100000,"")</f>
      </c>
      <c r="U199" s="78">
        <f>IF($B199="",0,IF(COUNTIF('CHRISTMAS CALENDAR'!$B$6:$B$205,$B199)&gt;1,1,0))</f>
      </c>
      <c r="V199" s="78">
        <f>IF(OR(N($K199)&gt;0,N($L199)&gt;0),IF($J199="",1,IF(COUNTIF('MASTER BUDGET'!$D$6:$D$25,$J199)=0,1,0)),0)</f>
      </c>
      <c r="W199" s="75"/>
    </row>
    <row r="200" ht="17" customHeight="1" spans="1:23" x14ac:dyDescent="0.25">
      <c r="A200" s="75"/>
      <c r="B200" s="79"/>
      <c r="C200" s="82"/>
      <c r="D200" s="96"/>
      <c r="E200" s="79"/>
      <c r="F200" s="80"/>
      <c r="G200" s="79"/>
      <c r="H200" s="79"/>
      <c r="I200" s="79"/>
      <c r="J200" s="79"/>
      <c r="K200" s="86"/>
      <c r="L200" s="86"/>
      <c r="M200" s="79"/>
      <c r="N200" s="79"/>
      <c r="O200" s="82"/>
      <c r="P200" s="95">
        <f>IF($C200="","",WEEKNUM($C200,IF(Set_WeekStart="Monday",2,1)))</f>
      </c>
      <c r="Q200" s="78">
        <f>IF($B200="","",IF(OR($M200="Complete",$M200="Attended",$M200="Skipped",$M200="Cancelled"),"No","Yes"))</f>
      </c>
      <c r="R200" s="78">
        <f>IF($B200="","",IF($Q200="No","COMPLETE",IF($C200="","NO DATE",IF($C200&lt;TODAY(),"OVERDUE",IF($C200-TODAY()&lt;=7,"THIS WEEK","SCHEDULED")))))</f>
      </c>
      <c r="S200" s="80"/>
      <c r="T200" s="78">
        <f>IF(AND($Q200="Yes",$C200&lt;&gt;"",$C200&gt;=TODAY(),$C200&lt;=TODAY()+7),$C200+ROW()/100000,"")</f>
      </c>
      <c r="U200" s="78">
        <f>IF($B200="",0,IF(COUNTIF('CHRISTMAS CALENDAR'!$B$6:$B$205,$B200)&gt;1,1,0))</f>
      </c>
      <c r="V200" s="78">
        <f>IF(OR(N($K200)&gt;0,N($L200)&gt;0),IF($J200="",1,IF(COUNTIF('MASTER BUDGET'!$D$6:$D$25,$J200)=0,1,0)),0)</f>
      </c>
      <c r="W200" s="75"/>
    </row>
    <row r="201" ht="17" customHeight="1" spans="1:23" x14ac:dyDescent="0.25">
      <c r="A201" s="75"/>
      <c r="B201" s="79"/>
      <c r="C201" s="82"/>
      <c r="D201" s="96"/>
      <c r="E201" s="79"/>
      <c r="F201" s="80"/>
      <c r="G201" s="79"/>
      <c r="H201" s="79"/>
      <c r="I201" s="79"/>
      <c r="J201" s="79"/>
      <c r="K201" s="86"/>
      <c r="L201" s="86"/>
      <c r="M201" s="79"/>
      <c r="N201" s="79"/>
      <c r="O201" s="82"/>
      <c r="P201" s="95">
        <f>IF($C201="","",WEEKNUM($C201,IF(Set_WeekStart="Monday",2,1)))</f>
      </c>
      <c r="Q201" s="78">
        <f>IF($B201="","",IF(OR($M201="Complete",$M201="Attended",$M201="Skipped",$M201="Cancelled"),"No","Yes"))</f>
      </c>
      <c r="R201" s="78">
        <f>IF($B201="","",IF($Q201="No","COMPLETE",IF($C201="","NO DATE",IF($C201&lt;TODAY(),"OVERDUE",IF($C201-TODAY()&lt;=7,"THIS WEEK","SCHEDULED")))))</f>
      </c>
      <c r="S201" s="80"/>
      <c r="T201" s="78">
        <f>IF(AND($Q201="Yes",$C201&lt;&gt;"",$C201&gt;=TODAY(),$C201&lt;=TODAY()+7),$C201+ROW()/100000,"")</f>
      </c>
      <c r="U201" s="78">
        <f>IF($B201="",0,IF(COUNTIF('CHRISTMAS CALENDAR'!$B$6:$B$205,$B201)&gt;1,1,0))</f>
      </c>
      <c r="V201" s="78">
        <f>IF(OR(N($K201)&gt;0,N($L201)&gt;0),IF($J201="",1,IF(COUNTIF('MASTER BUDGET'!$D$6:$D$25,$J201)=0,1,0)),0)</f>
      </c>
      <c r="W201" s="75"/>
    </row>
    <row r="202" ht="17" customHeight="1" spans="1:23" x14ac:dyDescent="0.25">
      <c r="A202" s="75"/>
      <c r="B202" s="79"/>
      <c r="C202" s="82"/>
      <c r="D202" s="96"/>
      <c r="E202" s="79"/>
      <c r="F202" s="80"/>
      <c r="G202" s="79"/>
      <c r="H202" s="79"/>
      <c r="I202" s="79"/>
      <c r="J202" s="79"/>
      <c r="K202" s="86"/>
      <c r="L202" s="86"/>
      <c r="M202" s="79"/>
      <c r="N202" s="79"/>
      <c r="O202" s="82"/>
      <c r="P202" s="95">
        <f>IF($C202="","",WEEKNUM($C202,IF(Set_WeekStart="Monday",2,1)))</f>
      </c>
      <c r="Q202" s="78">
        <f>IF($B202="","",IF(OR($M202="Complete",$M202="Attended",$M202="Skipped",$M202="Cancelled"),"No","Yes"))</f>
      </c>
      <c r="R202" s="78">
        <f>IF($B202="","",IF($Q202="No","COMPLETE",IF($C202="","NO DATE",IF($C202&lt;TODAY(),"OVERDUE",IF($C202-TODAY()&lt;=7,"THIS WEEK","SCHEDULED")))))</f>
      </c>
      <c r="S202" s="80"/>
      <c r="T202" s="78">
        <f>IF(AND($Q202="Yes",$C202&lt;&gt;"",$C202&gt;=TODAY(),$C202&lt;=TODAY()+7),$C202+ROW()/100000,"")</f>
      </c>
      <c r="U202" s="78">
        <f>IF($B202="",0,IF(COUNTIF('CHRISTMAS CALENDAR'!$B$6:$B$205,$B202)&gt;1,1,0))</f>
      </c>
      <c r="V202" s="78">
        <f>IF(OR(N($K202)&gt;0,N($L202)&gt;0),IF($J202="",1,IF(COUNTIF('MASTER BUDGET'!$D$6:$D$25,$J202)=0,1,0)),0)</f>
      </c>
      <c r="W202" s="75"/>
    </row>
    <row r="203" ht="17" customHeight="1" spans="1:23" x14ac:dyDescent="0.25">
      <c r="A203" s="75"/>
      <c r="B203" s="79"/>
      <c r="C203" s="82"/>
      <c r="D203" s="96"/>
      <c r="E203" s="79"/>
      <c r="F203" s="80"/>
      <c r="G203" s="79"/>
      <c r="H203" s="79"/>
      <c r="I203" s="79"/>
      <c r="J203" s="79"/>
      <c r="K203" s="86"/>
      <c r="L203" s="86"/>
      <c r="M203" s="79"/>
      <c r="N203" s="79"/>
      <c r="O203" s="82"/>
      <c r="P203" s="95">
        <f>IF($C203="","",WEEKNUM($C203,IF(Set_WeekStart="Monday",2,1)))</f>
      </c>
      <c r="Q203" s="78">
        <f>IF($B203="","",IF(OR($M203="Complete",$M203="Attended",$M203="Skipped",$M203="Cancelled"),"No","Yes"))</f>
      </c>
      <c r="R203" s="78">
        <f>IF($B203="","",IF($Q203="No","COMPLETE",IF($C203="","NO DATE",IF($C203&lt;TODAY(),"OVERDUE",IF($C203-TODAY()&lt;=7,"THIS WEEK","SCHEDULED")))))</f>
      </c>
      <c r="S203" s="80"/>
      <c r="T203" s="78">
        <f>IF(AND($Q203="Yes",$C203&lt;&gt;"",$C203&gt;=TODAY(),$C203&lt;=TODAY()+7),$C203+ROW()/100000,"")</f>
      </c>
      <c r="U203" s="78">
        <f>IF($B203="",0,IF(COUNTIF('CHRISTMAS CALENDAR'!$B$6:$B$205,$B203)&gt;1,1,0))</f>
      </c>
      <c r="V203" s="78">
        <f>IF(OR(N($K203)&gt;0,N($L203)&gt;0),IF($J203="",1,IF(COUNTIF('MASTER BUDGET'!$D$6:$D$25,$J203)=0,1,0)),0)</f>
      </c>
      <c r="W203" s="75"/>
    </row>
    <row r="204" ht="17" customHeight="1" spans="1:23" x14ac:dyDescent="0.25">
      <c r="A204" s="75"/>
      <c r="B204" s="79"/>
      <c r="C204" s="82"/>
      <c r="D204" s="96"/>
      <c r="E204" s="79"/>
      <c r="F204" s="80"/>
      <c r="G204" s="79"/>
      <c r="H204" s="79"/>
      <c r="I204" s="79"/>
      <c r="J204" s="79"/>
      <c r="K204" s="86"/>
      <c r="L204" s="86"/>
      <c r="M204" s="79"/>
      <c r="N204" s="79"/>
      <c r="O204" s="82"/>
      <c r="P204" s="95">
        <f>IF($C204="","",WEEKNUM($C204,IF(Set_WeekStart="Monday",2,1)))</f>
      </c>
      <c r="Q204" s="78">
        <f>IF($B204="","",IF(OR($M204="Complete",$M204="Attended",$M204="Skipped",$M204="Cancelled"),"No","Yes"))</f>
      </c>
      <c r="R204" s="78">
        <f>IF($B204="","",IF($Q204="No","COMPLETE",IF($C204="","NO DATE",IF($C204&lt;TODAY(),"OVERDUE",IF($C204-TODAY()&lt;=7,"THIS WEEK","SCHEDULED")))))</f>
      </c>
      <c r="S204" s="80"/>
      <c r="T204" s="78">
        <f>IF(AND($Q204="Yes",$C204&lt;&gt;"",$C204&gt;=TODAY(),$C204&lt;=TODAY()+7),$C204+ROW()/100000,"")</f>
      </c>
      <c r="U204" s="78">
        <f>IF($B204="",0,IF(COUNTIF('CHRISTMAS CALENDAR'!$B$6:$B$205,$B204)&gt;1,1,0))</f>
      </c>
      <c r="V204" s="78">
        <f>IF(OR(N($K204)&gt;0,N($L204)&gt;0),IF($J204="",1,IF(COUNTIF('MASTER BUDGET'!$D$6:$D$25,$J204)=0,1,0)),0)</f>
      </c>
      <c r="W204" s="75"/>
    </row>
    <row r="205" ht="17" customHeight="1" spans="1:23" x14ac:dyDescent="0.25">
      <c r="A205" s="75"/>
      <c r="B205" s="79"/>
      <c r="C205" s="82"/>
      <c r="D205" s="96"/>
      <c r="E205" s="79"/>
      <c r="F205" s="80"/>
      <c r="G205" s="79"/>
      <c r="H205" s="79"/>
      <c r="I205" s="79"/>
      <c r="J205" s="79"/>
      <c r="K205" s="86"/>
      <c r="L205" s="86"/>
      <c r="M205" s="79"/>
      <c r="N205" s="79"/>
      <c r="O205" s="82"/>
      <c r="P205" s="95">
        <f>IF($C205="","",WEEKNUM($C205,IF(Set_WeekStart="Monday",2,1)))</f>
      </c>
      <c r="Q205" s="78">
        <f>IF($B205="","",IF(OR($M205="Complete",$M205="Attended",$M205="Skipped",$M205="Cancelled"),"No","Yes"))</f>
      </c>
      <c r="R205" s="78">
        <f>IF($B205="","",IF($Q205="No","COMPLETE",IF($C205="","NO DATE",IF($C205&lt;TODAY(),"OVERDUE",IF($C205-TODAY()&lt;=7,"THIS WEEK","SCHEDULED")))))</f>
      </c>
      <c r="S205" s="80"/>
      <c r="T205" s="78">
        <f>IF(AND($Q205="Yes",$C205&lt;&gt;"",$C205&gt;=TODAY(),$C205&lt;=TODAY()+7),$C205+ROW()/100000,"")</f>
      </c>
      <c r="U205" s="78">
        <f>IF($B205="",0,IF(COUNTIF('CHRISTMAS CALENDAR'!$B$6:$B$205,$B205)&gt;1,1,0))</f>
      </c>
      <c r="V205" s="78">
        <f>IF(OR(N($K205)&gt;0,N($L205)&gt;0),IF($J205="",1,IF(COUNTIF('MASTER BUDGET'!$D$6:$D$25,$J205)=0,1,0)),0)</f>
      </c>
      <c r="W205" s="75"/>
    </row>
    <row r="207" spans="2:2" x14ac:dyDescent="0.25">
      <c r="B207" s="91" t="s">
        <v>439</v>
      </c>
    </row>
  </sheetData>
  <autoFilter ref="B5:V205"/>
  <mergeCells count="2">
    <mergeCell ref="B1:C1"/>
    <mergeCell ref="D1:E1"/>
  </mergeCells>
  <conditionalFormatting sqref="R6:R205">
    <cfRule type="containsText" dxfId="205" priority="1">
      <formula>NOT(ISERROR(SEARCH("OVER BUDGET",R6)))</formula>
    </cfRule>
  </conditionalFormatting>
  <conditionalFormatting sqref="R6:R205">
    <cfRule type="containsText" dxfId="206" priority="2">
      <formula>NOT(ISERROR(SEARCH("OVERDUE",R6)))</formula>
    </cfRule>
  </conditionalFormatting>
  <conditionalFormatting sqref="R6:R205">
    <cfRule type="containsText" dxfId="207" priority="3">
      <formula>NOT(ISERROR(SEARCH("LATE",R6)))</formula>
    </cfRule>
  </conditionalFormatting>
  <conditionalFormatting sqref="R6:R205">
    <cfRule type="containsText" dxfId="208" priority="4">
      <formula>NOT(ISERROR(SEARCH("WINDOW CLOSED",R6)))</formula>
    </cfRule>
  </conditionalFormatting>
  <conditionalFormatting sqref="R6:R205">
    <cfRule type="containsText" dxfId="209" priority="5">
      <formula>NOT(ISERROR(SEARCH("BALANCE OVERDUE",R6)))</formula>
    </cfRule>
  </conditionalFormatting>
  <conditionalFormatting sqref="R6:R205">
    <cfRule type="containsText" dxfId="210" priority="6">
      <formula>NOT(ISERROR(SEARCH("PREP OVERDUE",R6)))</formula>
    </cfRule>
  </conditionalFormatting>
  <conditionalFormatting sqref="R6:R205">
    <cfRule type="containsText" dxfId="211" priority="7">
      <formula>NOT(ISERROR(SEARCH("CHECK DUPLICATE",R6)))</formula>
    </cfRule>
  </conditionalFormatting>
  <conditionalFormatting sqref="R6:R205">
    <cfRule type="containsText" dxfId="212" priority="8">
      <formula>NOT(ISERROR(SEARCH("MISSING DATE",R6)))</formula>
    </cfRule>
  </conditionalFormatting>
  <conditionalFormatting sqref="R6:R205">
    <cfRule type="containsText" dxfId="213" priority="9">
      <formula>NOT(ISERROR(SEARCH("NOT FOUND",R6)))</formula>
    </cfRule>
  </conditionalFormatting>
  <conditionalFormatting sqref="R6:R205">
    <cfRule type="containsText" dxfId="214" priority="10">
      <formula>NOT(ISERROR(SEARCH("NEAR LIMIT",R6)))</formula>
    </cfRule>
  </conditionalFormatting>
  <conditionalFormatting sqref="R6:R205">
    <cfRule type="containsText" dxfId="215" priority="11">
      <formula>NOT(ISERROR(SEARCH("THIS WEEK",R6)))</formula>
    </cfRule>
  </conditionalFormatting>
  <conditionalFormatting sqref="R6:R205">
    <cfRule type="containsText" dxfId="216" priority="12">
      <formula>NOT(ISERROR(SEARCH("CLOSING SOON",R6)))</formula>
    </cfRule>
  </conditionalFormatting>
  <conditionalFormatting sqref="R6:R205">
    <cfRule type="containsText" dxfId="217" priority="13">
      <formula>NOT(ISERROR(SEARCH("NO TRACKING",R6)))</formula>
    </cfRule>
  </conditionalFormatting>
  <conditionalFormatting sqref="R6:R205">
    <cfRule type="containsText" dxfId="218" priority="14">
      <formula>NOT(ISERROR(SEARCH("LOW",R6)))</formula>
    </cfRule>
  </conditionalFormatting>
  <conditionalFormatting sqref="R6:R205">
    <cfRule type="containsText" dxfId="219" priority="15">
      <formula>NOT(ISERROR(SEARCH("AWAITING REFUND",R6)))</formula>
    </cfRule>
  </conditionalFormatting>
  <conditionalFormatting sqref="R6:R205">
    <cfRule type="containsText" dxfId="220" priority="16">
      <formula>NOT(ISERROR(SEARCH("BALANCE DUE SOON",R6)))</formula>
    </cfRule>
  </conditionalFormatting>
  <conditionalFormatting sqref="R6:R205">
    <cfRule type="containsText" dxfId="221" priority="17">
      <formula>NOT(ISERROR(SEARCH("TO BUY",R6)))</formula>
    </cfRule>
  </conditionalFormatting>
  <conditionalFormatting sqref="R6:R205">
    <cfRule type="containsText" dxfId="222" priority="18">
      <formula>NOT(ISERROR(SEARCH("NO DATE",R6)))</formula>
    </cfRule>
  </conditionalFormatting>
  <conditionalFormatting sqref="R6:R205">
    <cfRule type="containsText" dxfId="223" priority="19">
      <formula>NOT(ISERROR(SEARCH("NO COUNT",R6)))</formula>
    </cfRule>
  </conditionalFormatting>
  <conditionalFormatting sqref="R6:R205">
    <cfRule type="containsText" dxfId="224" priority="20">
      <formula>NOT(ISERROR(SEARCH("ON TRACK",R6)))</formula>
    </cfRule>
  </conditionalFormatting>
  <conditionalFormatting sqref="R6:R205">
    <cfRule type="containsText" dxfId="225" priority="21">
      <formula>NOT(ISERROR(SEARCH("COMPLETE",R6)))</formula>
    </cfRule>
  </conditionalFormatting>
  <conditionalFormatting sqref="R6:R205">
    <cfRule type="containsText" dxfId="226" priority="22">
      <formula>NOT(ISERROR(SEARCH("DONE",R6)))</formula>
    </cfRule>
  </conditionalFormatting>
  <conditionalFormatting sqref="R6:R205">
    <cfRule type="containsText" dxfId="227" priority="23">
      <formula>NOT(ISERROR(SEARCH("ARRIVED",R6)))</formula>
    </cfRule>
  </conditionalFormatting>
  <conditionalFormatting sqref="R6:R205">
    <cfRule type="containsText" dxfId="228" priority="24">
      <formula>NOT(ISERROR(SEARCH("SETTLED",R6)))</formula>
    </cfRule>
  </conditionalFormatting>
  <conditionalFormatting sqref="R6:R205">
    <cfRule type="containsText" dxfId="229" priority="25">
      <formula>NOT(ISERROR(SEARCH("AT BUDGET",R6)))</formula>
    </cfRule>
  </conditionalFormatting>
  <conditionalFormatting sqref="R6:R205">
    <cfRule type="containsText" dxfId="230" priority="26">
      <formula>NOT(ISERROR(SEARCH("IN STOCK",R6)))</formula>
    </cfRule>
  </conditionalFormatting>
  <conditionalFormatting sqref="R6:R205">
    <cfRule type="containsText" dxfId="231" priority="27">
      <formula>NOT(ISERROR(SEARCH("BOUGHT",R6)))</formula>
    </cfRule>
  </conditionalFormatting>
  <conditionalFormatting sqref="R6:R205">
    <cfRule type="containsText" dxfId="232" priority="28">
      <formula>NOT(ISERROR(SEARCH("READY",R6)))</formula>
    </cfRule>
  </conditionalFormatting>
  <conditionalFormatting sqref="R6:R205">
    <cfRule type="containsText" dxfId="233" priority="29">
      <formula>NOT(ISERROR(SEARCH("NOT SET",R6)))</formula>
    </cfRule>
  </conditionalFormatting>
  <conditionalFormatting sqref="R6:R205">
    <cfRule type="containsText" dxfId="234" priority="30">
      <formula>NOT(ISERROR(SEARCH("NOT STARTED",R6)))</formula>
    </cfRule>
  </conditionalFormatting>
  <conditionalFormatting sqref="R6:R205">
    <cfRule type="containsText" dxfId="235" priority="31">
      <formula>NOT(ISERROR(SEARCH("SCHEDULED",R6)))</formula>
    </cfRule>
  </conditionalFormatting>
  <conditionalFormatting sqref="R6:R205">
    <cfRule type="containsText" dxfId="236" priority="32">
      <formula>NOT(ISERROR(SEARCH("CLOSED",R6)))</formula>
    </cfRule>
  </conditionalFormatting>
  <conditionalFormatting sqref="R6:R205">
    <cfRule type="containsText" dxfId="237" priority="33">
      <formula>NOT(ISERROR(SEARCH("IN THE PANTRY",R6)))</formula>
    </cfRule>
  </conditionalFormatting>
  <conditionalFormatting sqref="R6:R205">
    <cfRule type="containsText" dxfId="238" priority="34">
      <formula>NOT(ISERROR(SEARCH("BALANCE OPEN",R6)))</formula>
    </cfRule>
  </conditionalFormatting>
  <dataValidations count="9">
    <dataValidation type="custom" allowBlank="1" showErrorMessage="1" errorStyle="warning" errorTitle="That is not a date yet" error="Type a real date, so the workbook can count days with it. &quot;Before Christmas&quot; cannot be sorted." sqref="C6:C205">
      <formula1>=OR(C6="",ISNUMBER(C6))</formula1>
    </dataValidation>
    <dataValidation type="custom" allowBlank="1" showErrorMessage="1" errorStyle="warning" errorTitle="That is not a date yet" error="Type a real date, so the workbook can count days with it. &quot;Before Christmas&quot; cannot be sorted." sqref="D6:D205">
      <formula1>=OR(D6="",ISNUMBER(D6))</formula1>
    </dataValidation>
    <dataValidation type="list" allowBlank="1" showErrorMessage="1" errorStyle="warning" errorTitle="Not one of the usual values" error="This column normally uses a value from the CalendarType list on LISTS. You can keep what you typed, or add it to the list so it appears in the dropdown." sqref="E6:E205">
      <formula1>=List_CalendarType</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J6:J205">
      <formula1>=List_BudgetCategory</formula1>
    </dataValidation>
    <dataValidation type="custom" allowBlank="1" showErrorMessage="1" errorStyle="warning" errorTitle="That looks like text" error="Type the number on its own — no currency symbol and no words. The column adds the symbol for you." sqref="K6:K205">
      <formula1>=OR(K6="",ISNUMBER(K6))</formula1>
    </dataValidation>
    <dataValidation type="custom" allowBlank="1" showErrorMessage="1" errorStyle="warning" errorTitle="That looks like text" error="Type the number on its own — no currency symbol and no words. The column adds the symbol for you." sqref="L6:L205">
      <formula1>=OR(L6="",ISNUMBER(L6))</formula1>
    </dataValidation>
    <dataValidation type="list" allowBlank="1" showErrorMessage="1" errorStyle="warning" errorTitle="Not one of the usual values" error="This column normally uses a value from the CalendarStatus list on LISTS. You can keep what you typed, or add it to the list so it appears in the dropdown." sqref="M6:M205">
      <formula1>=List_CalendarStatus</formula1>
    </dataValidation>
    <dataValidation type="list" allowBlank="1" showErrorMessage="1" errorStyle="warning" errorTitle="Not one of the usual values" error="This column normally uses a value from the Priority list on LISTS. You can keep what you typed, or add it to the list so it appears in the dropdown." sqref="N6:N205">
      <formula1>=List_Priority</formula1>
    </dataValidation>
    <dataValidation type="custom" allowBlank="1" showErrorMessage="1" errorStyle="warning" errorTitle="That is not a date yet" error="Type a real date, so the workbook can count days with it. &quot;Before Christmas&quot; cannot be sorted." sqref="O6:O205">
      <formula1>=OR(O6="",ISNUMBER(O6))</formula1>
    </dataValidation>
  </dataValidations>
  <hyperlinks>
    <hyperlink ref="B1" r:id="rId1" location="#'DASHBOARD'!A1"/>
    <hyperlink ref="D1" r:id="rId2" location="#'START HERE'!A1"/>
    <hyperlink ref="G1" r:id="rId3" location="#'MASTER BUDGET'!A1"/>
    <hyperlink ref="H1" r:id="rId4" location="#'SHEET INDEX'!A1"/>
  </hyperlinks>
  <pageMargins left="0.4" right="0.4" top="0.6" bottom="0.6" header="0.3" footer="0.3"/>
  <pageSetup orientation="landscape" fitToWidth="1" fitToHeight="0"/>
  <headerFooter>
    <oddFooter>&amp;LCHRISTMAS CALENDAR&amp;C&amp;P of &amp;N&amp;RThe Christmas Season Master Command Center™</oddFooter>
  </headerFooter>
  <legacyDrawing r:id="rId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AA6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15" customWidth="1"/>
    <col min="4" max="4" width="24" customWidth="1"/>
    <col min="5" max="5" width="20" customWidth="1"/>
    <col min="6" max="6" width="16" customWidth="1"/>
    <col min="7" max="7" width="26" customWidth="1"/>
    <col min="8" max="8" width="30" customWidth="1"/>
    <col min="9" max="9" width="11" customWidth="1"/>
    <col min="10" max="10" width="13" customWidth="1"/>
    <col min="11" max="11" width="11" customWidth="1"/>
    <col min="12" max="12" width="17" customWidth="1"/>
    <col min="13" max="17" width="13" customWidth="1"/>
    <col min="18" max="18" width="26" customWidth="1"/>
    <col min="19" max="20" width="16" customWidth="1"/>
    <col min="21" max="21" width="11" customWidth="1"/>
    <col min="22" max="22" width="18" customWidth="1"/>
    <col min="23" max="23" width="34" customWidth="1"/>
    <col min="24" max="26" width="18" hidden="1" customWidth="1"/>
    <col min="27" max="27" width="2" customWidth="1"/>
  </cols>
  <sheetData>
    <row r="1" ht="21" customHeight="1" spans="1:27" x14ac:dyDescent="0.25">
      <c r="A1" s="62"/>
      <c r="B1" s="63" t="s">
        <v>8</v>
      </c>
      <c r="C1" s="63"/>
      <c r="D1" s="63" t="s">
        <v>9</v>
      </c>
      <c r="E1" s="63" t="s">
        <v>10</v>
      </c>
      <c r="F1" s="63" t="s">
        <v>11</v>
      </c>
      <c r="G1" s="63" t="s">
        <v>12</v>
      </c>
      <c r="H1" s="62"/>
      <c r="I1" s="62"/>
      <c r="J1" s="62"/>
      <c r="K1" s="62"/>
      <c r="L1" s="62"/>
      <c r="M1" s="62"/>
      <c r="N1" s="62"/>
      <c r="O1" s="62"/>
      <c r="P1" s="62"/>
      <c r="Q1" s="62"/>
      <c r="R1" s="62"/>
      <c r="S1" s="62"/>
      <c r="T1" s="62"/>
      <c r="U1" s="62"/>
      <c r="V1" s="62"/>
      <c r="W1" s="62"/>
      <c r="X1" s="62"/>
      <c r="Y1" s="62"/>
      <c r="Z1" s="62"/>
      <c r="AA1" s="62"/>
    </row>
    <row r="2" ht="34" customHeight="1" spans="1:27" x14ac:dyDescent="0.25">
      <c r="A2" s="64"/>
      <c r="B2" s="65" t="s">
        <v>440</v>
      </c>
      <c r="C2" s="64"/>
      <c r="D2" s="64"/>
      <c r="E2" s="64"/>
      <c r="F2" s="64"/>
      <c r="G2" s="64"/>
      <c r="H2" s="64"/>
      <c r="I2" s="64"/>
      <c r="J2" s="64"/>
      <c r="K2" s="64"/>
      <c r="L2" s="64"/>
      <c r="M2" s="64"/>
      <c r="N2" s="64"/>
      <c r="O2" s="64"/>
      <c r="P2" s="64"/>
      <c r="Q2" s="64"/>
      <c r="R2" s="64"/>
      <c r="S2" s="64"/>
      <c r="T2" s="64"/>
      <c r="U2" s="64"/>
      <c r="V2" s="64"/>
      <c r="W2" s="64"/>
      <c r="X2" s="64"/>
      <c r="Y2" s="64"/>
      <c r="Z2" s="64"/>
      <c r="AA2" s="64"/>
    </row>
    <row r="3" ht="18" customHeight="1" spans="1:27" x14ac:dyDescent="0.25">
      <c r="A3" s="64"/>
      <c r="B3" s="66" t="s">
        <v>441</v>
      </c>
      <c r="C3" s="64"/>
      <c r="D3" s="64"/>
      <c r="E3" s="64"/>
      <c r="F3" s="64"/>
      <c r="G3" s="64"/>
      <c r="H3" s="64"/>
      <c r="I3" s="64"/>
      <c r="J3" s="64"/>
      <c r="K3" s="64"/>
      <c r="L3" s="64"/>
      <c r="M3" s="64"/>
      <c r="N3" s="64"/>
      <c r="O3" s="64"/>
      <c r="P3" s="64"/>
      <c r="Q3" s="64"/>
      <c r="R3" s="64"/>
      <c r="S3" s="64"/>
      <c r="T3" s="64"/>
      <c r="U3" s="64"/>
      <c r="V3" s="64"/>
      <c r="W3" s="64"/>
      <c r="X3" s="64"/>
      <c r="Y3" s="64"/>
      <c r="Z3" s="64"/>
      <c r="AA3" s="64"/>
    </row>
    <row r="4" ht="17" customHeight="1" spans="1:27" x14ac:dyDescent="0.25">
      <c r="A4" s="64"/>
      <c r="B4" s="67" t="s">
        <v>160</v>
      </c>
      <c r="C4" s="64"/>
      <c r="D4" s="64"/>
      <c r="E4" s="64"/>
      <c r="F4" s="64"/>
      <c r="G4" s="64"/>
      <c r="H4" s="64"/>
      <c r="I4" s="64"/>
      <c r="J4" s="64"/>
      <c r="K4" s="64"/>
      <c r="L4" s="64"/>
      <c r="M4" s="64"/>
      <c r="N4" s="64"/>
      <c r="O4" s="64"/>
      <c r="P4" s="64"/>
      <c r="Q4" s="64"/>
      <c r="R4" s="64"/>
      <c r="S4" s="64"/>
      <c r="T4" s="64"/>
      <c r="U4" s="64"/>
      <c r="V4" s="64"/>
      <c r="W4" s="64"/>
      <c r="X4" s="64"/>
      <c r="Y4" s="64"/>
      <c r="Z4" s="64"/>
      <c r="AA4" s="64"/>
    </row>
    <row r="5" ht="32" customHeight="1" spans="1:27" x14ac:dyDescent="0.25">
      <c r="A5" s="73"/>
      <c r="B5" s="74" t="s">
        <v>442</v>
      </c>
      <c r="C5" s="74" t="s">
        <v>150</v>
      </c>
      <c r="D5" s="74" t="s">
        <v>443</v>
      </c>
      <c r="E5" s="74" t="s">
        <v>444</v>
      </c>
      <c r="F5" s="74" t="s">
        <v>445</v>
      </c>
      <c r="G5" s="74" t="s">
        <v>446</v>
      </c>
      <c r="H5" s="74" t="s">
        <v>447</v>
      </c>
      <c r="I5" s="74" t="s">
        <v>448</v>
      </c>
      <c r="J5" s="74" t="s">
        <v>449</v>
      </c>
      <c r="K5" s="74" t="s">
        <v>450</v>
      </c>
      <c r="L5" s="74" t="s">
        <v>300</v>
      </c>
      <c r="M5" s="74" t="s">
        <v>451</v>
      </c>
      <c r="N5" s="74" t="s">
        <v>452</v>
      </c>
      <c r="O5" s="74" t="s">
        <v>453</v>
      </c>
      <c r="P5" s="74" t="s">
        <v>454</v>
      </c>
      <c r="Q5" s="74" t="s">
        <v>455</v>
      </c>
      <c r="R5" s="74" t="s">
        <v>456</v>
      </c>
      <c r="S5" s="74" t="s">
        <v>176</v>
      </c>
      <c r="T5" s="74" t="s">
        <v>260</v>
      </c>
      <c r="U5" s="74" t="s">
        <v>457</v>
      </c>
      <c r="V5" s="74" t="s">
        <v>374</v>
      </c>
      <c r="W5" s="74" t="s">
        <v>179</v>
      </c>
      <c r="X5" s="74" t="s">
        <v>180</v>
      </c>
      <c r="Y5" s="74" t="s">
        <v>323</v>
      </c>
      <c r="Z5" s="74" t="s">
        <v>458</v>
      </c>
      <c r="AA5" s="73"/>
    </row>
    <row r="6" ht="17" customHeight="1" spans="1:27" x14ac:dyDescent="0.25">
      <c r="A6" s="75"/>
      <c r="B6" s="76" t="s">
        <v>459</v>
      </c>
      <c r="C6" s="76" t="s">
        <v>460</v>
      </c>
      <c r="D6" s="76" t="s">
        <v>461</v>
      </c>
      <c r="E6" s="76" t="s">
        <v>462</v>
      </c>
      <c r="F6" s="76" t="s">
        <v>463</v>
      </c>
      <c r="G6" s="77" t="s">
        <v>464</v>
      </c>
      <c r="H6" s="77" t="s">
        <v>465</v>
      </c>
      <c r="I6" s="76" t="s">
        <v>429</v>
      </c>
      <c r="J6" s="81">
        <v>46378</v>
      </c>
      <c r="K6" s="94" t="s">
        <v>466</v>
      </c>
      <c r="L6" s="76" t="s">
        <v>291</v>
      </c>
      <c r="M6" s="84">
        <v>640</v>
      </c>
      <c r="N6" s="84">
        <v>200</v>
      </c>
      <c r="O6" s="85">
        <f>IF($B6="","",MAX(0,$M6-$N6))</f>
      </c>
      <c r="P6" s="81">
        <v>46376</v>
      </c>
      <c r="Q6" s="85">
        <f>IF($B6="","",IF($T6="Paid in full",$M6,IF($T6="Complete",$M6,$N6)))</f>
      </c>
      <c r="R6" s="77"/>
      <c r="S6" s="76"/>
      <c r="T6" s="76" t="s">
        <v>467</v>
      </c>
      <c r="U6" s="76" t="s">
        <v>194</v>
      </c>
      <c r="V6" s="78">
        <f>IF($B6="","",IF($T6="Declined","CLOSED",IF($O6=0,"SETTLED",IF($P6="","BALANCE OPEN",IF($P6&lt;TODAY(),"BALANCE OVERDUE",IF($P6-TODAY()&lt;=7,"BALANCE DUE SOON","BALANCE OPEN"))))))</f>
      </c>
      <c r="W6" s="77" t="s">
        <v>186</v>
      </c>
      <c r="X6" s="78">
        <f>IF($B6="",0,IF(COUNTIF('VENDORS + APPOINTMENTS'!$B$6:$B$65,$B6)&gt;1,1,0))</f>
      </c>
      <c r="Y6" s="78">
        <f>IF(OR(N($M6)&gt;0,N($Q6)&gt;0),IF($L6="",1,IF(COUNTIF('MASTER BUDGET'!$D$6:$D$25,$L6)=0,1,0)),0)</f>
      </c>
      <c r="Z6" s="78">
        <f>IF($I6="",0,IF(COUNTIF('CHRISTMAS CALENDAR'!$B$6:$B$205,$I6)=0,1,0))</f>
      </c>
      <c r="AA6" s="75"/>
    </row>
    <row r="7" ht="17" customHeight="1" spans="1:27" x14ac:dyDescent="0.25">
      <c r="A7" s="75"/>
      <c r="B7" s="76" t="s">
        <v>468</v>
      </c>
      <c r="C7" s="76" t="s">
        <v>469</v>
      </c>
      <c r="D7" s="76" t="s">
        <v>470</v>
      </c>
      <c r="E7" s="76" t="s">
        <v>471</v>
      </c>
      <c r="F7" s="76" t="s">
        <v>472</v>
      </c>
      <c r="G7" s="77"/>
      <c r="H7" s="77" t="s">
        <v>473</v>
      </c>
      <c r="I7" s="76"/>
      <c r="J7" s="81">
        <v>46375</v>
      </c>
      <c r="K7" s="94" t="s">
        <v>474</v>
      </c>
      <c r="L7" s="76" t="s">
        <v>291</v>
      </c>
      <c r="M7" s="84">
        <v>320</v>
      </c>
      <c r="N7" s="84">
        <v>0</v>
      </c>
      <c r="O7" s="85">
        <f>IF($B7="","",MAX(0,$M7-$N7))</f>
      </c>
      <c r="P7" s="81">
        <v>46375</v>
      </c>
      <c r="Q7" s="85">
        <f>IF($B7="","",IF($T7="Paid in full",$M7,IF($T7="Complete",$M7,$N7)))</f>
      </c>
      <c r="R7" s="77"/>
      <c r="S7" s="76"/>
      <c r="T7" s="76" t="s">
        <v>475</v>
      </c>
      <c r="U7" s="76" t="s">
        <v>194</v>
      </c>
      <c r="V7" s="78">
        <f>IF($B7="","",IF($T7="Declined","CLOSED",IF($O7=0,"SETTLED",IF($P7="","BALANCE OPEN",IF($P7&lt;TODAY(),"BALANCE OVERDUE",IF($P7-TODAY()&lt;=7,"BALANCE DUE SOON","BALANCE OPEN"))))))</f>
      </c>
      <c r="W7" s="77" t="s">
        <v>186</v>
      </c>
      <c r="X7" s="78">
        <f>IF($B7="",0,IF(COUNTIF('VENDORS + APPOINTMENTS'!$B$6:$B$65,$B7)&gt;1,1,0))</f>
      </c>
      <c r="Y7" s="78">
        <f>IF(OR(N($M7)&gt;0,N($Q7)&gt;0),IF($L7="",1,IF(COUNTIF('MASTER BUDGET'!$D$6:$D$25,$L7)=0,1,0)),0)</f>
      </c>
      <c r="Z7" s="78">
        <f>IF($I7="",0,IF(COUNTIF('CHRISTMAS CALENDAR'!$B$6:$B$205,$I7)=0,1,0))</f>
      </c>
      <c r="AA7" s="75"/>
    </row>
    <row r="8" ht="17" customHeight="1" spans="1:27" x14ac:dyDescent="0.25">
      <c r="A8" s="75"/>
      <c r="B8" s="76" t="s">
        <v>476</v>
      </c>
      <c r="C8" s="76" t="s">
        <v>477</v>
      </c>
      <c r="D8" s="76" t="s">
        <v>478</v>
      </c>
      <c r="E8" s="76" t="s">
        <v>479</v>
      </c>
      <c r="F8" s="76"/>
      <c r="G8" s="77" t="s">
        <v>480</v>
      </c>
      <c r="H8" s="77" t="s">
        <v>481</v>
      </c>
      <c r="I8" s="76"/>
      <c r="J8" s="81"/>
      <c r="K8" s="94"/>
      <c r="L8" s="76" t="s">
        <v>293</v>
      </c>
      <c r="M8" s="84">
        <v>850</v>
      </c>
      <c r="N8" s="84">
        <v>850</v>
      </c>
      <c r="O8" s="85">
        <f>IF($B8="","",MAX(0,$M8-$N8))</f>
      </c>
      <c r="P8" s="81"/>
      <c r="Q8" s="85">
        <f>IF($B8="","",IF($T8="Paid in full",$M8,IF($T8="Complete",$M8,$N8)))</f>
      </c>
      <c r="R8" s="77"/>
      <c r="S8" s="76"/>
      <c r="T8" s="76" t="s">
        <v>482</v>
      </c>
      <c r="U8" s="76" t="s">
        <v>194</v>
      </c>
      <c r="V8" s="78">
        <f>IF($B8="","",IF($T8="Declined","CLOSED",IF($O8=0,"SETTLED",IF($P8="","BALANCE OPEN",IF($P8&lt;TODAY(),"BALANCE OVERDUE",IF($P8-TODAY()&lt;=7,"BALANCE DUE SOON","BALANCE OPEN"))))))</f>
      </c>
      <c r="W8" s="77" t="s">
        <v>186</v>
      </c>
      <c r="X8" s="78">
        <f>IF($B8="",0,IF(COUNTIF('VENDORS + APPOINTMENTS'!$B$6:$B$65,$B8)&gt;1,1,0))</f>
      </c>
      <c r="Y8" s="78">
        <f>IF(OR(N($M8)&gt;0,N($Q8)&gt;0),IF($L8="",1,IF(COUNTIF('MASTER BUDGET'!$D$6:$D$25,$L8)=0,1,0)),0)</f>
      </c>
      <c r="Z8" s="78">
        <f>IF($I8="",0,IF(COUNTIF('CHRISTMAS CALENDAR'!$B$6:$B$205,$I8)=0,1,0))</f>
      </c>
      <c r="AA8" s="75"/>
    </row>
    <row r="9" ht="17" customHeight="1" spans="1:27" x14ac:dyDescent="0.25">
      <c r="A9" s="75"/>
      <c r="B9" s="79"/>
      <c r="C9" s="79"/>
      <c r="D9" s="79"/>
      <c r="E9" s="79"/>
      <c r="F9" s="79"/>
      <c r="G9" s="80"/>
      <c r="H9" s="80"/>
      <c r="I9" s="79"/>
      <c r="J9" s="82"/>
      <c r="K9" s="96"/>
      <c r="L9" s="79"/>
      <c r="M9" s="86"/>
      <c r="N9" s="86"/>
      <c r="O9" s="85">
        <f>IF($B9="","",MAX(0,$M9-$N9))</f>
      </c>
      <c r="P9" s="82"/>
      <c r="Q9" s="85">
        <f>IF($B9="","",IF($T9="Paid in full",$M9,IF($T9="Complete",$M9,$N9)))</f>
      </c>
      <c r="R9" s="80"/>
      <c r="S9" s="79"/>
      <c r="T9" s="79"/>
      <c r="U9" s="79"/>
      <c r="V9" s="78">
        <f>IF($B9="","",IF($T9="Declined","CLOSED",IF($O9=0,"SETTLED",IF($P9="","BALANCE OPEN",IF($P9&lt;TODAY(),"BALANCE OVERDUE",IF($P9-TODAY()&lt;=7,"BALANCE DUE SOON","BALANCE OPEN"))))))</f>
      </c>
      <c r="W9" s="80"/>
      <c r="X9" s="78">
        <f>IF($B9="",0,IF(COUNTIF('VENDORS + APPOINTMENTS'!$B$6:$B$65,$B9)&gt;1,1,0))</f>
      </c>
      <c r="Y9" s="78">
        <f>IF(OR(N($M9)&gt;0,N($Q9)&gt;0),IF($L9="",1,IF(COUNTIF('MASTER BUDGET'!$D$6:$D$25,$L9)=0,1,0)),0)</f>
      </c>
      <c r="Z9" s="78">
        <f>IF($I9="",0,IF(COUNTIF('CHRISTMAS CALENDAR'!$B$6:$B$205,$I9)=0,1,0))</f>
      </c>
      <c r="AA9" s="75"/>
    </row>
    <row r="10" ht="17" customHeight="1" spans="1:27" x14ac:dyDescent="0.25">
      <c r="A10" s="75"/>
      <c r="B10" s="79"/>
      <c r="C10" s="79"/>
      <c r="D10" s="79"/>
      <c r="E10" s="79"/>
      <c r="F10" s="79"/>
      <c r="G10" s="80"/>
      <c r="H10" s="80"/>
      <c r="I10" s="79"/>
      <c r="J10" s="82"/>
      <c r="K10" s="96"/>
      <c r="L10" s="79"/>
      <c r="M10" s="86"/>
      <c r="N10" s="86"/>
      <c r="O10" s="85">
        <f>IF($B10="","",MAX(0,$M10-$N10))</f>
      </c>
      <c r="P10" s="82"/>
      <c r="Q10" s="85">
        <f>IF($B10="","",IF($T10="Paid in full",$M10,IF($T10="Complete",$M10,$N10)))</f>
      </c>
      <c r="R10" s="80"/>
      <c r="S10" s="79"/>
      <c r="T10" s="79"/>
      <c r="U10" s="79"/>
      <c r="V10" s="78">
        <f>IF($B10="","",IF($T10="Declined","CLOSED",IF($O10=0,"SETTLED",IF($P10="","BALANCE OPEN",IF($P10&lt;TODAY(),"BALANCE OVERDUE",IF($P10-TODAY()&lt;=7,"BALANCE DUE SOON","BALANCE OPEN"))))))</f>
      </c>
      <c r="W10" s="80"/>
      <c r="X10" s="78">
        <f>IF($B10="",0,IF(COUNTIF('VENDORS + APPOINTMENTS'!$B$6:$B$65,$B10)&gt;1,1,0))</f>
      </c>
      <c r="Y10" s="78">
        <f>IF(OR(N($M10)&gt;0,N($Q10)&gt;0),IF($L10="",1,IF(COUNTIF('MASTER BUDGET'!$D$6:$D$25,$L10)=0,1,0)),0)</f>
      </c>
      <c r="Z10" s="78">
        <f>IF($I10="",0,IF(COUNTIF('CHRISTMAS CALENDAR'!$B$6:$B$205,$I10)=0,1,0))</f>
      </c>
      <c r="AA10" s="75"/>
    </row>
    <row r="11" ht="17" customHeight="1" spans="1:27" x14ac:dyDescent="0.25">
      <c r="A11" s="75"/>
      <c r="B11" s="79"/>
      <c r="C11" s="79"/>
      <c r="D11" s="79"/>
      <c r="E11" s="79"/>
      <c r="F11" s="79"/>
      <c r="G11" s="80"/>
      <c r="H11" s="80"/>
      <c r="I11" s="79"/>
      <c r="J11" s="82"/>
      <c r="K11" s="96"/>
      <c r="L11" s="79"/>
      <c r="M11" s="86"/>
      <c r="N11" s="86"/>
      <c r="O11" s="85">
        <f>IF($B11="","",MAX(0,$M11-$N11))</f>
      </c>
      <c r="P11" s="82"/>
      <c r="Q11" s="85">
        <f>IF($B11="","",IF($T11="Paid in full",$M11,IF($T11="Complete",$M11,$N11)))</f>
      </c>
      <c r="R11" s="80"/>
      <c r="S11" s="79"/>
      <c r="T11" s="79"/>
      <c r="U11" s="79"/>
      <c r="V11" s="78">
        <f>IF($B11="","",IF($T11="Declined","CLOSED",IF($O11=0,"SETTLED",IF($P11="","BALANCE OPEN",IF($P11&lt;TODAY(),"BALANCE OVERDUE",IF($P11-TODAY()&lt;=7,"BALANCE DUE SOON","BALANCE OPEN"))))))</f>
      </c>
      <c r="W11" s="80"/>
      <c r="X11" s="78">
        <f>IF($B11="",0,IF(COUNTIF('VENDORS + APPOINTMENTS'!$B$6:$B$65,$B11)&gt;1,1,0))</f>
      </c>
      <c r="Y11" s="78">
        <f>IF(OR(N($M11)&gt;0,N($Q11)&gt;0),IF($L11="",1,IF(COUNTIF('MASTER BUDGET'!$D$6:$D$25,$L11)=0,1,0)),0)</f>
      </c>
      <c r="Z11" s="78">
        <f>IF($I11="",0,IF(COUNTIF('CHRISTMAS CALENDAR'!$B$6:$B$205,$I11)=0,1,0))</f>
      </c>
      <c r="AA11" s="75"/>
    </row>
    <row r="12" ht="17" customHeight="1" spans="1:27" x14ac:dyDescent="0.25">
      <c r="A12" s="75"/>
      <c r="B12" s="79"/>
      <c r="C12" s="79"/>
      <c r="D12" s="79"/>
      <c r="E12" s="79"/>
      <c r="F12" s="79"/>
      <c r="G12" s="80"/>
      <c r="H12" s="80"/>
      <c r="I12" s="79"/>
      <c r="J12" s="82"/>
      <c r="K12" s="96"/>
      <c r="L12" s="79"/>
      <c r="M12" s="86"/>
      <c r="N12" s="86"/>
      <c r="O12" s="85">
        <f>IF($B12="","",MAX(0,$M12-$N12))</f>
      </c>
      <c r="P12" s="82"/>
      <c r="Q12" s="85">
        <f>IF($B12="","",IF($T12="Paid in full",$M12,IF($T12="Complete",$M12,$N12)))</f>
      </c>
      <c r="R12" s="80"/>
      <c r="S12" s="79"/>
      <c r="T12" s="79"/>
      <c r="U12" s="79"/>
      <c r="V12" s="78">
        <f>IF($B12="","",IF($T12="Declined","CLOSED",IF($O12=0,"SETTLED",IF($P12="","BALANCE OPEN",IF($P12&lt;TODAY(),"BALANCE OVERDUE",IF($P12-TODAY()&lt;=7,"BALANCE DUE SOON","BALANCE OPEN"))))))</f>
      </c>
      <c r="W12" s="80"/>
      <c r="X12" s="78">
        <f>IF($B12="",0,IF(COUNTIF('VENDORS + APPOINTMENTS'!$B$6:$B$65,$B12)&gt;1,1,0))</f>
      </c>
      <c r="Y12" s="78">
        <f>IF(OR(N($M12)&gt;0,N($Q12)&gt;0),IF($L12="",1,IF(COUNTIF('MASTER BUDGET'!$D$6:$D$25,$L12)=0,1,0)),0)</f>
      </c>
      <c r="Z12" s="78">
        <f>IF($I12="",0,IF(COUNTIF('CHRISTMAS CALENDAR'!$B$6:$B$205,$I12)=0,1,0))</f>
      </c>
      <c r="AA12" s="75"/>
    </row>
    <row r="13" ht="17" customHeight="1" spans="1:27" x14ac:dyDescent="0.25">
      <c r="A13" s="75"/>
      <c r="B13" s="79"/>
      <c r="C13" s="79"/>
      <c r="D13" s="79"/>
      <c r="E13" s="79"/>
      <c r="F13" s="79"/>
      <c r="G13" s="80"/>
      <c r="H13" s="80"/>
      <c r="I13" s="79"/>
      <c r="J13" s="82"/>
      <c r="K13" s="96"/>
      <c r="L13" s="79"/>
      <c r="M13" s="86"/>
      <c r="N13" s="86"/>
      <c r="O13" s="85">
        <f>IF($B13="","",MAX(0,$M13-$N13))</f>
      </c>
      <c r="P13" s="82"/>
      <c r="Q13" s="85">
        <f>IF($B13="","",IF($T13="Paid in full",$M13,IF($T13="Complete",$M13,$N13)))</f>
      </c>
      <c r="R13" s="80"/>
      <c r="S13" s="79"/>
      <c r="T13" s="79"/>
      <c r="U13" s="79"/>
      <c r="V13" s="78">
        <f>IF($B13="","",IF($T13="Declined","CLOSED",IF($O13=0,"SETTLED",IF($P13="","BALANCE OPEN",IF($P13&lt;TODAY(),"BALANCE OVERDUE",IF($P13-TODAY()&lt;=7,"BALANCE DUE SOON","BALANCE OPEN"))))))</f>
      </c>
      <c r="W13" s="80"/>
      <c r="X13" s="78">
        <f>IF($B13="",0,IF(COUNTIF('VENDORS + APPOINTMENTS'!$B$6:$B$65,$B13)&gt;1,1,0))</f>
      </c>
      <c r="Y13" s="78">
        <f>IF(OR(N($M13)&gt;0,N($Q13)&gt;0),IF($L13="",1,IF(COUNTIF('MASTER BUDGET'!$D$6:$D$25,$L13)=0,1,0)),0)</f>
      </c>
      <c r="Z13" s="78">
        <f>IF($I13="",0,IF(COUNTIF('CHRISTMAS CALENDAR'!$B$6:$B$205,$I13)=0,1,0))</f>
      </c>
      <c r="AA13" s="75"/>
    </row>
    <row r="14" ht="17" customHeight="1" spans="1:27" x14ac:dyDescent="0.25">
      <c r="A14" s="75"/>
      <c r="B14" s="79"/>
      <c r="C14" s="79"/>
      <c r="D14" s="79"/>
      <c r="E14" s="79"/>
      <c r="F14" s="79"/>
      <c r="G14" s="80"/>
      <c r="H14" s="80"/>
      <c r="I14" s="79"/>
      <c r="J14" s="82"/>
      <c r="K14" s="96"/>
      <c r="L14" s="79"/>
      <c r="M14" s="86"/>
      <c r="N14" s="86"/>
      <c r="O14" s="85">
        <f>IF($B14="","",MAX(0,$M14-$N14))</f>
      </c>
      <c r="P14" s="82"/>
      <c r="Q14" s="85">
        <f>IF($B14="","",IF($T14="Paid in full",$M14,IF($T14="Complete",$M14,$N14)))</f>
      </c>
      <c r="R14" s="80"/>
      <c r="S14" s="79"/>
      <c r="T14" s="79"/>
      <c r="U14" s="79"/>
      <c r="V14" s="78">
        <f>IF($B14="","",IF($T14="Declined","CLOSED",IF($O14=0,"SETTLED",IF($P14="","BALANCE OPEN",IF($P14&lt;TODAY(),"BALANCE OVERDUE",IF($P14-TODAY()&lt;=7,"BALANCE DUE SOON","BALANCE OPEN"))))))</f>
      </c>
      <c r="W14" s="80"/>
      <c r="X14" s="78">
        <f>IF($B14="",0,IF(COUNTIF('VENDORS + APPOINTMENTS'!$B$6:$B$65,$B14)&gt;1,1,0))</f>
      </c>
      <c r="Y14" s="78">
        <f>IF(OR(N($M14)&gt;0,N($Q14)&gt;0),IF($L14="",1,IF(COUNTIF('MASTER BUDGET'!$D$6:$D$25,$L14)=0,1,0)),0)</f>
      </c>
      <c r="Z14" s="78">
        <f>IF($I14="",0,IF(COUNTIF('CHRISTMAS CALENDAR'!$B$6:$B$205,$I14)=0,1,0))</f>
      </c>
      <c r="AA14" s="75"/>
    </row>
    <row r="15" ht="17" customHeight="1" spans="1:27" x14ac:dyDescent="0.25">
      <c r="A15" s="75"/>
      <c r="B15" s="79"/>
      <c r="C15" s="79"/>
      <c r="D15" s="79"/>
      <c r="E15" s="79"/>
      <c r="F15" s="79"/>
      <c r="G15" s="80"/>
      <c r="H15" s="80"/>
      <c r="I15" s="79"/>
      <c r="J15" s="82"/>
      <c r="K15" s="96"/>
      <c r="L15" s="79"/>
      <c r="M15" s="86"/>
      <c r="N15" s="86"/>
      <c r="O15" s="85">
        <f>IF($B15="","",MAX(0,$M15-$N15))</f>
      </c>
      <c r="P15" s="82"/>
      <c r="Q15" s="85">
        <f>IF($B15="","",IF($T15="Paid in full",$M15,IF($T15="Complete",$M15,$N15)))</f>
      </c>
      <c r="R15" s="80"/>
      <c r="S15" s="79"/>
      <c r="T15" s="79"/>
      <c r="U15" s="79"/>
      <c r="V15" s="78">
        <f>IF($B15="","",IF($T15="Declined","CLOSED",IF($O15=0,"SETTLED",IF($P15="","BALANCE OPEN",IF($P15&lt;TODAY(),"BALANCE OVERDUE",IF($P15-TODAY()&lt;=7,"BALANCE DUE SOON","BALANCE OPEN"))))))</f>
      </c>
      <c r="W15" s="80"/>
      <c r="X15" s="78">
        <f>IF($B15="",0,IF(COUNTIF('VENDORS + APPOINTMENTS'!$B$6:$B$65,$B15)&gt;1,1,0))</f>
      </c>
      <c r="Y15" s="78">
        <f>IF(OR(N($M15)&gt;0,N($Q15)&gt;0),IF($L15="",1,IF(COUNTIF('MASTER BUDGET'!$D$6:$D$25,$L15)=0,1,0)),0)</f>
      </c>
      <c r="Z15" s="78">
        <f>IF($I15="",0,IF(COUNTIF('CHRISTMAS CALENDAR'!$B$6:$B$205,$I15)=0,1,0))</f>
      </c>
      <c r="AA15" s="75"/>
    </row>
    <row r="16" ht="17" customHeight="1" spans="1:27" x14ac:dyDescent="0.25">
      <c r="A16" s="75"/>
      <c r="B16" s="79"/>
      <c r="C16" s="79"/>
      <c r="D16" s="79"/>
      <c r="E16" s="79"/>
      <c r="F16" s="79"/>
      <c r="G16" s="80"/>
      <c r="H16" s="80"/>
      <c r="I16" s="79"/>
      <c r="J16" s="82"/>
      <c r="K16" s="96"/>
      <c r="L16" s="79"/>
      <c r="M16" s="86"/>
      <c r="N16" s="86"/>
      <c r="O16" s="85">
        <f>IF($B16="","",MAX(0,$M16-$N16))</f>
      </c>
      <c r="P16" s="82"/>
      <c r="Q16" s="85">
        <f>IF($B16="","",IF($T16="Paid in full",$M16,IF($T16="Complete",$M16,$N16)))</f>
      </c>
      <c r="R16" s="80"/>
      <c r="S16" s="79"/>
      <c r="T16" s="79"/>
      <c r="U16" s="79"/>
      <c r="V16" s="78">
        <f>IF($B16="","",IF($T16="Declined","CLOSED",IF($O16=0,"SETTLED",IF($P16="","BALANCE OPEN",IF($P16&lt;TODAY(),"BALANCE OVERDUE",IF($P16-TODAY()&lt;=7,"BALANCE DUE SOON","BALANCE OPEN"))))))</f>
      </c>
      <c r="W16" s="80"/>
      <c r="X16" s="78">
        <f>IF($B16="",0,IF(COUNTIF('VENDORS + APPOINTMENTS'!$B$6:$B$65,$B16)&gt;1,1,0))</f>
      </c>
      <c r="Y16" s="78">
        <f>IF(OR(N($M16)&gt;0,N($Q16)&gt;0),IF($L16="",1,IF(COUNTIF('MASTER BUDGET'!$D$6:$D$25,$L16)=0,1,0)),0)</f>
      </c>
      <c r="Z16" s="78">
        <f>IF($I16="",0,IF(COUNTIF('CHRISTMAS CALENDAR'!$B$6:$B$205,$I16)=0,1,0))</f>
      </c>
      <c r="AA16" s="75"/>
    </row>
    <row r="17" ht="17" customHeight="1" spans="1:27" x14ac:dyDescent="0.25">
      <c r="A17" s="75"/>
      <c r="B17" s="79"/>
      <c r="C17" s="79"/>
      <c r="D17" s="79"/>
      <c r="E17" s="79"/>
      <c r="F17" s="79"/>
      <c r="G17" s="80"/>
      <c r="H17" s="80"/>
      <c r="I17" s="79"/>
      <c r="J17" s="82"/>
      <c r="K17" s="96"/>
      <c r="L17" s="79"/>
      <c r="M17" s="86"/>
      <c r="N17" s="86"/>
      <c r="O17" s="85">
        <f>IF($B17="","",MAX(0,$M17-$N17))</f>
      </c>
      <c r="P17" s="82"/>
      <c r="Q17" s="85">
        <f>IF($B17="","",IF($T17="Paid in full",$M17,IF($T17="Complete",$M17,$N17)))</f>
      </c>
      <c r="R17" s="80"/>
      <c r="S17" s="79"/>
      <c r="T17" s="79"/>
      <c r="U17" s="79"/>
      <c r="V17" s="78">
        <f>IF($B17="","",IF($T17="Declined","CLOSED",IF($O17=0,"SETTLED",IF($P17="","BALANCE OPEN",IF($P17&lt;TODAY(),"BALANCE OVERDUE",IF($P17-TODAY()&lt;=7,"BALANCE DUE SOON","BALANCE OPEN"))))))</f>
      </c>
      <c r="W17" s="80"/>
      <c r="X17" s="78">
        <f>IF($B17="",0,IF(COUNTIF('VENDORS + APPOINTMENTS'!$B$6:$B$65,$B17)&gt;1,1,0))</f>
      </c>
      <c r="Y17" s="78">
        <f>IF(OR(N($M17)&gt;0,N($Q17)&gt;0),IF($L17="",1,IF(COUNTIF('MASTER BUDGET'!$D$6:$D$25,$L17)=0,1,0)),0)</f>
      </c>
      <c r="Z17" s="78">
        <f>IF($I17="",0,IF(COUNTIF('CHRISTMAS CALENDAR'!$B$6:$B$205,$I17)=0,1,0))</f>
      </c>
      <c r="AA17" s="75"/>
    </row>
    <row r="18" ht="17" customHeight="1" spans="1:27" x14ac:dyDescent="0.25">
      <c r="A18" s="75"/>
      <c r="B18" s="79"/>
      <c r="C18" s="79"/>
      <c r="D18" s="79"/>
      <c r="E18" s="79"/>
      <c r="F18" s="79"/>
      <c r="G18" s="80"/>
      <c r="H18" s="80"/>
      <c r="I18" s="79"/>
      <c r="J18" s="82"/>
      <c r="K18" s="96"/>
      <c r="L18" s="79"/>
      <c r="M18" s="86"/>
      <c r="N18" s="86"/>
      <c r="O18" s="85">
        <f>IF($B18="","",MAX(0,$M18-$N18))</f>
      </c>
      <c r="P18" s="82"/>
      <c r="Q18" s="85">
        <f>IF($B18="","",IF($T18="Paid in full",$M18,IF($T18="Complete",$M18,$N18)))</f>
      </c>
      <c r="R18" s="80"/>
      <c r="S18" s="79"/>
      <c r="T18" s="79"/>
      <c r="U18" s="79"/>
      <c r="V18" s="78">
        <f>IF($B18="","",IF($T18="Declined","CLOSED",IF($O18=0,"SETTLED",IF($P18="","BALANCE OPEN",IF($P18&lt;TODAY(),"BALANCE OVERDUE",IF($P18-TODAY()&lt;=7,"BALANCE DUE SOON","BALANCE OPEN"))))))</f>
      </c>
      <c r="W18" s="80"/>
      <c r="X18" s="78">
        <f>IF($B18="",0,IF(COUNTIF('VENDORS + APPOINTMENTS'!$B$6:$B$65,$B18)&gt;1,1,0))</f>
      </c>
      <c r="Y18" s="78">
        <f>IF(OR(N($M18)&gt;0,N($Q18)&gt;0),IF($L18="",1,IF(COUNTIF('MASTER BUDGET'!$D$6:$D$25,$L18)=0,1,0)),0)</f>
      </c>
      <c r="Z18" s="78">
        <f>IF($I18="",0,IF(COUNTIF('CHRISTMAS CALENDAR'!$B$6:$B$205,$I18)=0,1,0))</f>
      </c>
      <c r="AA18" s="75"/>
    </row>
    <row r="19" ht="17" customHeight="1" spans="1:27" x14ac:dyDescent="0.25">
      <c r="A19" s="75"/>
      <c r="B19" s="79"/>
      <c r="C19" s="79"/>
      <c r="D19" s="79"/>
      <c r="E19" s="79"/>
      <c r="F19" s="79"/>
      <c r="G19" s="80"/>
      <c r="H19" s="80"/>
      <c r="I19" s="79"/>
      <c r="J19" s="82"/>
      <c r="K19" s="96"/>
      <c r="L19" s="79"/>
      <c r="M19" s="86"/>
      <c r="N19" s="86"/>
      <c r="O19" s="85">
        <f>IF($B19="","",MAX(0,$M19-$N19))</f>
      </c>
      <c r="P19" s="82"/>
      <c r="Q19" s="85">
        <f>IF($B19="","",IF($T19="Paid in full",$M19,IF($T19="Complete",$M19,$N19)))</f>
      </c>
      <c r="R19" s="80"/>
      <c r="S19" s="79"/>
      <c r="T19" s="79"/>
      <c r="U19" s="79"/>
      <c r="V19" s="78">
        <f>IF($B19="","",IF($T19="Declined","CLOSED",IF($O19=0,"SETTLED",IF($P19="","BALANCE OPEN",IF($P19&lt;TODAY(),"BALANCE OVERDUE",IF($P19-TODAY()&lt;=7,"BALANCE DUE SOON","BALANCE OPEN"))))))</f>
      </c>
      <c r="W19" s="80"/>
      <c r="X19" s="78">
        <f>IF($B19="",0,IF(COUNTIF('VENDORS + APPOINTMENTS'!$B$6:$B$65,$B19)&gt;1,1,0))</f>
      </c>
      <c r="Y19" s="78">
        <f>IF(OR(N($M19)&gt;0,N($Q19)&gt;0),IF($L19="",1,IF(COUNTIF('MASTER BUDGET'!$D$6:$D$25,$L19)=0,1,0)),0)</f>
      </c>
      <c r="Z19" s="78">
        <f>IF($I19="",0,IF(COUNTIF('CHRISTMAS CALENDAR'!$B$6:$B$205,$I19)=0,1,0))</f>
      </c>
      <c r="AA19" s="75"/>
    </row>
    <row r="20" ht="17" customHeight="1" spans="1:27" x14ac:dyDescent="0.25">
      <c r="A20" s="75"/>
      <c r="B20" s="79"/>
      <c r="C20" s="79"/>
      <c r="D20" s="79"/>
      <c r="E20" s="79"/>
      <c r="F20" s="79"/>
      <c r="G20" s="80"/>
      <c r="H20" s="80"/>
      <c r="I20" s="79"/>
      <c r="J20" s="82"/>
      <c r="K20" s="96"/>
      <c r="L20" s="79"/>
      <c r="M20" s="86"/>
      <c r="N20" s="86"/>
      <c r="O20" s="85">
        <f>IF($B20="","",MAX(0,$M20-$N20))</f>
      </c>
      <c r="P20" s="82"/>
      <c r="Q20" s="85">
        <f>IF($B20="","",IF($T20="Paid in full",$M20,IF($T20="Complete",$M20,$N20)))</f>
      </c>
      <c r="R20" s="80"/>
      <c r="S20" s="79"/>
      <c r="T20" s="79"/>
      <c r="U20" s="79"/>
      <c r="V20" s="78">
        <f>IF($B20="","",IF($T20="Declined","CLOSED",IF($O20=0,"SETTLED",IF($P20="","BALANCE OPEN",IF($P20&lt;TODAY(),"BALANCE OVERDUE",IF($P20-TODAY()&lt;=7,"BALANCE DUE SOON","BALANCE OPEN"))))))</f>
      </c>
      <c r="W20" s="80"/>
      <c r="X20" s="78">
        <f>IF($B20="",0,IF(COUNTIF('VENDORS + APPOINTMENTS'!$B$6:$B$65,$B20)&gt;1,1,0))</f>
      </c>
      <c r="Y20" s="78">
        <f>IF(OR(N($M20)&gt;0,N($Q20)&gt;0),IF($L20="",1,IF(COUNTIF('MASTER BUDGET'!$D$6:$D$25,$L20)=0,1,0)),0)</f>
      </c>
      <c r="Z20" s="78">
        <f>IF($I20="",0,IF(COUNTIF('CHRISTMAS CALENDAR'!$B$6:$B$205,$I20)=0,1,0))</f>
      </c>
      <c r="AA20" s="75"/>
    </row>
    <row r="21" ht="17" customHeight="1" spans="1:27" x14ac:dyDescent="0.25">
      <c r="A21" s="75"/>
      <c r="B21" s="79"/>
      <c r="C21" s="79"/>
      <c r="D21" s="79"/>
      <c r="E21" s="79"/>
      <c r="F21" s="79"/>
      <c r="G21" s="80"/>
      <c r="H21" s="80"/>
      <c r="I21" s="79"/>
      <c r="J21" s="82"/>
      <c r="K21" s="96"/>
      <c r="L21" s="79"/>
      <c r="M21" s="86"/>
      <c r="N21" s="86"/>
      <c r="O21" s="85">
        <f>IF($B21="","",MAX(0,$M21-$N21))</f>
      </c>
      <c r="P21" s="82"/>
      <c r="Q21" s="85">
        <f>IF($B21="","",IF($T21="Paid in full",$M21,IF($T21="Complete",$M21,$N21)))</f>
      </c>
      <c r="R21" s="80"/>
      <c r="S21" s="79"/>
      <c r="T21" s="79"/>
      <c r="U21" s="79"/>
      <c r="V21" s="78">
        <f>IF($B21="","",IF($T21="Declined","CLOSED",IF($O21=0,"SETTLED",IF($P21="","BALANCE OPEN",IF($P21&lt;TODAY(),"BALANCE OVERDUE",IF($P21-TODAY()&lt;=7,"BALANCE DUE SOON","BALANCE OPEN"))))))</f>
      </c>
      <c r="W21" s="80"/>
      <c r="X21" s="78">
        <f>IF($B21="",0,IF(COUNTIF('VENDORS + APPOINTMENTS'!$B$6:$B$65,$B21)&gt;1,1,0))</f>
      </c>
      <c r="Y21" s="78">
        <f>IF(OR(N($M21)&gt;0,N($Q21)&gt;0),IF($L21="",1,IF(COUNTIF('MASTER BUDGET'!$D$6:$D$25,$L21)=0,1,0)),0)</f>
      </c>
      <c r="Z21" s="78">
        <f>IF($I21="",0,IF(COUNTIF('CHRISTMAS CALENDAR'!$B$6:$B$205,$I21)=0,1,0))</f>
      </c>
      <c r="AA21" s="75"/>
    </row>
    <row r="22" ht="17" customHeight="1" spans="1:27" x14ac:dyDescent="0.25">
      <c r="A22" s="75"/>
      <c r="B22" s="79"/>
      <c r="C22" s="79"/>
      <c r="D22" s="79"/>
      <c r="E22" s="79"/>
      <c r="F22" s="79"/>
      <c r="G22" s="80"/>
      <c r="H22" s="80"/>
      <c r="I22" s="79"/>
      <c r="J22" s="82"/>
      <c r="K22" s="96"/>
      <c r="L22" s="79"/>
      <c r="M22" s="86"/>
      <c r="N22" s="86"/>
      <c r="O22" s="85">
        <f>IF($B22="","",MAX(0,$M22-$N22))</f>
      </c>
      <c r="P22" s="82"/>
      <c r="Q22" s="85">
        <f>IF($B22="","",IF($T22="Paid in full",$M22,IF($T22="Complete",$M22,$N22)))</f>
      </c>
      <c r="R22" s="80"/>
      <c r="S22" s="79"/>
      <c r="T22" s="79"/>
      <c r="U22" s="79"/>
      <c r="V22" s="78">
        <f>IF($B22="","",IF($T22="Declined","CLOSED",IF($O22=0,"SETTLED",IF($P22="","BALANCE OPEN",IF($P22&lt;TODAY(),"BALANCE OVERDUE",IF($P22-TODAY()&lt;=7,"BALANCE DUE SOON","BALANCE OPEN"))))))</f>
      </c>
      <c r="W22" s="80"/>
      <c r="X22" s="78">
        <f>IF($B22="",0,IF(COUNTIF('VENDORS + APPOINTMENTS'!$B$6:$B$65,$B22)&gt;1,1,0))</f>
      </c>
      <c r="Y22" s="78">
        <f>IF(OR(N($M22)&gt;0,N($Q22)&gt;0),IF($L22="",1,IF(COUNTIF('MASTER BUDGET'!$D$6:$D$25,$L22)=0,1,0)),0)</f>
      </c>
      <c r="Z22" s="78">
        <f>IF($I22="",0,IF(COUNTIF('CHRISTMAS CALENDAR'!$B$6:$B$205,$I22)=0,1,0))</f>
      </c>
      <c r="AA22" s="75"/>
    </row>
    <row r="23" ht="17" customHeight="1" spans="1:27" x14ac:dyDescent="0.25">
      <c r="A23" s="75"/>
      <c r="B23" s="79"/>
      <c r="C23" s="79"/>
      <c r="D23" s="79"/>
      <c r="E23" s="79"/>
      <c r="F23" s="79"/>
      <c r="G23" s="80"/>
      <c r="H23" s="80"/>
      <c r="I23" s="79"/>
      <c r="J23" s="82"/>
      <c r="K23" s="96"/>
      <c r="L23" s="79"/>
      <c r="M23" s="86"/>
      <c r="N23" s="86"/>
      <c r="O23" s="85">
        <f>IF($B23="","",MAX(0,$M23-$N23))</f>
      </c>
      <c r="P23" s="82"/>
      <c r="Q23" s="85">
        <f>IF($B23="","",IF($T23="Paid in full",$M23,IF($T23="Complete",$M23,$N23)))</f>
      </c>
      <c r="R23" s="80"/>
      <c r="S23" s="79"/>
      <c r="T23" s="79"/>
      <c r="U23" s="79"/>
      <c r="V23" s="78">
        <f>IF($B23="","",IF($T23="Declined","CLOSED",IF($O23=0,"SETTLED",IF($P23="","BALANCE OPEN",IF($P23&lt;TODAY(),"BALANCE OVERDUE",IF($P23-TODAY()&lt;=7,"BALANCE DUE SOON","BALANCE OPEN"))))))</f>
      </c>
      <c r="W23" s="80"/>
      <c r="X23" s="78">
        <f>IF($B23="",0,IF(COUNTIF('VENDORS + APPOINTMENTS'!$B$6:$B$65,$B23)&gt;1,1,0))</f>
      </c>
      <c r="Y23" s="78">
        <f>IF(OR(N($M23)&gt;0,N($Q23)&gt;0),IF($L23="",1,IF(COUNTIF('MASTER BUDGET'!$D$6:$D$25,$L23)=0,1,0)),0)</f>
      </c>
      <c r="Z23" s="78">
        <f>IF($I23="",0,IF(COUNTIF('CHRISTMAS CALENDAR'!$B$6:$B$205,$I23)=0,1,0))</f>
      </c>
      <c r="AA23" s="75"/>
    </row>
    <row r="24" ht="17" customHeight="1" spans="1:27" x14ac:dyDescent="0.25">
      <c r="A24" s="75"/>
      <c r="B24" s="79"/>
      <c r="C24" s="79"/>
      <c r="D24" s="79"/>
      <c r="E24" s="79"/>
      <c r="F24" s="79"/>
      <c r="G24" s="80"/>
      <c r="H24" s="80"/>
      <c r="I24" s="79"/>
      <c r="J24" s="82"/>
      <c r="K24" s="96"/>
      <c r="L24" s="79"/>
      <c r="M24" s="86"/>
      <c r="N24" s="86"/>
      <c r="O24" s="85">
        <f>IF($B24="","",MAX(0,$M24-$N24))</f>
      </c>
      <c r="P24" s="82"/>
      <c r="Q24" s="85">
        <f>IF($B24="","",IF($T24="Paid in full",$M24,IF($T24="Complete",$M24,$N24)))</f>
      </c>
      <c r="R24" s="80"/>
      <c r="S24" s="79"/>
      <c r="T24" s="79"/>
      <c r="U24" s="79"/>
      <c r="V24" s="78">
        <f>IF($B24="","",IF($T24="Declined","CLOSED",IF($O24=0,"SETTLED",IF($P24="","BALANCE OPEN",IF($P24&lt;TODAY(),"BALANCE OVERDUE",IF($P24-TODAY()&lt;=7,"BALANCE DUE SOON","BALANCE OPEN"))))))</f>
      </c>
      <c r="W24" s="80"/>
      <c r="X24" s="78">
        <f>IF($B24="",0,IF(COUNTIF('VENDORS + APPOINTMENTS'!$B$6:$B$65,$B24)&gt;1,1,0))</f>
      </c>
      <c r="Y24" s="78">
        <f>IF(OR(N($M24)&gt;0,N($Q24)&gt;0),IF($L24="",1,IF(COUNTIF('MASTER BUDGET'!$D$6:$D$25,$L24)=0,1,0)),0)</f>
      </c>
      <c r="Z24" s="78">
        <f>IF($I24="",0,IF(COUNTIF('CHRISTMAS CALENDAR'!$B$6:$B$205,$I24)=0,1,0))</f>
      </c>
      <c r="AA24" s="75"/>
    </row>
    <row r="25" ht="17" customHeight="1" spans="1:27" x14ac:dyDescent="0.25">
      <c r="A25" s="75"/>
      <c r="B25" s="79"/>
      <c r="C25" s="79"/>
      <c r="D25" s="79"/>
      <c r="E25" s="79"/>
      <c r="F25" s="79"/>
      <c r="G25" s="80"/>
      <c r="H25" s="80"/>
      <c r="I25" s="79"/>
      <c r="J25" s="82"/>
      <c r="K25" s="96"/>
      <c r="L25" s="79"/>
      <c r="M25" s="86"/>
      <c r="N25" s="86"/>
      <c r="O25" s="85">
        <f>IF($B25="","",MAX(0,$M25-$N25))</f>
      </c>
      <c r="P25" s="82"/>
      <c r="Q25" s="85">
        <f>IF($B25="","",IF($T25="Paid in full",$M25,IF($T25="Complete",$M25,$N25)))</f>
      </c>
      <c r="R25" s="80"/>
      <c r="S25" s="79"/>
      <c r="T25" s="79"/>
      <c r="U25" s="79"/>
      <c r="V25" s="78">
        <f>IF($B25="","",IF($T25="Declined","CLOSED",IF($O25=0,"SETTLED",IF($P25="","BALANCE OPEN",IF($P25&lt;TODAY(),"BALANCE OVERDUE",IF($P25-TODAY()&lt;=7,"BALANCE DUE SOON","BALANCE OPEN"))))))</f>
      </c>
      <c r="W25" s="80"/>
      <c r="X25" s="78">
        <f>IF($B25="",0,IF(COUNTIF('VENDORS + APPOINTMENTS'!$B$6:$B$65,$B25)&gt;1,1,0))</f>
      </c>
      <c r="Y25" s="78">
        <f>IF(OR(N($M25)&gt;0,N($Q25)&gt;0),IF($L25="",1,IF(COUNTIF('MASTER BUDGET'!$D$6:$D$25,$L25)=0,1,0)),0)</f>
      </c>
      <c r="Z25" s="78">
        <f>IF($I25="",0,IF(COUNTIF('CHRISTMAS CALENDAR'!$B$6:$B$205,$I25)=0,1,0))</f>
      </c>
      <c r="AA25" s="75"/>
    </row>
    <row r="26" ht="17" customHeight="1" spans="1:27" x14ac:dyDescent="0.25">
      <c r="A26" s="75"/>
      <c r="B26" s="79"/>
      <c r="C26" s="79"/>
      <c r="D26" s="79"/>
      <c r="E26" s="79"/>
      <c r="F26" s="79"/>
      <c r="G26" s="80"/>
      <c r="H26" s="80"/>
      <c r="I26" s="79"/>
      <c r="J26" s="82"/>
      <c r="K26" s="96"/>
      <c r="L26" s="79"/>
      <c r="M26" s="86"/>
      <c r="N26" s="86"/>
      <c r="O26" s="85">
        <f>IF($B26="","",MAX(0,$M26-$N26))</f>
      </c>
      <c r="P26" s="82"/>
      <c r="Q26" s="85">
        <f>IF($B26="","",IF($T26="Paid in full",$M26,IF($T26="Complete",$M26,$N26)))</f>
      </c>
      <c r="R26" s="80"/>
      <c r="S26" s="79"/>
      <c r="T26" s="79"/>
      <c r="U26" s="79"/>
      <c r="V26" s="78">
        <f>IF($B26="","",IF($T26="Declined","CLOSED",IF($O26=0,"SETTLED",IF($P26="","BALANCE OPEN",IF($P26&lt;TODAY(),"BALANCE OVERDUE",IF($P26-TODAY()&lt;=7,"BALANCE DUE SOON","BALANCE OPEN"))))))</f>
      </c>
      <c r="W26" s="80"/>
      <c r="X26" s="78">
        <f>IF($B26="",0,IF(COUNTIF('VENDORS + APPOINTMENTS'!$B$6:$B$65,$B26)&gt;1,1,0))</f>
      </c>
      <c r="Y26" s="78">
        <f>IF(OR(N($M26)&gt;0,N($Q26)&gt;0),IF($L26="",1,IF(COUNTIF('MASTER BUDGET'!$D$6:$D$25,$L26)=0,1,0)),0)</f>
      </c>
      <c r="Z26" s="78">
        <f>IF($I26="",0,IF(COUNTIF('CHRISTMAS CALENDAR'!$B$6:$B$205,$I26)=0,1,0))</f>
      </c>
      <c r="AA26" s="75"/>
    </row>
    <row r="27" ht="17" customHeight="1" spans="1:27" x14ac:dyDescent="0.25">
      <c r="A27" s="75"/>
      <c r="B27" s="79"/>
      <c r="C27" s="79"/>
      <c r="D27" s="79"/>
      <c r="E27" s="79"/>
      <c r="F27" s="79"/>
      <c r="G27" s="80"/>
      <c r="H27" s="80"/>
      <c r="I27" s="79"/>
      <c r="J27" s="82"/>
      <c r="K27" s="96"/>
      <c r="L27" s="79"/>
      <c r="M27" s="86"/>
      <c r="N27" s="86"/>
      <c r="O27" s="85">
        <f>IF($B27="","",MAX(0,$M27-$N27))</f>
      </c>
      <c r="P27" s="82"/>
      <c r="Q27" s="85">
        <f>IF($B27="","",IF($T27="Paid in full",$M27,IF($T27="Complete",$M27,$N27)))</f>
      </c>
      <c r="R27" s="80"/>
      <c r="S27" s="79"/>
      <c r="T27" s="79"/>
      <c r="U27" s="79"/>
      <c r="V27" s="78">
        <f>IF($B27="","",IF($T27="Declined","CLOSED",IF($O27=0,"SETTLED",IF($P27="","BALANCE OPEN",IF($P27&lt;TODAY(),"BALANCE OVERDUE",IF($P27-TODAY()&lt;=7,"BALANCE DUE SOON","BALANCE OPEN"))))))</f>
      </c>
      <c r="W27" s="80"/>
      <c r="X27" s="78">
        <f>IF($B27="",0,IF(COUNTIF('VENDORS + APPOINTMENTS'!$B$6:$B$65,$B27)&gt;1,1,0))</f>
      </c>
      <c r="Y27" s="78">
        <f>IF(OR(N($M27)&gt;0,N($Q27)&gt;0),IF($L27="",1,IF(COUNTIF('MASTER BUDGET'!$D$6:$D$25,$L27)=0,1,0)),0)</f>
      </c>
      <c r="Z27" s="78">
        <f>IF($I27="",0,IF(COUNTIF('CHRISTMAS CALENDAR'!$B$6:$B$205,$I27)=0,1,0))</f>
      </c>
      <c r="AA27" s="75"/>
    </row>
    <row r="28" ht="17" customHeight="1" spans="1:27" x14ac:dyDescent="0.25">
      <c r="A28" s="75"/>
      <c r="B28" s="79"/>
      <c r="C28" s="79"/>
      <c r="D28" s="79"/>
      <c r="E28" s="79"/>
      <c r="F28" s="79"/>
      <c r="G28" s="80"/>
      <c r="H28" s="80"/>
      <c r="I28" s="79"/>
      <c r="J28" s="82"/>
      <c r="K28" s="96"/>
      <c r="L28" s="79"/>
      <c r="M28" s="86"/>
      <c r="N28" s="86"/>
      <c r="O28" s="85">
        <f>IF($B28="","",MAX(0,$M28-$N28))</f>
      </c>
      <c r="P28" s="82"/>
      <c r="Q28" s="85">
        <f>IF($B28="","",IF($T28="Paid in full",$M28,IF($T28="Complete",$M28,$N28)))</f>
      </c>
      <c r="R28" s="80"/>
      <c r="S28" s="79"/>
      <c r="T28" s="79"/>
      <c r="U28" s="79"/>
      <c r="V28" s="78">
        <f>IF($B28="","",IF($T28="Declined","CLOSED",IF($O28=0,"SETTLED",IF($P28="","BALANCE OPEN",IF($P28&lt;TODAY(),"BALANCE OVERDUE",IF($P28-TODAY()&lt;=7,"BALANCE DUE SOON","BALANCE OPEN"))))))</f>
      </c>
      <c r="W28" s="80"/>
      <c r="X28" s="78">
        <f>IF($B28="",0,IF(COUNTIF('VENDORS + APPOINTMENTS'!$B$6:$B$65,$B28)&gt;1,1,0))</f>
      </c>
      <c r="Y28" s="78">
        <f>IF(OR(N($M28)&gt;0,N($Q28)&gt;0),IF($L28="",1,IF(COUNTIF('MASTER BUDGET'!$D$6:$D$25,$L28)=0,1,0)),0)</f>
      </c>
      <c r="Z28" s="78">
        <f>IF($I28="",0,IF(COUNTIF('CHRISTMAS CALENDAR'!$B$6:$B$205,$I28)=0,1,0))</f>
      </c>
      <c r="AA28" s="75"/>
    </row>
    <row r="29" ht="17" customHeight="1" spans="1:27" x14ac:dyDescent="0.25">
      <c r="A29" s="75"/>
      <c r="B29" s="79"/>
      <c r="C29" s="79"/>
      <c r="D29" s="79"/>
      <c r="E29" s="79"/>
      <c r="F29" s="79"/>
      <c r="G29" s="80"/>
      <c r="H29" s="80"/>
      <c r="I29" s="79"/>
      <c r="J29" s="82"/>
      <c r="K29" s="96"/>
      <c r="L29" s="79"/>
      <c r="M29" s="86"/>
      <c r="N29" s="86"/>
      <c r="O29" s="85">
        <f>IF($B29="","",MAX(0,$M29-$N29))</f>
      </c>
      <c r="P29" s="82"/>
      <c r="Q29" s="85">
        <f>IF($B29="","",IF($T29="Paid in full",$M29,IF($T29="Complete",$M29,$N29)))</f>
      </c>
      <c r="R29" s="80"/>
      <c r="S29" s="79"/>
      <c r="T29" s="79"/>
      <c r="U29" s="79"/>
      <c r="V29" s="78">
        <f>IF($B29="","",IF($T29="Declined","CLOSED",IF($O29=0,"SETTLED",IF($P29="","BALANCE OPEN",IF($P29&lt;TODAY(),"BALANCE OVERDUE",IF($P29-TODAY()&lt;=7,"BALANCE DUE SOON","BALANCE OPEN"))))))</f>
      </c>
      <c r="W29" s="80"/>
      <c r="X29" s="78">
        <f>IF($B29="",0,IF(COUNTIF('VENDORS + APPOINTMENTS'!$B$6:$B$65,$B29)&gt;1,1,0))</f>
      </c>
      <c r="Y29" s="78">
        <f>IF(OR(N($M29)&gt;0,N($Q29)&gt;0),IF($L29="",1,IF(COUNTIF('MASTER BUDGET'!$D$6:$D$25,$L29)=0,1,0)),0)</f>
      </c>
      <c r="Z29" s="78">
        <f>IF($I29="",0,IF(COUNTIF('CHRISTMAS CALENDAR'!$B$6:$B$205,$I29)=0,1,0))</f>
      </c>
      <c r="AA29" s="75"/>
    </row>
    <row r="30" ht="17" customHeight="1" spans="1:27" x14ac:dyDescent="0.25">
      <c r="A30" s="75"/>
      <c r="B30" s="79"/>
      <c r="C30" s="79"/>
      <c r="D30" s="79"/>
      <c r="E30" s="79"/>
      <c r="F30" s="79"/>
      <c r="G30" s="80"/>
      <c r="H30" s="80"/>
      <c r="I30" s="79"/>
      <c r="J30" s="82"/>
      <c r="K30" s="96"/>
      <c r="L30" s="79"/>
      <c r="M30" s="86"/>
      <c r="N30" s="86"/>
      <c r="O30" s="85">
        <f>IF($B30="","",MAX(0,$M30-$N30))</f>
      </c>
      <c r="P30" s="82"/>
      <c r="Q30" s="85">
        <f>IF($B30="","",IF($T30="Paid in full",$M30,IF($T30="Complete",$M30,$N30)))</f>
      </c>
      <c r="R30" s="80"/>
      <c r="S30" s="79"/>
      <c r="T30" s="79"/>
      <c r="U30" s="79"/>
      <c r="V30" s="78">
        <f>IF($B30="","",IF($T30="Declined","CLOSED",IF($O30=0,"SETTLED",IF($P30="","BALANCE OPEN",IF($P30&lt;TODAY(),"BALANCE OVERDUE",IF($P30-TODAY()&lt;=7,"BALANCE DUE SOON","BALANCE OPEN"))))))</f>
      </c>
      <c r="W30" s="80"/>
      <c r="X30" s="78">
        <f>IF($B30="",0,IF(COUNTIF('VENDORS + APPOINTMENTS'!$B$6:$B$65,$B30)&gt;1,1,0))</f>
      </c>
      <c r="Y30" s="78">
        <f>IF(OR(N($M30)&gt;0,N($Q30)&gt;0),IF($L30="",1,IF(COUNTIF('MASTER BUDGET'!$D$6:$D$25,$L30)=0,1,0)),0)</f>
      </c>
      <c r="Z30" s="78">
        <f>IF($I30="",0,IF(COUNTIF('CHRISTMAS CALENDAR'!$B$6:$B$205,$I30)=0,1,0))</f>
      </c>
      <c r="AA30" s="75"/>
    </row>
    <row r="31" ht="17" customHeight="1" spans="1:27" x14ac:dyDescent="0.25">
      <c r="A31" s="75"/>
      <c r="B31" s="79"/>
      <c r="C31" s="79"/>
      <c r="D31" s="79"/>
      <c r="E31" s="79"/>
      <c r="F31" s="79"/>
      <c r="G31" s="80"/>
      <c r="H31" s="80"/>
      <c r="I31" s="79"/>
      <c r="J31" s="82"/>
      <c r="K31" s="96"/>
      <c r="L31" s="79"/>
      <c r="M31" s="86"/>
      <c r="N31" s="86"/>
      <c r="O31" s="85">
        <f>IF($B31="","",MAX(0,$M31-$N31))</f>
      </c>
      <c r="P31" s="82"/>
      <c r="Q31" s="85">
        <f>IF($B31="","",IF($T31="Paid in full",$M31,IF($T31="Complete",$M31,$N31)))</f>
      </c>
      <c r="R31" s="80"/>
      <c r="S31" s="79"/>
      <c r="T31" s="79"/>
      <c r="U31" s="79"/>
      <c r="V31" s="78">
        <f>IF($B31="","",IF($T31="Declined","CLOSED",IF($O31=0,"SETTLED",IF($P31="","BALANCE OPEN",IF($P31&lt;TODAY(),"BALANCE OVERDUE",IF($P31-TODAY()&lt;=7,"BALANCE DUE SOON","BALANCE OPEN"))))))</f>
      </c>
      <c r="W31" s="80"/>
      <c r="X31" s="78">
        <f>IF($B31="",0,IF(COUNTIF('VENDORS + APPOINTMENTS'!$B$6:$B$65,$B31)&gt;1,1,0))</f>
      </c>
      <c r="Y31" s="78">
        <f>IF(OR(N($M31)&gt;0,N($Q31)&gt;0),IF($L31="",1,IF(COUNTIF('MASTER BUDGET'!$D$6:$D$25,$L31)=0,1,0)),0)</f>
      </c>
      <c r="Z31" s="78">
        <f>IF($I31="",0,IF(COUNTIF('CHRISTMAS CALENDAR'!$B$6:$B$205,$I31)=0,1,0))</f>
      </c>
      <c r="AA31" s="75"/>
    </row>
    <row r="32" ht="17" customHeight="1" spans="1:27" x14ac:dyDescent="0.25">
      <c r="A32" s="75"/>
      <c r="B32" s="79"/>
      <c r="C32" s="79"/>
      <c r="D32" s="79"/>
      <c r="E32" s="79"/>
      <c r="F32" s="79"/>
      <c r="G32" s="80"/>
      <c r="H32" s="80"/>
      <c r="I32" s="79"/>
      <c r="J32" s="82"/>
      <c r="K32" s="96"/>
      <c r="L32" s="79"/>
      <c r="M32" s="86"/>
      <c r="N32" s="86"/>
      <c r="O32" s="85">
        <f>IF($B32="","",MAX(0,$M32-$N32))</f>
      </c>
      <c r="P32" s="82"/>
      <c r="Q32" s="85">
        <f>IF($B32="","",IF($T32="Paid in full",$M32,IF($T32="Complete",$M32,$N32)))</f>
      </c>
      <c r="R32" s="80"/>
      <c r="S32" s="79"/>
      <c r="T32" s="79"/>
      <c r="U32" s="79"/>
      <c r="V32" s="78">
        <f>IF($B32="","",IF($T32="Declined","CLOSED",IF($O32=0,"SETTLED",IF($P32="","BALANCE OPEN",IF($P32&lt;TODAY(),"BALANCE OVERDUE",IF($P32-TODAY()&lt;=7,"BALANCE DUE SOON","BALANCE OPEN"))))))</f>
      </c>
      <c r="W32" s="80"/>
      <c r="X32" s="78">
        <f>IF($B32="",0,IF(COUNTIF('VENDORS + APPOINTMENTS'!$B$6:$B$65,$B32)&gt;1,1,0))</f>
      </c>
      <c r="Y32" s="78">
        <f>IF(OR(N($M32)&gt;0,N($Q32)&gt;0),IF($L32="",1,IF(COUNTIF('MASTER BUDGET'!$D$6:$D$25,$L32)=0,1,0)),0)</f>
      </c>
      <c r="Z32" s="78">
        <f>IF($I32="",0,IF(COUNTIF('CHRISTMAS CALENDAR'!$B$6:$B$205,$I32)=0,1,0))</f>
      </c>
      <c r="AA32" s="75"/>
    </row>
    <row r="33" ht="17" customHeight="1" spans="1:27" x14ac:dyDescent="0.25">
      <c r="A33" s="75"/>
      <c r="B33" s="79"/>
      <c r="C33" s="79"/>
      <c r="D33" s="79"/>
      <c r="E33" s="79"/>
      <c r="F33" s="79"/>
      <c r="G33" s="80"/>
      <c r="H33" s="80"/>
      <c r="I33" s="79"/>
      <c r="J33" s="82"/>
      <c r="K33" s="96"/>
      <c r="L33" s="79"/>
      <c r="M33" s="86"/>
      <c r="N33" s="86"/>
      <c r="O33" s="85">
        <f>IF($B33="","",MAX(0,$M33-$N33))</f>
      </c>
      <c r="P33" s="82"/>
      <c r="Q33" s="85">
        <f>IF($B33="","",IF($T33="Paid in full",$M33,IF($T33="Complete",$M33,$N33)))</f>
      </c>
      <c r="R33" s="80"/>
      <c r="S33" s="79"/>
      <c r="T33" s="79"/>
      <c r="U33" s="79"/>
      <c r="V33" s="78">
        <f>IF($B33="","",IF($T33="Declined","CLOSED",IF($O33=0,"SETTLED",IF($P33="","BALANCE OPEN",IF($P33&lt;TODAY(),"BALANCE OVERDUE",IF($P33-TODAY()&lt;=7,"BALANCE DUE SOON","BALANCE OPEN"))))))</f>
      </c>
      <c r="W33" s="80"/>
      <c r="X33" s="78">
        <f>IF($B33="",0,IF(COUNTIF('VENDORS + APPOINTMENTS'!$B$6:$B$65,$B33)&gt;1,1,0))</f>
      </c>
      <c r="Y33" s="78">
        <f>IF(OR(N($M33)&gt;0,N($Q33)&gt;0),IF($L33="",1,IF(COUNTIF('MASTER BUDGET'!$D$6:$D$25,$L33)=0,1,0)),0)</f>
      </c>
      <c r="Z33" s="78">
        <f>IF($I33="",0,IF(COUNTIF('CHRISTMAS CALENDAR'!$B$6:$B$205,$I33)=0,1,0))</f>
      </c>
      <c r="AA33" s="75"/>
    </row>
    <row r="34" ht="17" customHeight="1" spans="1:27" x14ac:dyDescent="0.25">
      <c r="A34" s="75"/>
      <c r="B34" s="79"/>
      <c r="C34" s="79"/>
      <c r="D34" s="79"/>
      <c r="E34" s="79"/>
      <c r="F34" s="79"/>
      <c r="G34" s="80"/>
      <c r="H34" s="80"/>
      <c r="I34" s="79"/>
      <c r="J34" s="82"/>
      <c r="K34" s="96"/>
      <c r="L34" s="79"/>
      <c r="M34" s="86"/>
      <c r="N34" s="86"/>
      <c r="O34" s="85">
        <f>IF($B34="","",MAX(0,$M34-$N34))</f>
      </c>
      <c r="P34" s="82"/>
      <c r="Q34" s="85">
        <f>IF($B34="","",IF($T34="Paid in full",$M34,IF($T34="Complete",$M34,$N34)))</f>
      </c>
      <c r="R34" s="80"/>
      <c r="S34" s="79"/>
      <c r="T34" s="79"/>
      <c r="U34" s="79"/>
      <c r="V34" s="78">
        <f>IF($B34="","",IF($T34="Declined","CLOSED",IF($O34=0,"SETTLED",IF($P34="","BALANCE OPEN",IF($P34&lt;TODAY(),"BALANCE OVERDUE",IF($P34-TODAY()&lt;=7,"BALANCE DUE SOON","BALANCE OPEN"))))))</f>
      </c>
      <c r="W34" s="80"/>
      <c r="X34" s="78">
        <f>IF($B34="",0,IF(COUNTIF('VENDORS + APPOINTMENTS'!$B$6:$B$65,$B34)&gt;1,1,0))</f>
      </c>
      <c r="Y34" s="78">
        <f>IF(OR(N($M34)&gt;0,N($Q34)&gt;0),IF($L34="",1,IF(COUNTIF('MASTER BUDGET'!$D$6:$D$25,$L34)=0,1,0)),0)</f>
      </c>
      <c r="Z34" s="78">
        <f>IF($I34="",0,IF(COUNTIF('CHRISTMAS CALENDAR'!$B$6:$B$205,$I34)=0,1,0))</f>
      </c>
      <c r="AA34" s="75"/>
    </row>
    <row r="35" ht="17" customHeight="1" spans="1:27" x14ac:dyDescent="0.25">
      <c r="A35" s="75"/>
      <c r="B35" s="79"/>
      <c r="C35" s="79"/>
      <c r="D35" s="79"/>
      <c r="E35" s="79"/>
      <c r="F35" s="79"/>
      <c r="G35" s="80"/>
      <c r="H35" s="80"/>
      <c r="I35" s="79"/>
      <c r="J35" s="82"/>
      <c r="K35" s="96"/>
      <c r="L35" s="79"/>
      <c r="M35" s="86"/>
      <c r="N35" s="86"/>
      <c r="O35" s="85">
        <f>IF($B35="","",MAX(0,$M35-$N35))</f>
      </c>
      <c r="P35" s="82"/>
      <c r="Q35" s="85">
        <f>IF($B35="","",IF($T35="Paid in full",$M35,IF($T35="Complete",$M35,$N35)))</f>
      </c>
      <c r="R35" s="80"/>
      <c r="S35" s="79"/>
      <c r="T35" s="79"/>
      <c r="U35" s="79"/>
      <c r="V35" s="78">
        <f>IF($B35="","",IF($T35="Declined","CLOSED",IF($O35=0,"SETTLED",IF($P35="","BALANCE OPEN",IF($P35&lt;TODAY(),"BALANCE OVERDUE",IF($P35-TODAY()&lt;=7,"BALANCE DUE SOON","BALANCE OPEN"))))))</f>
      </c>
      <c r="W35" s="80"/>
      <c r="X35" s="78">
        <f>IF($B35="",0,IF(COUNTIF('VENDORS + APPOINTMENTS'!$B$6:$B$65,$B35)&gt;1,1,0))</f>
      </c>
      <c r="Y35" s="78">
        <f>IF(OR(N($M35)&gt;0,N($Q35)&gt;0),IF($L35="",1,IF(COUNTIF('MASTER BUDGET'!$D$6:$D$25,$L35)=0,1,0)),0)</f>
      </c>
      <c r="Z35" s="78">
        <f>IF($I35="",0,IF(COUNTIF('CHRISTMAS CALENDAR'!$B$6:$B$205,$I35)=0,1,0))</f>
      </c>
      <c r="AA35" s="75"/>
    </row>
    <row r="36" ht="17" customHeight="1" spans="1:27" x14ac:dyDescent="0.25">
      <c r="A36" s="75"/>
      <c r="B36" s="79"/>
      <c r="C36" s="79"/>
      <c r="D36" s="79"/>
      <c r="E36" s="79"/>
      <c r="F36" s="79"/>
      <c r="G36" s="80"/>
      <c r="H36" s="80"/>
      <c r="I36" s="79"/>
      <c r="J36" s="82"/>
      <c r="K36" s="96"/>
      <c r="L36" s="79"/>
      <c r="M36" s="86"/>
      <c r="N36" s="86"/>
      <c r="O36" s="85">
        <f>IF($B36="","",MAX(0,$M36-$N36))</f>
      </c>
      <c r="P36" s="82"/>
      <c r="Q36" s="85">
        <f>IF($B36="","",IF($T36="Paid in full",$M36,IF($T36="Complete",$M36,$N36)))</f>
      </c>
      <c r="R36" s="80"/>
      <c r="S36" s="79"/>
      <c r="T36" s="79"/>
      <c r="U36" s="79"/>
      <c r="V36" s="78">
        <f>IF($B36="","",IF($T36="Declined","CLOSED",IF($O36=0,"SETTLED",IF($P36="","BALANCE OPEN",IF($P36&lt;TODAY(),"BALANCE OVERDUE",IF($P36-TODAY()&lt;=7,"BALANCE DUE SOON","BALANCE OPEN"))))))</f>
      </c>
      <c r="W36" s="80"/>
      <c r="X36" s="78">
        <f>IF($B36="",0,IF(COUNTIF('VENDORS + APPOINTMENTS'!$B$6:$B$65,$B36)&gt;1,1,0))</f>
      </c>
      <c r="Y36" s="78">
        <f>IF(OR(N($M36)&gt;0,N($Q36)&gt;0),IF($L36="",1,IF(COUNTIF('MASTER BUDGET'!$D$6:$D$25,$L36)=0,1,0)),0)</f>
      </c>
      <c r="Z36" s="78">
        <f>IF($I36="",0,IF(COUNTIF('CHRISTMAS CALENDAR'!$B$6:$B$205,$I36)=0,1,0))</f>
      </c>
      <c r="AA36" s="75"/>
    </row>
    <row r="37" ht="17" customHeight="1" spans="1:27" x14ac:dyDescent="0.25">
      <c r="A37" s="75"/>
      <c r="B37" s="79"/>
      <c r="C37" s="79"/>
      <c r="D37" s="79"/>
      <c r="E37" s="79"/>
      <c r="F37" s="79"/>
      <c r="G37" s="80"/>
      <c r="H37" s="80"/>
      <c r="I37" s="79"/>
      <c r="J37" s="82"/>
      <c r="K37" s="96"/>
      <c r="L37" s="79"/>
      <c r="M37" s="86"/>
      <c r="N37" s="86"/>
      <c r="O37" s="85">
        <f>IF($B37="","",MAX(0,$M37-$N37))</f>
      </c>
      <c r="P37" s="82"/>
      <c r="Q37" s="85">
        <f>IF($B37="","",IF($T37="Paid in full",$M37,IF($T37="Complete",$M37,$N37)))</f>
      </c>
      <c r="R37" s="80"/>
      <c r="S37" s="79"/>
      <c r="T37" s="79"/>
      <c r="U37" s="79"/>
      <c r="V37" s="78">
        <f>IF($B37="","",IF($T37="Declined","CLOSED",IF($O37=0,"SETTLED",IF($P37="","BALANCE OPEN",IF($P37&lt;TODAY(),"BALANCE OVERDUE",IF($P37-TODAY()&lt;=7,"BALANCE DUE SOON","BALANCE OPEN"))))))</f>
      </c>
      <c r="W37" s="80"/>
      <c r="X37" s="78">
        <f>IF($B37="",0,IF(COUNTIF('VENDORS + APPOINTMENTS'!$B$6:$B$65,$B37)&gt;1,1,0))</f>
      </c>
      <c r="Y37" s="78">
        <f>IF(OR(N($M37)&gt;0,N($Q37)&gt;0),IF($L37="",1,IF(COUNTIF('MASTER BUDGET'!$D$6:$D$25,$L37)=0,1,0)),0)</f>
      </c>
      <c r="Z37" s="78">
        <f>IF($I37="",0,IF(COUNTIF('CHRISTMAS CALENDAR'!$B$6:$B$205,$I37)=0,1,0))</f>
      </c>
      <c r="AA37" s="75"/>
    </row>
    <row r="38" ht="17" customHeight="1" spans="1:27" x14ac:dyDescent="0.25">
      <c r="A38" s="75"/>
      <c r="B38" s="79"/>
      <c r="C38" s="79"/>
      <c r="D38" s="79"/>
      <c r="E38" s="79"/>
      <c r="F38" s="79"/>
      <c r="G38" s="80"/>
      <c r="H38" s="80"/>
      <c r="I38" s="79"/>
      <c r="J38" s="82"/>
      <c r="K38" s="96"/>
      <c r="L38" s="79"/>
      <c r="M38" s="86"/>
      <c r="N38" s="86"/>
      <c r="O38" s="85">
        <f>IF($B38="","",MAX(0,$M38-$N38))</f>
      </c>
      <c r="P38" s="82"/>
      <c r="Q38" s="85">
        <f>IF($B38="","",IF($T38="Paid in full",$M38,IF($T38="Complete",$M38,$N38)))</f>
      </c>
      <c r="R38" s="80"/>
      <c r="S38" s="79"/>
      <c r="T38" s="79"/>
      <c r="U38" s="79"/>
      <c r="V38" s="78">
        <f>IF($B38="","",IF($T38="Declined","CLOSED",IF($O38=0,"SETTLED",IF($P38="","BALANCE OPEN",IF($P38&lt;TODAY(),"BALANCE OVERDUE",IF($P38-TODAY()&lt;=7,"BALANCE DUE SOON","BALANCE OPEN"))))))</f>
      </c>
      <c r="W38" s="80"/>
      <c r="X38" s="78">
        <f>IF($B38="",0,IF(COUNTIF('VENDORS + APPOINTMENTS'!$B$6:$B$65,$B38)&gt;1,1,0))</f>
      </c>
      <c r="Y38" s="78">
        <f>IF(OR(N($M38)&gt;0,N($Q38)&gt;0),IF($L38="",1,IF(COUNTIF('MASTER BUDGET'!$D$6:$D$25,$L38)=0,1,0)),0)</f>
      </c>
      <c r="Z38" s="78">
        <f>IF($I38="",0,IF(COUNTIF('CHRISTMAS CALENDAR'!$B$6:$B$205,$I38)=0,1,0))</f>
      </c>
      <c r="AA38" s="75"/>
    </row>
    <row r="39" ht="17" customHeight="1" spans="1:27" x14ac:dyDescent="0.25">
      <c r="A39" s="75"/>
      <c r="B39" s="79"/>
      <c r="C39" s="79"/>
      <c r="D39" s="79"/>
      <c r="E39" s="79"/>
      <c r="F39" s="79"/>
      <c r="G39" s="80"/>
      <c r="H39" s="80"/>
      <c r="I39" s="79"/>
      <c r="J39" s="82"/>
      <c r="K39" s="96"/>
      <c r="L39" s="79"/>
      <c r="M39" s="86"/>
      <c r="N39" s="86"/>
      <c r="O39" s="85">
        <f>IF($B39="","",MAX(0,$M39-$N39))</f>
      </c>
      <c r="P39" s="82"/>
      <c r="Q39" s="85">
        <f>IF($B39="","",IF($T39="Paid in full",$M39,IF($T39="Complete",$M39,$N39)))</f>
      </c>
      <c r="R39" s="80"/>
      <c r="S39" s="79"/>
      <c r="T39" s="79"/>
      <c r="U39" s="79"/>
      <c r="V39" s="78">
        <f>IF($B39="","",IF($T39="Declined","CLOSED",IF($O39=0,"SETTLED",IF($P39="","BALANCE OPEN",IF($P39&lt;TODAY(),"BALANCE OVERDUE",IF($P39-TODAY()&lt;=7,"BALANCE DUE SOON","BALANCE OPEN"))))))</f>
      </c>
      <c r="W39" s="80"/>
      <c r="X39" s="78">
        <f>IF($B39="",0,IF(COUNTIF('VENDORS + APPOINTMENTS'!$B$6:$B$65,$B39)&gt;1,1,0))</f>
      </c>
      <c r="Y39" s="78">
        <f>IF(OR(N($M39)&gt;0,N($Q39)&gt;0),IF($L39="",1,IF(COUNTIF('MASTER BUDGET'!$D$6:$D$25,$L39)=0,1,0)),0)</f>
      </c>
      <c r="Z39" s="78">
        <f>IF($I39="",0,IF(COUNTIF('CHRISTMAS CALENDAR'!$B$6:$B$205,$I39)=0,1,0))</f>
      </c>
      <c r="AA39" s="75"/>
    </row>
    <row r="40" ht="17" customHeight="1" spans="1:27" x14ac:dyDescent="0.25">
      <c r="A40" s="75"/>
      <c r="B40" s="79"/>
      <c r="C40" s="79"/>
      <c r="D40" s="79"/>
      <c r="E40" s="79"/>
      <c r="F40" s="79"/>
      <c r="G40" s="80"/>
      <c r="H40" s="80"/>
      <c r="I40" s="79"/>
      <c r="J40" s="82"/>
      <c r="K40" s="96"/>
      <c r="L40" s="79"/>
      <c r="M40" s="86"/>
      <c r="N40" s="86"/>
      <c r="O40" s="85">
        <f>IF($B40="","",MAX(0,$M40-$N40))</f>
      </c>
      <c r="P40" s="82"/>
      <c r="Q40" s="85">
        <f>IF($B40="","",IF($T40="Paid in full",$M40,IF($T40="Complete",$M40,$N40)))</f>
      </c>
      <c r="R40" s="80"/>
      <c r="S40" s="79"/>
      <c r="T40" s="79"/>
      <c r="U40" s="79"/>
      <c r="V40" s="78">
        <f>IF($B40="","",IF($T40="Declined","CLOSED",IF($O40=0,"SETTLED",IF($P40="","BALANCE OPEN",IF($P40&lt;TODAY(),"BALANCE OVERDUE",IF($P40-TODAY()&lt;=7,"BALANCE DUE SOON","BALANCE OPEN"))))))</f>
      </c>
      <c r="W40" s="80"/>
      <c r="X40" s="78">
        <f>IF($B40="",0,IF(COUNTIF('VENDORS + APPOINTMENTS'!$B$6:$B$65,$B40)&gt;1,1,0))</f>
      </c>
      <c r="Y40" s="78">
        <f>IF(OR(N($M40)&gt;0,N($Q40)&gt;0),IF($L40="",1,IF(COUNTIF('MASTER BUDGET'!$D$6:$D$25,$L40)=0,1,0)),0)</f>
      </c>
      <c r="Z40" s="78">
        <f>IF($I40="",0,IF(COUNTIF('CHRISTMAS CALENDAR'!$B$6:$B$205,$I40)=0,1,0))</f>
      </c>
      <c r="AA40" s="75"/>
    </row>
    <row r="41" ht="17" customHeight="1" spans="1:27" x14ac:dyDescent="0.25">
      <c r="A41" s="75"/>
      <c r="B41" s="79"/>
      <c r="C41" s="79"/>
      <c r="D41" s="79"/>
      <c r="E41" s="79"/>
      <c r="F41" s="79"/>
      <c r="G41" s="80"/>
      <c r="H41" s="80"/>
      <c r="I41" s="79"/>
      <c r="J41" s="82"/>
      <c r="K41" s="96"/>
      <c r="L41" s="79"/>
      <c r="M41" s="86"/>
      <c r="N41" s="86"/>
      <c r="O41" s="85">
        <f>IF($B41="","",MAX(0,$M41-$N41))</f>
      </c>
      <c r="P41" s="82"/>
      <c r="Q41" s="85">
        <f>IF($B41="","",IF($T41="Paid in full",$M41,IF($T41="Complete",$M41,$N41)))</f>
      </c>
      <c r="R41" s="80"/>
      <c r="S41" s="79"/>
      <c r="T41" s="79"/>
      <c r="U41" s="79"/>
      <c r="V41" s="78">
        <f>IF($B41="","",IF($T41="Declined","CLOSED",IF($O41=0,"SETTLED",IF($P41="","BALANCE OPEN",IF($P41&lt;TODAY(),"BALANCE OVERDUE",IF($P41-TODAY()&lt;=7,"BALANCE DUE SOON","BALANCE OPEN"))))))</f>
      </c>
      <c r="W41" s="80"/>
      <c r="X41" s="78">
        <f>IF($B41="",0,IF(COUNTIF('VENDORS + APPOINTMENTS'!$B$6:$B$65,$B41)&gt;1,1,0))</f>
      </c>
      <c r="Y41" s="78">
        <f>IF(OR(N($M41)&gt;0,N($Q41)&gt;0),IF($L41="",1,IF(COUNTIF('MASTER BUDGET'!$D$6:$D$25,$L41)=0,1,0)),0)</f>
      </c>
      <c r="Z41" s="78">
        <f>IF($I41="",0,IF(COUNTIF('CHRISTMAS CALENDAR'!$B$6:$B$205,$I41)=0,1,0))</f>
      </c>
      <c r="AA41" s="75"/>
    </row>
    <row r="42" ht="17" customHeight="1" spans="1:27" x14ac:dyDescent="0.25">
      <c r="A42" s="75"/>
      <c r="B42" s="79"/>
      <c r="C42" s="79"/>
      <c r="D42" s="79"/>
      <c r="E42" s="79"/>
      <c r="F42" s="79"/>
      <c r="G42" s="80"/>
      <c r="H42" s="80"/>
      <c r="I42" s="79"/>
      <c r="J42" s="82"/>
      <c r="K42" s="96"/>
      <c r="L42" s="79"/>
      <c r="M42" s="86"/>
      <c r="N42" s="86"/>
      <c r="O42" s="85">
        <f>IF($B42="","",MAX(0,$M42-$N42))</f>
      </c>
      <c r="P42" s="82"/>
      <c r="Q42" s="85">
        <f>IF($B42="","",IF($T42="Paid in full",$M42,IF($T42="Complete",$M42,$N42)))</f>
      </c>
      <c r="R42" s="80"/>
      <c r="S42" s="79"/>
      <c r="T42" s="79"/>
      <c r="U42" s="79"/>
      <c r="V42" s="78">
        <f>IF($B42="","",IF($T42="Declined","CLOSED",IF($O42=0,"SETTLED",IF($P42="","BALANCE OPEN",IF($P42&lt;TODAY(),"BALANCE OVERDUE",IF($P42-TODAY()&lt;=7,"BALANCE DUE SOON","BALANCE OPEN"))))))</f>
      </c>
      <c r="W42" s="80"/>
      <c r="X42" s="78">
        <f>IF($B42="",0,IF(COUNTIF('VENDORS + APPOINTMENTS'!$B$6:$B$65,$B42)&gt;1,1,0))</f>
      </c>
      <c r="Y42" s="78">
        <f>IF(OR(N($M42)&gt;0,N($Q42)&gt;0),IF($L42="",1,IF(COUNTIF('MASTER BUDGET'!$D$6:$D$25,$L42)=0,1,0)),0)</f>
      </c>
      <c r="Z42" s="78">
        <f>IF($I42="",0,IF(COUNTIF('CHRISTMAS CALENDAR'!$B$6:$B$205,$I42)=0,1,0))</f>
      </c>
      <c r="AA42" s="75"/>
    </row>
    <row r="43" ht="17" customHeight="1" spans="1:27" x14ac:dyDescent="0.25">
      <c r="A43" s="75"/>
      <c r="B43" s="79"/>
      <c r="C43" s="79"/>
      <c r="D43" s="79"/>
      <c r="E43" s="79"/>
      <c r="F43" s="79"/>
      <c r="G43" s="80"/>
      <c r="H43" s="80"/>
      <c r="I43" s="79"/>
      <c r="J43" s="82"/>
      <c r="K43" s="96"/>
      <c r="L43" s="79"/>
      <c r="M43" s="86"/>
      <c r="N43" s="86"/>
      <c r="O43" s="85">
        <f>IF($B43="","",MAX(0,$M43-$N43))</f>
      </c>
      <c r="P43" s="82"/>
      <c r="Q43" s="85">
        <f>IF($B43="","",IF($T43="Paid in full",$M43,IF($T43="Complete",$M43,$N43)))</f>
      </c>
      <c r="R43" s="80"/>
      <c r="S43" s="79"/>
      <c r="T43" s="79"/>
      <c r="U43" s="79"/>
      <c r="V43" s="78">
        <f>IF($B43="","",IF($T43="Declined","CLOSED",IF($O43=0,"SETTLED",IF($P43="","BALANCE OPEN",IF($P43&lt;TODAY(),"BALANCE OVERDUE",IF($P43-TODAY()&lt;=7,"BALANCE DUE SOON","BALANCE OPEN"))))))</f>
      </c>
      <c r="W43" s="80"/>
      <c r="X43" s="78">
        <f>IF($B43="",0,IF(COUNTIF('VENDORS + APPOINTMENTS'!$B$6:$B$65,$B43)&gt;1,1,0))</f>
      </c>
      <c r="Y43" s="78">
        <f>IF(OR(N($M43)&gt;0,N($Q43)&gt;0),IF($L43="",1,IF(COUNTIF('MASTER BUDGET'!$D$6:$D$25,$L43)=0,1,0)),0)</f>
      </c>
      <c r="Z43" s="78">
        <f>IF($I43="",0,IF(COUNTIF('CHRISTMAS CALENDAR'!$B$6:$B$205,$I43)=0,1,0))</f>
      </c>
      <c r="AA43" s="75"/>
    </row>
    <row r="44" ht="17" customHeight="1" spans="1:27" x14ac:dyDescent="0.25">
      <c r="A44" s="75"/>
      <c r="B44" s="79"/>
      <c r="C44" s="79"/>
      <c r="D44" s="79"/>
      <c r="E44" s="79"/>
      <c r="F44" s="79"/>
      <c r="G44" s="80"/>
      <c r="H44" s="80"/>
      <c r="I44" s="79"/>
      <c r="J44" s="82"/>
      <c r="K44" s="96"/>
      <c r="L44" s="79"/>
      <c r="M44" s="86"/>
      <c r="N44" s="86"/>
      <c r="O44" s="85">
        <f>IF($B44="","",MAX(0,$M44-$N44))</f>
      </c>
      <c r="P44" s="82"/>
      <c r="Q44" s="85">
        <f>IF($B44="","",IF($T44="Paid in full",$M44,IF($T44="Complete",$M44,$N44)))</f>
      </c>
      <c r="R44" s="80"/>
      <c r="S44" s="79"/>
      <c r="T44" s="79"/>
      <c r="U44" s="79"/>
      <c r="V44" s="78">
        <f>IF($B44="","",IF($T44="Declined","CLOSED",IF($O44=0,"SETTLED",IF($P44="","BALANCE OPEN",IF($P44&lt;TODAY(),"BALANCE OVERDUE",IF($P44-TODAY()&lt;=7,"BALANCE DUE SOON","BALANCE OPEN"))))))</f>
      </c>
      <c r="W44" s="80"/>
      <c r="X44" s="78">
        <f>IF($B44="",0,IF(COUNTIF('VENDORS + APPOINTMENTS'!$B$6:$B$65,$B44)&gt;1,1,0))</f>
      </c>
      <c r="Y44" s="78">
        <f>IF(OR(N($M44)&gt;0,N($Q44)&gt;0),IF($L44="",1,IF(COUNTIF('MASTER BUDGET'!$D$6:$D$25,$L44)=0,1,0)),0)</f>
      </c>
      <c r="Z44" s="78">
        <f>IF($I44="",0,IF(COUNTIF('CHRISTMAS CALENDAR'!$B$6:$B$205,$I44)=0,1,0))</f>
      </c>
      <c r="AA44" s="75"/>
    </row>
    <row r="45" ht="17" customHeight="1" spans="1:27" x14ac:dyDescent="0.25">
      <c r="A45" s="75"/>
      <c r="B45" s="79"/>
      <c r="C45" s="79"/>
      <c r="D45" s="79"/>
      <c r="E45" s="79"/>
      <c r="F45" s="79"/>
      <c r="G45" s="80"/>
      <c r="H45" s="80"/>
      <c r="I45" s="79"/>
      <c r="J45" s="82"/>
      <c r="K45" s="96"/>
      <c r="L45" s="79"/>
      <c r="M45" s="86"/>
      <c r="N45" s="86"/>
      <c r="O45" s="85">
        <f>IF($B45="","",MAX(0,$M45-$N45))</f>
      </c>
      <c r="P45" s="82"/>
      <c r="Q45" s="85">
        <f>IF($B45="","",IF($T45="Paid in full",$M45,IF($T45="Complete",$M45,$N45)))</f>
      </c>
      <c r="R45" s="80"/>
      <c r="S45" s="79"/>
      <c r="T45" s="79"/>
      <c r="U45" s="79"/>
      <c r="V45" s="78">
        <f>IF($B45="","",IF($T45="Declined","CLOSED",IF($O45=0,"SETTLED",IF($P45="","BALANCE OPEN",IF($P45&lt;TODAY(),"BALANCE OVERDUE",IF($P45-TODAY()&lt;=7,"BALANCE DUE SOON","BALANCE OPEN"))))))</f>
      </c>
      <c r="W45" s="80"/>
      <c r="X45" s="78">
        <f>IF($B45="",0,IF(COUNTIF('VENDORS + APPOINTMENTS'!$B$6:$B$65,$B45)&gt;1,1,0))</f>
      </c>
      <c r="Y45" s="78">
        <f>IF(OR(N($M45)&gt;0,N($Q45)&gt;0),IF($L45="",1,IF(COUNTIF('MASTER BUDGET'!$D$6:$D$25,$L45)=0,1,0)),0)</f>
      </c>
      <c r="Z45" s="78">
        <f>IF($I45="",0,IF(COUNTIF('CHRISTMAS CALENDAR'!$B$6:$B$205,$I45)=0,1,0))</f>
      </c>
      <c r="AA45" s="75"/>
    </row>
    <row r="46" ht="17" customHeight="1" spans="1:27" x14ac:dyDescent="0.25">
      <c r="A46" s="75"/>
      <c r="B46" s="79"/>
      <c r="C46" s="79"/>
      <c r="D46" s="79"/>
      <c r="E46" s="79"/>
      <c r="F46" s="79"/>
      <c r="G46" s="80"/>
      <c r="H46" s="80"/>
      <c r="I46" s="79"/>
      <c r="J46" s="82"/>
      <c r="K46" s="96"/>
      <c r="L46" s="79"/>
      <c r="M46" s="86"/>
      <c r="N46" s="86"/>
      <c r="O46" s="85">
        <f>IF($B46="","",MAX(0,$M46-$N46))</f>
      </c>
      <c r="P46" s="82"/>
      <c r="Q46" s="85">
        <f>IF($B46="","",IF($T46="Paid in full",$M46,IF($T46="Complete",$M46,$N46)))</f>
      </c>
      <c r="R46" s="80"/>
      <c r="S46" s="79"/>
      <c r="T46" s="79"/>
      <c r="U46" s="79"/>
      <c r="V46" s="78">
        <f>IF($B46="","",IF($T46="Declined","CLOSED",IF($O46=0,"SETTLED",IF($P46="","BALANCE OPEN",IF($P46&lt;TODAY(),"BALANCE OVERDUE",IF($P46-TODAY()&lt;=7,"BALANCE DUE SOON","BALANCE OPEN"))))))</f>
      </c>
      <c r="W46" s="80"/>
      <c r="X46" s="78">
        <f>IF($B46="",0,IF(COUNTIF('VENDORS + APPOINTMENTS'!$B$6:$B$65,$B46)&gt;1,1,0))</f>
      </c>
      <c r="Y46" s="78">
        <f>IF(OR(N($M46)&gt;0,N($Q46)&gt;0),IF($L46="",1,IF(COUNTIF('MASTER BUDGET'!$D$6:$D$25,$L46)=0,1,0)),0)</f>
      </c>
      <c r="Z46" s="78">
        <f>IF($I46="",0,IF(COUNTIF('CHRISTMAS CALENDAR'!$B$6:$B$205,$I46)=0,1,0))</f>
      </c>
      <c r="AA46" s="75"/>
    </row>
    <row r="47" ht="17" customHeight="1" spans="1:27" x14ac:dyDescent="0.25">
      <c r="A47" s="75"/>
      <c r="B47" s="79"/>
      <c r="C47" s="79"/>
      <c r="D47" s="79"/>
      <c r="E47" s="79"/>
      <c r="F47" s="79"/>
      <c r="G47" s="80"/>
      <c r="H47" s="80"/>
      <c r="I47" s="79"/>
      <c r="J47" s="82"/>
      <c r="K47" s="96"/>
      <c r="L47" s="79"/>
      <c r="M47" s="86"/>
      <c r="N47" s="86"/>
      <c r="O47" s="85">
        <f>IF($B47="","",MAX(0,$M47-$N47))</f>
      </c>
      <c r="P47" s="82"/>
      <c r="Q47" s="85">
        <f>IF($B47="","",IF($T47="Paid in full",$M47,IF($T47="Complete",$M47,$N47)))</f>
      </c>
      <c r="R47" s="80"/>
      <c r="S47" s="79"/>
      <c r="T47" s="79"/>
      <c r="U47" s="79"/>
      <c r="V47" s="78">
        <f>IF($B47="","",IF($T47="Declined","CLOSED",IF($O47=0,"SETTLED",IF($P47="","BALANCE OPEN",IF($P47&lt;TODAY(),"BALANCE OVERDUE",IF($P47-TODAY()&lt;=7,"BALANCE DUE SOON","BALANCE OPEN"))))))</f>
      </c>
      <c r="W47" s="80"/>
      <c r="X47" s="78">
        <f>IF($B47="",0,IF(COUNTIF('VENDORS + APPOINTMENTS'!$B$6:$B$65,$B47)&gt;1,1,0))</f>
      </c>
      <c r="Y47" s="78">
        <f>IF(OR(N($M47)&gt;0,N($Q47)&gt;0),IF($L47="",1,IF(COUNTIF('MASTER BUDGET'!$D$6:$D$25,$L47)=0,1,0)),0)</f>
      </c>
      <c r="Z47" s="78">
        <f>IF($I47="",0,IF(COUNTIF('CHRISTMAS CALENDAR'!$B$6:$B$205,$I47)=0,1,0))</f>
      </c>
      <c r="AA47" s="75"/>
    </row>
    <row r="48" ht="17" customHeight="1" spans="1:27" x14ac:dyDescent="0.25">
      <c r="A48" s="75"/>
      <c r="B48" s="79"/>
      <c r="C48" s="79"/>
      <c r="D48" s="79"/>
      <c r="E48" s="79"/>
      <c r="F48" s="79"/>
      <c r="G48" s="80"/>
      <c r="H48" s="80"/>
      <c r="I48" s="79"/>
      <c r="J48" s="82"/>
      <c r="K48" s="96"/>
      <c r="L48" s="79"/>
      <c r="M48" s="86"/>
      <c r="N48" s="86"/>
      <c r="O48" s="85">
        <f>IF($B48="","",MAX(0,$M48-$N48))</f>
      </c>
      <c r="P48" s="82"/>
      <c r="Q48" s="85">
        <f>IF($B48="","",IF($T48="Paid in full",$M48,IF($T48="Complete",$M48,$N48)))</f>
      </c>
      <c r="R48" s="80"/>
      <c r="S48" s="79"/>
      <c r="T48" s="79"/>
      <c r="U48" s="79"/>
      <c r="V48" s="78">
        <f>IF($B48="","",IF($T48="Declined","CLOSED",IF($O48=0,"SETTLED",IF($P48="","BALANCE OPEN",IF($P48&lt;TODAY(),"BALANCE OVERDUE",IF($P48-TODAY()&lt;=7,"BALANCE DUE SOON","BALANCE OPEN"))))))</f>
      </c>
      <c r="W48" s="80"/>
      <c r="X48" s="78">
        <f>IF($B48="",0,IF(COUNTIF('VENDORS + APPOINTMENTS'!$B$6:$B$65,$B48)&gt;1,1,0))</f>
      </c>
      <c r="Y48" s="78">
        <f>IF(OR(N($M48)&gt;0,N($Q48)&gt;0),IF($L48="",1,IF(COUNTIF('MASTER BUDGET'!$D$6:$D$25,$L48)=0,1,0)),0)</f>
      </c>
      <c r="Z48" s="78">
        <f>IF($I48="",0,IF(COUNTIF('CHRISTMAS CALENDAR'!$B$6:$B$205,$I48)=0,1,0))</f>
      </c>
      <c r="AA48" s="75"/>
    </row>
    <row r="49" ht="17" customHeight="1" spans="1:27" x14ac:dyDescent="0.25">
      <c r="A49" s="75"/>
      <c r="B49" s="79"/>
      <c r="C49" s="79"/>
      <c r="D49" s="79"/>
      <c r="E49" s="79"/>
      <c r="F49" s="79"/>
      <c r="G49" s="80"/>
      <c r="H49" s="80"/>
      <c r="I49" s="79"/>
      <c r="J49" s="82"/>
      <c r="K49" s="96"/>
      <c r="L49" s="79"/>
      <c r="M49" s="86"/>
      <c r="N49" s="86"/>
      <c r="O49" s="85">
        <f>IF($B49="","",MAX(0,$M49-$N49))</f>
      </c>
      <c r="P49" s="82"/>
      <c r="Q49" s="85">
        <f>IF($B49="","",IF($T49="Paid in full",$M49,IF($T49="Complete",$M49,$N49)))</f>
      </c>
      <c r="R49" s="80"/>
      <c r="S49" s="79"/>
      <c r="T49" s="79"/>
      <c r="U49" s="79"/>
      <c r="V49" s="78">
        <f>IF($B49="","",IF($T49="Declined","CLOSED",IF($O49=0,"SETTLED",IF($P49="","BALANCE OPEN",IF($P49&lt;TODAY(),"BALANCE OVERDUE",IF($P49-TODAY()&lt;=7,"BALANCE DUE SOON","BALANCE OPEN"))))))</f>
      </c>
      <c r="W49" s="80"/>
      <c r="X49" s="78">
        <f>IF($B49="",0,IF(COUNTIF('VENDORS + APPOINTMENTS'!$B$6:$B$65,$B49)&gt;1,1,0))</f>
      </c>
      <c r="Y49" s="78">
        <f>IF(OR(N($M49)&gt;0,N($Q49)&gt;0),IF($L49="",1,IF(COUNTIF('MASTER BUDGET'!$D$6:$D$25,$L49)=0,1,0)),0)</f>
      </c>
      <c r="Z49" s="78">
        <f>IF($I49="",0,IF(COUNTIF('CHRISTMAS CALENDAR'!$B$6:$B$205,$I49)=0,1,0))</f>
      </c>
      <c r="AA49" s="75"/>
    </row>
    <row r="50" ht="17" customHeight="1" spans="1:27" x14ac:dyDescent="0.25">
      <c r="A50" s="75"/>
      <c r="B50" s="79"/>
      <c r="C50" s="79"/>
      <c r="D50" s="79"/>
      <c r="E50" s="79"/>
      <c r="F50" s="79"/>
      <c r="G50" s="80"/>
      <c r="H50" s="80"/>
      <c r="I50" s="79"/>
      <c r="J50" s="82"/>
      <c r="K50" s="96"/>
      <c r="L50" s="79"/>
      <c r="M50" s="86"/>
      <c r="N50" s="86"/>
      <c r="O50" s="85">
        <f>IF($B50="","",MAX(0,$M50-$N50))</f>
      </c>
      <c r="P50" s="82"/>
      <c r="Q50" s="85">
        <f>IF($B50="","",IF($T50="Paid in full",$M50,IF($T50="Complete",$M50,$N50)))</f>
      </c>
      <c r="R50" s="80"/>
      <c r="S50" s="79"/>
      <c r="T50" s="79"/>
      <c r="U50" s="79"/>
      <c r="V50" s="78">
        <f>IF($B50="","",IF($T50="Declined","CLOSED",IF($O50=0,"SETTLED",IF($P50="","BALANCE OPEN",IF($P50&lt;TODAY(),"BALANCE OVERDUE",IF($P50-TODAY()&lt;=7,"BALANCE DUE SOON","BALANCE OPEN"))))))</f>
      </c>
      <c r="W50" s="80"/>
      <c r="X50" s="78">
        <f>IF($B50="",0,IF(COUNTIF('VENDORS + APPOINTMENTS'!$B$6:$B$65,$B50)&gt;1,1,0))</f>
      </c>
      <c r="Y50" s="78">
        <f>IF(OR(N($M50)&gt;0,N($Q50)&gt;0),IF($L50="",1,IF(COUNTIF('MASTER BUDGET'!$D$6:$D$25,$L50)=0,1,0)),0)</f>
      </c>
      <c r="Z50" s="78">
        <f>IF($I50="",0,IF(COUNTIF('CHRISTMAS CALENDAR'!$B$6:$B$205,$I50)=0,1,0))</f>
      </c>
      <c r="AA50" s="75"/>
    </row>
    <row r="51" ht="17" customHeight="1" spans="1:27" x14ac:dyDescent="0.25">
      <c r="A51" s="75"/>
      <c r="B51" s="79"/>
      <c r="C51" s="79"/>
      <c r="D51" s="79"/>
      <c r="E51" s="79"/>
      <c r="F51" s="79"/>
      <c r="G51" s="80"/>
      <c r="H51" s="80"/>
      <c r="I51" s="79"/>
      <c r="J51" s="82"/>
      <c r="K51" s="96"/>
      <c r="L51" s="79"/>
      <c r="M51" s="86"/>
      <c r="N51" s="86"/>
      <c r="O51" s="85">
        <f>IF($B51="","",MAX(0,$M51-$N51))</f>
      </c>
      <c r="P51" s="82"/>
      <c r="Q51" s="85">
        <f>IF($B51="","",IF($T51="Paid in full",$M51,IF($T51="Complete",$M51,$N51)))</f>
      </c>
      <c r="R51" s="80"/>
      <c r="S51" s="79"/>
      <c r="T51" s="79"/>
      <c r="U51" s="79"/>
      <c r="V51" s="78">
        <f>IF($B51="","",IF($T51="Declined","CLOSED",IF($O51=0,"SETTLED",IF($P51="","BALANCE OPEN",IF($P51&lt;TODAY(),"BALANCE OVERDUE",IF($P51-TODAY()&lt;=7,"BALANCE DUE SOON","BALANCE OPEN"))))))</f>
      </c>
      <c r="W51" s="80"/>
      <c r="X51" s="78">
        <f>IF($B51="",0,IF(COUNTIF('VENDORS + APPOINTMENTS'!$B$6:$B$65,$B51)&gt;1,1,0))</f>
      </c>
      <c r="Y51" s="78">
        <f>IF(OR(N($M51)&gt;0,N($Q51)&gt;0),IF($L51="",1,IF(COUNTIF('MASTER BUDGET'!$D$6:$D$25,$L51)=0,1,0)),0)</f>
      </c>
      <c r="Z51" s="78">
        <f>IF($I51="",0,IF(COUNTIF('CHRISTMAS CALENDAR'!$B$6:$B$205,$I51)=0,1,0))</f>
      </c>
      <c r="AA51" s="75"/>
    </row>
    <row r="52" ht="17" customHeight="1" spans="1:27" x14ac:dyDescent="0.25">
      <c r="A52" s="75"/>
      <c r="B52" s="79"/>
      <c r="C52" s="79"/>
      <c r="D52" s="79"/>
      <c r="E52" s="79"/>
      <c r="F52" s="79"/>
      <c r="G52" s="80"/>
      <c r="H52" s="80"/>
      <c r="I52" s="79"/>
      <c r="J52" s="82"/>
      <c r="K52" s="96"/>
      <c r="L52" s="79"/>
      <c r="M52" s="86"/>
      <c r="N52" s="86"/>
      <c r="O52" s="85">
        <f>IF($B52="","",MAX(0,$M52-$N52))</f>
      </c>
      <c r="P52" s="82"/>
      <c r="Q52" s="85">
        <f>IF($B52="","",IF($T52="Paid in full",$M52,IF($T52="Complete",$M52,$N52)))</f>
      </c>
      <c r="R52" s="80"/>
      <c r="S52" s="79"/>
      <c r="T52" s="79"/>
      <c r="U52" s="79"/>
      <c r="V52" s="78">
        <f>IF($B52="","",IF($T52="Declined","CLOSED",IF($O52=0,"SETTLED",IF($P52="","BALANCE OPEN",IF($P52&lt;TODAY(),"BALANCE OVERDUE",IF($P52-TODAY()&lt;=7,"BALANCE DUE SOON","BALANCE OPEN"))))))</f>
      </c>
      <c r="W52" s="80"/>
      <c r="X52" s="78">
        <f>IF($B52="",0,IF(COUNTIF('VENDORS + APPOINTMENTS'!$B$6:$B$65,$B52)&gt;1,1,0))</f>
      </c>
      <c r="Y52" s="78">
        <f>IF(OR(N($M52)&gt;0,N($Q52)&gt;0),IF($L52="",1,IF(COUNTIF('MASTER BUDGET'!$D$6:$D$25,$L52)=0,1,0)),0)</f>
      </c>
      <c r="Z52" s="78">
        <f>IF($I52="",0,IF(COUNTIF('CHRISTMAS CALENDAR'!$B$6:$B$205,$I52)=0,1,0))</f>
      </c>
      <c r="AA52" s="75"/>
    </row>
    <row r="53" ht="17" customHeight="1" spans="1:27" x14ac:dyDescent="0.25">
      <c r="A53" s="75"/>
      <c r="B53" s="79"/>
      <c r="C53" s="79"/>
      <c r="D53" s="79"/>
      <c r="E53" s="79"/>
      <c r="F53" s="79"/>
      <c r="G53" s="80"/>
      <c r="H53" s="80"/>
      <c r="I53" s="79"/>
      <c r="J53" s="82"/>
      <c r="K53" s="96"/>
      <c r="L53" s="79"/>
      <c r="M53" s="86"/>
      <c r="N53" s="86"/>
      <c r="O53" s="85">
        <f>IF($B53="","",MAX(0,$M53-$N53))</f>
      </c>
      <c r="P53" s="82"/>
      <c r="Q53" s="85">
        <f>IF($B53="","",IF($T53="Paid in full",$M53,IF($T53="Complete",$M53,$N53)))</f>
      </c>
      <c r="R53" s="80"/>
      <c r="S53" s="79"/>
      <c r="T53" s="79"/>
      <c r="U53" s="79"/>
      <c r="V53" s="78">
        <f>IF($B53="","",IF($T53="Declined","CLOSED",IF($O53=0,"SETTLED",IF($P53="","BALANCE OPEN",IF($P53&lt;TODAY(),"BALANCE OVERDUE",IF($P53-TODAY()&lt;=7,"BALANCE DUE SOON","BALANCE OPEN"))))))</f>
      </c>
      <c r="W53" s="80"/>
      <c r="X53" s="78">
        <f>IF($B53="",0,IF(COUNTIF('VENDORS + APPOINTMENTS'!$B$6:$B$65,$B53)&gt;1,1,0))</f>
      </c>
      <c r="Y53" s="78">
        <f>IF(OR(N($M53)&gt;0,N($Q53)&gt;0),IF($L53="",1,IF(COUNTIF('MASTER BUDGET'!$D$6:$D$25,$L53)=0,1,0)),0)</f>
      </c>
      <c r="Z53" s="78">
        <f>IF($I53="",0,IF(COUNTIF('CHRISTMAS CALENDAR'!$B$6:$B$205,$I53)=0,1,0))</f>
      </c>
      <c r="AA53" s="75"/>
    </row>
    <row r="54" ht="17" customHeight="1" spans="1:27" x14ac:dyDescent="0.25">
      <c r="A54" s="75"/>
      <c r="B54" s="79"/>
      <c r="C54" s="79"/>
      <c r="D54" s="79"/>
      <c r="E54" s="79"/>
      <c r="F54" s="79"/>
      <c r="G54" s="80"/>
      <c r="H54" s="80"/>
      <c r="I54" s="79"/>
      <c r="J54" s="82"/>
      <c r="K54" s="96"/>
      <c r="L54" s="79"/>
      <c r="M54" s="86"/>
      <c r="N54" s="86"/>
      <c r="O54" s="85">
        <f>IF($B54="","",MAX(0,$M54-$N54))</f>
      </c>
      <c r="P54" s="82"/>
      <c r="Q54" s="85">
        <f>IF($B54="","",IF($T54="Paid in full",$M54,IF($T54="Complete",$M54,$N54)))</f>
      </c>
      <c r="R54" s="80"/>
      <c r="S54" s="79"/>
      <c r="T54" s="79"/>
      <c r="U54" s="79"/>
      <c r="V54" s="78">
        <f>IF($B54="","",IF($T54="Declined","CLOSED",IF($O54=0,"SETTLED",IF($P54="","BALANCE OPEN",IF($P54&lt;TODAY(),"BALANCE OVERDUE",IF($P54-TODAY()&lt;=7,"BALANCE DUE SOON","BALANCE OPEN"))))))</f>
      </c>
      <c r="W54" s="80"/>
      <c r="X54" s="78">
        <f>IF($B54="",0,IF(COUNTIF('VENDORS + APPOINTMENTS'!$B$6:$B$65,$B54)&gt;1,1,0))</f>
      </c>
      <c r="Y54" s="78">
        <f>IF(OR(N($M54)&gt;0,N($Q54)&gt;0),IF($L54="",1,IF(COUNTIF('MASTER BUDGET'!$D$6:$D$25,$L54)=0,1,0)),0)</f>
      </c>
      <c r="Z54" s="78">
        <f>IF($I54="",0,IF(COUNTIF('CHRISTMAS CALENDAR'!$B$6:$B$205,$I54)=0,1,0))</f>
      </c>
      <c r="AA54" s="75"/>
    </row>
    <row r="55" ht="17" customHeight="1" spans="1:27" x14ac:dyDescent="0.25">
      <c r="A55" s="75"/>
      <c r="B55" s="79"/>
      <c r="C55" s="79"/>
      <c r="D55" s="79"/>
      <c r="E55" s="79"/>
      <c r="F55" s="79"/>
      <c r="G55" s="80"/>
      <c r="H55" s="80"/>
      <c r="I55" s="79"/>
      <c r="J55" s="82"/>
      <c r="K55" s="96"/>
      <c r="L55" s="79"/>
      <c r="M55" s="86"/>
      <c r="N55" s="86"/>
      <c r="O55" s="85">
        <f>IF($B55="","",MAX(0,$M55-$N55))</f>
      </c>
      <c r="P55" s="82"/>
      <c r="Q55" s="85">
        <f>IF($B55="","",IF($T55="Paid in full",$M55,IF($T55="Complete",$M55,$N55)))</f>
      </c>
      <c r="R55" s="80"/>
      <c r="S55" s="79"/>
      <c r="T55" s="79"/>
      <c r="U55" s="79"/>
      <c r="V55" s="78">
        <f>IF($B55="","",IF($T55="Declined","CLOSED",IF($O55=0,"SETTLED",IF($P55="","BALANCE OPEN",IF($P55&lt;TODAY(),"BALANCE OVERDUE",IF($P55-TODAY()&lt;=7,"BALANCE DUE SOON","BALANCE OPEN"))))))</f>
      </c>
      <c r="W55" s="80"/>
      <c r="X55" s="78">
        <f>IF($B55="",0,IF(COUNTIF('VENDORS + APPOINTMENTS'!$B$6:$B$65,$B55)&gt;1,1,0))</f>
      </c>
      <c r="Y55" s="78">
        <f>IF(OR(N($M55)&gt;0,N($Q55)&gt;0),IF($L55="",1,IF(COUNTIF('MASTER BUDGET'!$D$6:$D$25,$L55)=0,1,0)),0)</f>
      </c>
      <c r="Z55" s="78">
        <f>IF($I55="",0,IF(COUNTIF('CHRISTMAS CALENDAR'!$B$6:$B$205,$I55)=0,1,0))</f>
      </c>
      <c r="AA55" s="75"/>
    </row>
    <row r="56" ht="17" customHeight="1" spans="1:27" x14ac:dyDescent="0.25">
      <c r="A56" s="75"/>
      <c r="B56" s="79"/>
      <c r="C56" s="79"/>
      <c r="D56" s="79"/>
      <c r="E56" s="79"/>
      <c r="F56" s="79"/>
      <c r="G56" s="80"/>
      <c r="H56" s="80"/>
      <c r="I56" s="79"/>
      <c r="J56" s="82"/>
      <c r="K56" s="96"/>
      <c r="L56" s="79"/>
      <c r="M56" s="86"/>
      <c r="N56" s="86"/>
      <c r="O56" s="85">
        <f>IF($B56="","",MAX(0,$M56-$N56))</f>
      </c>
      <c r="P56" s="82"/>
      <c r="Q56" s="85">
        <f>IF($B56="","",IF($T56="Paid in full",$M56,IF($T56="Complete",$M56,$N56)))</f>
      </c>
      <c r="R56" s="80"/>
      <c r="S56" s="79"/>
      <c r="T56" s="79"/>
      <c r="U56" s="79"/>
      <c r="V56" s="78">
        <f>IF($B56="","",IF($T56="Declined","CLOSED",IF($O56=0,"SETTLED",IF($P56="","BALANCE OPEN",IF($P56&lt;TODAY(),"BALANCE OVERDUE",IF($P56-TODAY()&lt;=7,"BALANCE DUE SOON","BALANCE OPEN"))))))</f>
      </c>
      <c r="W56" s="80"/>
      <c r="X56" s="78">
        <f>IF($B56="",0,IF(COUNTIF('VENDORS + APPOINTMENTS'!$B$6:$B$65,$B56)&gt;1,1,0))</f>
      </c>
      <c r="Y56" s="78">
        <f>IF(OR(N($M56)&gt;0,N($Q56)&gt;0),IF($L56="",1,IF(COUNTIF('MASTER BUDGET'!$D$6:$D$25,$L56)=0,1,0)),0)</f>
      </c>
      <c r="Z56" s="78">
        <f>IF($I56="",0,IF(COUNTIF('CHRISTMAS CALENDAR'!$B$6:$B$205,$I56)=0,1,0))</f>
      </c>
      <c r="AA56" s="75"/>
    </row>
    <row r="57" ht="17" customHeight="1" spans="1:27" x14ac:dyDescent="0.25">
      <c r="A57" s="75"/>
      <c r="B57" s="79"/>
      <c r="C57" s="79"/>
      <c r="D57" s="79"/>
      <c r="E57" s="79"/>
      <c r="F57" s="79"/>
      <c r="G57" s="80"/>
      <c r="H57" s="80"/>
      <c r="I57" s="79"/>
      <c r="J57" s="82"/>
      <c r="K57" s="96"/>
      <c r="L57" s="79"/>
      <c r="M57" s="86"/>
      <c r="N57" s="86"/>
      <c r="O57" s="85">
        <f>IF($B57="","",MAX(0,$M57-$N57))</f>
      </c>
      <c r="P57" s="82"/>
      <c r="Q57" s="85">
        <f>IF($B57="","",IF($T57="Paid in full",$M57,IF($T57="Complete",$M57,$N57)))</f>
      </c>
      <c r="R57" s="80"/>
      <c r="S57" s="79"/>
      <c r="T57" s="79"/>
      <c r="U57" s="79"/>
      <c r="V57" s="78">
        <f>IF($B57="","",IF($T57="Declined","CLOSED",IF($O57=0,"SETTLED",IF($P57="","BALANCE OPEN",IF($P57&lt;TODAY(),"BALANCE OVERDUE",IF($P57-TODAY()&lt;=7,"BALANCE DUE SOON","BALANCE OPEN"))))))</f>
      </c>
      <c r="W57" s="80"/>
      <c r="X57" s="78">
        <f>IF($B57="",0,IF(COUNTIF('VENDORS + APPOINTMENTS'!$B$6:$B$65,$B57)&gt;1,1,0))</f>
      </c>
      <c r="Y57" s="78">
        <f>IF(OR(N($M57)&gt;0,N($Q57)&gt;0),IF($L57="",1,IF(COUNTIF('MASTER BUDGET'!$D$6:$D$25,$L57)=0,1,0)),0)</f>
      </c>
      <c r="Z57" s="78">
        <f>IF($I57="",0,IF(COUNTIF('CHRISTMAS CALENDAR'!$B$6:$B$205,$I57)=0,1,0))</f>
      </c>
      <c r="AA57" s="75"/>
    </row>
    <row r="58" ht="17" customHeight="1" spans="1:27" x14ac:dyDescent="0.25">
      <c r="A58" s="75"/>
      <c r="B58" s="79"/>
      <c r="C58" s="79"/>
      <c r="D58" s="79"/>
      <c r="E58" s="79"/>
      <c r="F58" s="79"/>
      <c r="G58" s="80"/>
      <c r="H58" s="80"/>
      <c r="I58" s="79"/>
      <c r="J58" s="82"/>
      <c r="K58" s="96"/>
      <c r="L58" s="79"/>
      <c r="M58" s="86"/>
      <c r="N58" s="86"/>
      <c r="O58" s="85">
        <f>IF($B58="","",MAX(0,$M58-$N58))</f>
      </c>
      <c r="P58" s="82"/>
      <c r="Q58" s="85">
        <f>IF($B58="","",IF($T58="Paid in full",$M58,IF($T58="Complete",$M58,$N58)))</f>
      </c>
      <c r="R58" s="80"/>
      <c r="S58" s="79"/>
      <c r="T58" s="79"/>
      <c r="U58" s="79"/>
      <c r="V58" s="78">
        <f>IF($B58="","",IF($T58="Declined","CLOSED",IF($O58=0,"SETTLED",IF($P58="","BALANCE OPEN",IF($P58&lt;TODAY(),"BALANCE OVERDUE",IF($P58-TODAY()&lt;=7,"BALANCE DUE SOON","BALANCE OPEN"))))))</f>
      </c>
      <c r="W58" s="80"/>
      <c r="X58" s="78">
        <f>IF($B58="",0,IF(COUNTIF('VENDORS + APPOINTMENTS'!$B$6:$B$65,$B58)&gt;1,1,0))</f>
      </c>
      <c r="Y58" s="78">
        <f>IF(OR(N($M58)&gt;0,N($Q58)&gt;0),IF($L58="",1,IF(COUNTIF('MASTER BUDGET'!$D$6:$D$25,$L58)=0,1,0)),0)</f>
      </c>
      <c r="Z58" s="78">
        <f>IF($I58="",0,IF(COUNTIF('CHRISTMAS CALENDAR'!$B$6:$B$205,$I58)=0,1,0))</f>
      </c>
      <c r="AA58" s="75"/>
    </row>
    <row r="59" ht="17" customHeight="1" spans="1:27" x14ac:dyDescent="0.25">
      <c r="A59" s="75"/>
      <c r="B59" s="79"/>
      <c r="C59" s="79"/>
      <c r="D59" s="79"/>
      <c r="E59" s="79"/>
      <c r="F59" s="79"/>
      <c r="G59" s="80"/>
      <c r="H59" s="80"/>
      <c r="I59" s="79"/>
      <c r="J59" s="82"/>
      <c r="K59" s="96"/>
      <c r="L59" s="79"/>
      <c r="M59" s="86"/>
      <c r="N59" s="86"/>
      <c r="O59" s="85">
        <f>IF($B59="","",MAX(0,$M59-$N59))</f>
      </c>
      <c r="P59" s="82"/>
      <c r="Q59" s="85">
        <f>IF($B59="","",IF($T59="Paid in full",$M59,IF($T59="Complete",$M59,$N59)))</f>
      </c>
      <c r="R59" s="80"/>
      <c r="S59" s="79"/>
      <c r="T59" s="79"/>
      <c r="U59" s="79"/>
      <c r="V59" s="78">
        <f>IF($B59="","",IF($T59="Declined","CLOSED",IF($O59=0,"SETTLED",IF($P59="","BALANCE OPEN",IF($P59&lt;TODAY(),"BALANCE OVERDUE",IF($P59-TODAY()&lt;=7,"BALANCE DUE SOON","BALANCE OPEN"))))))</f>
      </c>
      <c r="W59" s="80"/>
      <c r="X59" s="78">
        <f>IF($B59="",0,IF(COUNTIF('VENDORS + APPOINTMENTS'!$B$6:$B$65,$B59)&gt;1,1,0))</f>
      </c>
      <c r="Y59" s="78">
        <f>IF(OR(N($M59)&gt;0,N($Q59)&gt;0),IF($L59="",1,IF(COUNTIF('MASTER BUDGET'!$D$6:$D$25,$L59)=0,1,0)),0)</f>
      </c>
      <c r="Z59" s="78">
        <f>IF($I59="",0,IF(COUNTIF('CHRISTMAS CALENDAR'!$B$6:$B$205,$I59)=0,1,0))</f>
      </c>
      <c r="AA59" s="75"/>
    </row>
    <row r="60" ht="17" customHeight="1" spans="1:27" x14ac:dyDescent="0.25">
      <c r="A60" s="75"/>
      <c r="B60" s="79"/>
      <c r="C60" s="79"/>
      <c r="D60" s="79"/>
      <c r="E60" s="79"/>
      <c r="F60" s="79"/>
      <c r="G60" s="80"/>
      <c r="H60" s="80"/>
      <c r="I60" s="79"/>
      <c r="J60" s="82"/>
      <c r="K60" s="96"/>
      <c r="L60" s="79"/>
      <c r="M60" s="86"/>
      <c r="N60" s="86"/>
      <c r="O60" s="85">
        <f>IF($B60="","",MAX(0,$M60-$N60))</f>
      </c>
      <c r="P60" s="82"/>
      <c r="Q60" s="85">
        <f>IF($B60="","",IF($T60="Paid in full",$M60,IF($T60="Complete",$M60,$N60)))</f>
      </c>
      <c r="R60" s="80"/>
      <c r="S60" s="79"/>
      <c r="T60" s="79"/>
      <c r="U60" s="79"/>
      <c r="V60" s="78">
        <f>IF($B60="","",IF($T60="Declined","CLOSED",IF($O60=0,"SETTLED",IF($P60="","BALANCE OPEN",IF($P60&lt;TODAY(),"BALANCE OVERDUE",IF($P60-TODAY()&lt;=7,"BALANCE DUE SOON","BALANCE OPEN"))))))</f>
      </c>
      <c r="W60" s="80"/>
      <c r="X60" s="78">
        <f>IF($B60="",0,IF(COUNTIF('VENDORS + APPOINTMENTS'!$B$6:$B$65,$B60)&gt;1,1,0))</f>
      </c>
      <c r="Y60" s="78">
        <f>IF(OR(N($M60)&gt;0,N($Q60)&gt;0),IF($L60="",1,IF(COUNTIF('MASTER BUDGET'!$D$6:$D$25,$L60)=0,1,0)),0)</f>
      </c>
      <c r="Z60" s="78">
        <f>IF($I60="",0,IF(COUNTIF('CHRISTMAS CALENDAR'!$B$6:$B$205,$I60)=0,1,0))</f>
      </c>
      <c r="AA60" s="75"/>
    </row>
    <row r="61" ht="17" customHeight="1" spans="1:27" x14ac:dyDescent="0.25">
      <c r="A61" s="75"/>
      <c r="B61" s="79"/>
      <c r="C61" s="79"/>
      <c r="D61" s="79"/>
      <c r="E61" s="79"/>
      <c r="F61" s="79"/>
      <c r="G61" s="80"/>
      <c r="H61" s="80"/>
      <c r="I61" s="79"/>
      <c r="J61" s="82"/>
      <c r="K61" s="96"/>
      <c r="L61" s="79"/>
      <c r="M61" s="86"/>
      <c r="N61" s="86"/>
      <c r="O61" s="85">
        <f>IF($B61="","",MAX(0,$M61-$N61))</f>
      </c>
      <c r="P61" s="82"/>
      <c r="Q61" s="85">
        <f>IF($B61="","",IF($T61="Paid in full",$M61,IF($T61="Complete",$M61,$N61)))</f>
      </c>
      <c r="R61" s="80"/>
      <c r="S61" s="79"/>
      <c r="T61" s="79"/>
      <c r="U61" s="79"/>
      <c r="V61" s="78">
        <f>IF($B61="","",IF($T61="Declined","CLOSED",IF($O61=0,"SETTLED",IF($P61="","BALANCE OPEN",IF($P61&lt;TODAY(),"BALANCE OVERDUE",IF($P61-TODAY()&lt;=7,"BALANCE DUE SOON","BALANCE OPEN"))))))</f>
      </c>
      <c r="W61" s="80"/>
      <c r="X61" s="78">
        <f>IF($B61="",0,IF(COUNTIF('VENDORS + APPOINTMENTS'!$B$6:$B$65,$B61)&gt;1,1,0))</f>
      </c>
      <c r="Y61" s="78">
        <f>IF(OR(N($M61)&gt;0,N($Q61)&gt;0),IF($L61="",1,IF(COUNTIF('MASTER BUDGET'!$D$6:$D$25,$L61)=0,1,0)),0)</f>
      </c>
      <c r="Z61" s="78">
        <f>IF($I61="",0,IF(COUNTIF('CHRISTMAS CALENDAR'!$B$6:$B$205,$I61)=0,1,0))</f>
      </c>
      <c r="AA61" s="75"/>
    </row>
    <row r="62" ht="17" customHeight="1" spans="1:27" x14ac:dyDescent="0.25">
      <c r="A62" s="75"/>
      <c r="B62" s="79"/>
      <c r="C62" s="79"/>
      <c r="D62" s="79"/>
      <c r="E62" s="79"/>
      <c r="F62" s="79"/>
      <c r="G62" s="80"/>
      <c r="H62" s="80"/>
      <c r="I62" s="79"/>
      <c r="J62" s="82"/>
      <c r="K62" s="96"/>
      <c r="L62" s="79"/>
      <c r="M62" s="86"/>
      <c r="N62" s="86"/>
      <c r="O62" s="85">
        <f>IF($B62="","",MAX(0,$M62-$N62))</f>
      </c>
      <c r="P62" s="82"/>
      <c r="Q62" s="85">
        <f>IF($B62="","",IF($T62="Paid in full",$M62,IF($T62="Complete",$M62,$N62)))</f>
      </c>
      <c r="R62" s="80"/>
      <c r="S62" s="79"/>
      <c r="T62" s="79"/>
      <c r="U62" s="79"/>
      <c r="V62" s="78">
        <f>IF($B62="","",IF($T62="Declined","CLOSED",IF($O62=0,"SETTLED",IF($P62="","BALANCE OPEN",IF($P62&lt;TODAY(),"BALANCE OVERDUE",IF($P62-TODAY()&lt;=7,"BALANCE DUE SOON","BALANCE OPEN"))))))</f>
      </c>
      <c r="W62" s="80"/>
      <c r="X62" s="78">
        <f>IF($B62="",0,IF(COUNTIF('VENDORS + APPOINTMENTS'!$B$6:$B$65,$B62)&gt;1,1,0))</f>
      </c>
      <c r="Y62" s="78">
        <f>IF(OR(N($M62)&gt;0,N($Q62)&gt;0),IF($L62="",1,IF(COUNTIF('MASTER BUDGET'!$D$6:$D$25,$L62)=0,1,0)),0)</f>
      </c>
      <c r="Z62" s="78">
        <f>IF($I62="",0,IF(COUNTIF('CHRISTMAS CALENDAR'!$B$6:$B$205,$I62)=0,1,0))</f>
      </c>
      <c r="AA62" s="75"/>
    </row>
    <row r="63" ht="17" customHeight="1" spans="1:27" x14ac:dyDescent="0.25">
      <c r="A63" s="75"/>
      <c r="B63" s="79"/>
      <c r="C63" s="79"/>
      <c r="D63" s="79"/>
      <c r="E63" s="79"/>
      <c r="F63" s="79"/>
      <c r="G63" s="80"/>
      <c r="H63" s="80"/>
      <c r="I63" s="79"/>
      <c r="J63" s="82"/>
      <c r="K63" s="96"/>
      <c r="L63" s="79"/>
      <c r="M63" s="86"/>
      <c r="N63" s="86"/>
      <c r="O63" s="85">
        <f>IF($B63="","",MAX(0,$M63-$N63))</f>
      </c>
      <c r="P63" s="82"/>
      <c r="Q63" s="85">
        <f>IF($B63="","",IF($T63="Paid in full",$M63,IF($T63="Complete",$M63,$N63)))</f>
      </c>
      <c r="R63" s="80"/>
      <c r="S63" s="79"/>
      <c r="T63" s="79"/>
      <c r="U63" s="79"/>
      <c r="V63" s="78">
        <f>IF($B63="","",IF($T63="Declined","CLOSED",IF($O63=0,"SETTLED",IF($P63="","BALANCE OPEN",IF($P63&lt;TODAY(),"BALANCE OVERDUE",IF($P63-TODAY()&lt;=7,"BALANCE DUE SOON","BALANCE OPEN"))))))</f>
      </c>
      <c r="W63" s="80"/>
      <c r="X63" s="78">
        <f>IF($B63="",0,IF(COUNTIF('VENDORS + APPOINTMENTS'!$B$6:$B$65,$B63)&gt;1,1,0))</f>
      </c>
      <c r="Y63" s="78">
        <f>IF(OR(N($M63)&gt;0,N($Q63)&gt;0),IF($L63="",1,IF(COUNTIF('MASTER BUDGET'!$D$6:$D$25,$L63)=0,1,0)),0)</f>
      </c>
      <c r="Z63" s="78">
        <f>IF($I63="",0,IF(COUNTIF('CHRISTMAS CALENDAR'!$B$6:$B$205,$I63)=0,1,0))</f>
      </c>
      <c r="AA63" s="75"/>
    </row>
    <row r="64" ht="17" customHeight="1" spans="1:27" x14ac:dyDescent="0.25">
      <c r="A64" s="75"/>
      <c r="B64" s="79"/>
      <c r="C64" s="79"/>
      <c r="D64" s="79"/>
      <c r="E64" s="79"/>
      <c r="F64" s="79"/>
      <c r="G64" s="80"/>
      <c r="H64" s="80"/>
      <c r="I64" s="79"/>
      <c r="J64" s="82"/>
      <c r="K64" s="96"/>
      <c r="L64" s="79"/>
      <c r="M64" s="86"/>
      <c r="N64" s="86"/>
      <c r="O64" s="85">
        <f>IF($B64="","",MAX(0,$M64-$N64))</f>
      </c>
      <c r="P64" s="82"/>
      <c r="Q64" s="85">
        <f>IF($B64="","",IF($T64="Paid in full",$M64,IF($T64="Complete",$M64,$N64)))</f>
      </c>
      <c r="R64" s="80"/>
      <c r="S64" s="79"/>
      <c r="T64" s="79"/>
      <c r="U64" s="79"/>
      <c r="V64" s="78">
        <f>IF($B64="","",IF($T64="Declined","CLOSED",IF($O64=0,"SETTLED",IF($P64="","BALANCE OPEN",IF($P64&lt;TODAY(),"BALANCE OVERDUE",IF($P64-TODAY()&lt;=7,"BALANCE DUE SOON","BALANCE OPEN"))))))</f>
      </c>
      <c r="W64" s="80"/>
      <c r="X64" s="78">
        <f>IF($B64="",0,IF(COUNTIF('VENDORS + APPOINTMENTS'!$B$6:$B$65,$B64)&gt;1,1,0))</f>
      </c>
      <c r="Y64" s="78">
        <f>IF(OR(N($M64)&gt;0,N($Q64)&gt;0),IF($L64="",1,IF(COUNTIF('MASTER BUDGET'!$D$6:$D$25,$L64)=0,1,0)),0)</f>
      </c>
      <c r="Z64" s="78">
        <f>IF($I64="",0,IF(COUNTIF('CHRISTMAS CALENDAR'!$B$6:$B$205,$I64)=0,1,0))</f>
      </c>
      <c r="AA64" s="75"/>
    </row>
    <row r="65" ht="17" customHeight="1" spans="1:27" x14ac:dyDescent="0.25">
      <c r="A65" s="75"/>
      <c r="B65" s="79"/>
      <c r="C65" s="79"/>
      <c r="D65" s="79"/>
      <c r="E65" s="79"/>
      <c r="F65" s="79"/>
      <c r="G65" s="80"/>
      <c r="H65" s="80"/>
      <c r="I65" s="79"/>
      <c r="J65" s="82"/>
      <c r="K65" s="96"/>
      <c r="L65" s="79"/>
      <c r="M65" s="86"/>
      <c r="N65" s="86"/>
      <c r="O65" s="85">
        <f>IF($B65="","",MAX(0,$M65-$N65))</f>
      </c>
      <c r="P65" s="82"/>
      <c r="Q65" s="85">
        <f>IF($B65="","",IF($T65="Paid in full",$M65,IF($T65="Complete",$M65,$N65)))</f>
      </c>
      <c r="R65" s="80"/>
      <c r="S65" s="79"/>
      <c r="T65" s="79"/>
      <c r="U65" s="79"/>
      <c r="V65" s="78">
        <f>IF($B65="","",IF($T65="Declined","CLOSED",IF($O65=0,"SETTLED",IF($P65="","BALANCE OPEN",IF($P65&lt;TODAY(),"BALANCE OVERDUE",IF($P65-TODAY()&lt;=7,"BALANCE DUE SOON","BALANCE OPEN"))))))</f>
      </c>
      <c r="W65" s="80"/>
      <c r="X65" s="78">
        <f>IF($B65="",0,IF(COUNTIF('VENDORS + APPOINTMENTS'!$B$6:$B$65,$B65)&gt;1,1,0))</f>
      </c>
      <c r="Y65" s="78">
        <f>IF(OR(N($M65)&gt;0,N($Q65)&gt;0),IF($L65="",1,IF(COUNTIF('MASTER BUDGET'!$D$6:$D$25,$L65)=0,1,0)),0)</f>
      </c>
      <c r="Z65" s="78">
        <f>IF($I65="",0,IF(COUNTIF('CHRISTMAS CALENDAR'!$B$6:$B$205,$I65)=0,1,0))</f>
      </c>
      <c r="AA65" s="75"/>
    </row>
  </sheetData>
  <autoFilter ref="B5:Z65"/>
  <mergeCells count="1">
    <mergeCell ref="B1:C1"/>
  </mergeCells>
  <conditionalFormatting sqref="V6:V65">
    <cfRule type="containsText" dxfId="239" priority="1">
      <formula>NOT(ISERROR(SEARCH("OVER BUDGET",V6)))</formula>
    </cfRule>
  </conditionalFormatting>
  <conditionalFormatting sqref="V6:V65">
    <cfRule type="containsText" dxfId="240" priority="2">
      <formula>NOT(ISERROR(SEARCH("OVERDUE",V6)))</formula>
    </cfRule>
  </conditionalFormatting>
  <conditionalFormatting sqref="V6:V65">
    <cfRule type="containsText" dxfId="241" priority="3">
      <formula>NOT(ISERROR(SEARCH("LATE",V6)))</formula>
    </cfRule>
  </conditionalFormatting>
  <conditionalFormatting sqref="V6:V65">
    <cfRule type="containsText" dxfId="242" priority="4">
      <formula>NOT(ISERROR(SEARCH("WINDOW CLOSED",V6)))</formula>
    </cfRule>
  </conditionalFormatting>
  <conditionalFormatting sqref="V6:V65">
    <cfRule type="containsText" dxfId="243" priority="5">
      <formula>NOT(ISERROR(SEARCH("BALANCE OVERDUE",V6)))</formula>
    </cfRule>
  </conditionalFormatting>
  <conditionalFormatting sqref="V6:V65">
    <cfRule type="containsText" dxfId="244" priority="6">
      <formula>NOT(ISERROR(SEARCH("PREP OVERDUE",V6)))</formula>
    </cfRule>
  </conditionalFormatting>
  <conditionalFormatting sqref="V6:V65">
    <cfRule type="containsText" dxfId="245" priority="7">
      <formula>NOT(ISERROR(SEARCH("CHECK DUPLICATE",V6)))</formula>
    </cfRule>
  </conditionalFormatting>
  <conditionalFormatting sqref="V6:V65">
    <cfRule type="containsText" dxfId="246" priority="8">
      <formula>NOT(ISERROR(SEARCH("MISSING DATE",V6)))</formula>
    </cfRule>
  </conditionalFormatting>
  <conditionalFormatting sqref="V6:V65">
    <cfRule type="containsText" dxfId="247" priority="9">
      <formula>NOT(ISERROR(SEARCH("NOT FOUND",V6)))</formula>
    </cfRule>
  </conditionalFormatting>
  <conditionalFormatting sqref="V6:V65">
    <cfRule type="containsText" dxfId="248" priority="10">
      <formula>NOT(ISERROR(SEARCH("NEAR LIMIT",V6)))</formula>
    </cfRule>
  </conditionalFormatting>
  <conditionalFormatting sqref="V6:V65">
    <cfRule type="containsText" dxfId="249" priority="11">
      <formula>NOT(ISERROR(SEARCH("THIS WEEK",V6)))</formula>
    </cfRule>
  </conditionalFormatting>
  <conditionalFormatting sqref="V6:V65">
    <cfRule type="containsText" dxfId="250" priority="12">
      <formula>NOT(ISERROR(SEARCH("CLOSING SOON",V6)))</formula>
    </cfRule>
  </conditionalFormatting>
  <conditionalFormatting sqref="V6:V65">
    <cfRule type="containsText" dxfId="251" priority="13">
      <formula>NOT(ISERROR(SEARCH("NO TRACKING",V6)))</formula>
    </cfRule>
  </conditionalFormatting>
  <conditionalFormatting sqref="V6:V65">
    <cfRule type="containsText" dxfId="252" priority="14">
      <formula>NOT(ISERROR(SEARCH("LOW",V6)))</formula>
    </cfRule>
  </conditionalFormatting>
  <conditionalFormatting sqref="V6:V65">
    <cfRule type="containsText" dxfId="253" priority="15">
      <formula>NOT(ISERROR(SEARCH("AWAITING REFUND",V6)))</formula>
    </cfRule>
  </conditionalFormatting>
  <conditionalFormatting sqref="V6:V65">
    <cfRule type="containsText" dxfId="254" priority="16">
      <formula>NOT(ISERROR(SEARCH("BALANCE DUE SOON",V6)))</formula>
    </cfRule>
  </conditionalFormatting>
  <conditionalFormatting sqref="V6:V65">
    <cfRule type="containsText" dxfId="255" priority="17">
      <formula>NOT(ISERROR(SEARCH("TO BUY",V6)))</formula>
    </cfRule>
  </conditionalFormatting>
  <conditionalFormatting sqref="V6:V65">
    <cfRule type="containsText" dxfId="256" priority="18">
      <formula>NOT(ISERROR(SEARCH("NO DATE",V6)))</formula>
    </cfRule>
  </conditionalFormatting>
  <conditionalFormatting sqref="V6:V65">
    <cfRule type="containsText" dxfId="257" priority="19">
      <formula>NOT(ISERROR(SEARCH("NO COUNT",V6)))</formula>
    </cfRule>
  </conditionalFormatting>
  <conditionalFormatting sqref="V6:V65">
    <cfRule type="containsText" dxfId="258" priority="20">
      <formula>NOT(ISERROR(SEARCH("ON TRACK",V6)))</formula>
    </cfRule>
  </conditionalFormatting>
  <conditionalFormatting sqref="V6:V65">
    <cfRule type="containsText" dxfId="259" priority="21">
      <formula>NOT(ISERROR(SEARCH("COMPLETE",V6)))</formula>
    </cfRule>
  </conditionalFormatting>
  <conditionalFormatting sqref="V6:V65">
    <cfRule type="containsText" dxfId="260" priority="22">
      <formula>NOT(ISERROR(SEARCH("DONE",V6)))</formula>
    </cfRule>
  </conditionalFormatting>
  <conditionalFormatting sqref="V6:V65">
    <cfRule type="containsText" dxfId="261" priority="23">
      <formula>NOT(ISERROR(SEARCH("ARRIVED",V6)))</formula>
    </cfRule>
  </conditionalFormatting>
  <conditionalFormatting sqref="V6:V65">
    <cfRule type="containsText" dxfId="262" priority="24">
      <formula>NOT(ISERROR(SEARCH("SETTLED",V6)))</formula>
    </cfRule>
  </conditionalFormatting>
  <conditionalFormatting sqref="V6:V65">
    <cfRule type="containsText" dxfId="263" priority="25">
      <formula>NOT(ISERROR(SEARCH("AT BUDGET",V6)))</formula>
    </cfRule>
  </conditionalFormatting>
  <conditionalFormatting sqref="V6:V65">
    <cfRule type="containsText" dxfId="264" priority="26">
      <formula>NOT(ISERROR(SEARCH("IN STOCK",V6)))</formula>
    </cfRule>
  </conditionalFormatting>
  <conditionalFormatting sqref="V6:V65">
    <cfRule type="containsText" dxfId="265" priority="27">
      <formula>NOT(ISERROR(SEARCH("BOUGHT",V6)))</formula>
    </cfRule>
  </conditionalFormatting>
  <conditionalFormatting sqref="V6:V65">
    <cfRule type="containsText" dxfId="266" priority="28">
      <formula>NOT(ISERROR(SEARCH("READY",V6)))</formula>
    </cfRule>
  </conditionalFormatting>
  <conditionalFormatting sqref="V6:V65">
    <cfRule type="containsText" dxfId="267" priority="29">
      <formula>NOT(ISERROR(SEARCH("NOT SET",V6)))</formula>
    </cfRule>
  </conditionalFormatting>
  <conditionalFormatting sqref="V6:V65">
    <cfRule type="containsText" dxfId="268" priority="30">
      <formula>NOT(ISERROR(SEARCH("NOT STARTED",V6)))</formula>
    </cfRule>
  </conditionalFormatting>
  <conditionalFormatting sqref="V6:V65">
    <cfRule type="containsText" dxfId="269" priority="31">
      <formula>NOT(ISERROR(SEARCH("SCHEDULED",V6)))</formula>
    </cfRule>
  </conditionalFormatting>
  <conditionalFormatting sqref="V6:V65">
    <cfRule type="containsText" dxfId="270" priority="32">
      <formula>NOT(ISERROR(SEARCH("CLOSED",V6)))</formula>
    </cfRule>
  </conditionalFormatting>
  <conditionalFormatting sqref="V6:V65">
    <cfRule type="containsText" dxfId="271" priority="33">
      <formula>NOT(ISERROR(SEARCH("IN THE PANTRY",V6)))</formula>
    </cfRule>
  </conditionalFormatting>
  <conditionalFormatting sqref="V6:V65">
    <cfRule type="containsText" dxfId="272" priority="34">
      <formula>NOT(ISERROR(SEARCH("BALANCE OPEN",V6)))</formula>
    </cfRule>
  </conditionalFormatting>
  <dataValidations count="9">
    <dataValidation type="list" allowBlank="1" showErrorMessage="1" errorStyle="warning" errorTitle="Not one of the usual values" error="This column normally uses a value from the VendorCategory list on LISTS. You can keep what you typed, or add it to the list so it appears in the dropdown." sqref="C6:C65">
      <formula1>=List_VendorCategory</formula1>
    </dataValidation>
    <dataValidation type="custom" allowBlank="1" showErrorMessage="1" errorStyle="warning" errorTitle="That is not a date yet" error="Type a real date, so the workbook can count days with it. &quot;Before Christmas&quot; cannot be sorted." sqref="J6:J65">
      <formula1>=OR(J6="",ISNUMBER(J6))</formula1>
    </dataValidation>
    <dataValidation type="custom" allowBlank="1" showErrorMessage="1" errorStyle="warning" errorTitle="That is not a date yet" error="Type a real date, so the workbook can count days with it. &quot;Before Christmas&quot; cannot be sorted." sqref="K6:K65">
      <formula1>=OR(K6="",ISNUMBER(K6))</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L6:L65">
      <formula1>=List_BudgetCategory</formula1>
    </dataValidation>
    <dataValidation type="custom" allowBlank="1" showErrorMessage="1" errorStyle="warning" errorTitle="That looks like text" error="Type the number on its own — no currency symbol and no words. The column adds the symbol for you." sqref="M6:M65">
      <formula1>=OR(M6="",ISNUMBER(M6))</formula1>
    </dataValidation>
    <dataValidation type="custom" allowBlank="1" showErrorMessage="1" errorStyle="warning" errorTitle="That looks like text" error="Type the number on its own — no currency symbol and no words. The column adds the symbol for you." sqref="N6:N65">
      <formula1>=OR(N6="",ISNUMBER(N6))</formula1>
    </dataValidation>
    <dataValidation type="custom" allowBlank="1" showErrorMessage="1" errorStyle="warning" errorTitle="That is not a date yet" error="Type a real date, so the workbook can count days with it. &quot;Before Christmas&quot; cannot be sorted." sqref="P6:P65">
      <formula1>=OR(P6="",ISNUMBER(P6))</formula1>
    </dataValidation>
    <dataValidation type="list" allowBlank="1" showErrorMessage="1" errorStyle="warning" errorTitle="Not one of the usual values" error="This column normally uses a value from the VendorStatus list on LISTS. You can keep what you typed, or add it to the list so it appears in the dropdown." sqref="T6:T65">
      <formula1>=List_VendorStatus</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U6:U6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&amp;LVENDORS + APPOINTMENTS&amp;C&amp;P of &amp;N&amp;RThe Christmas Season Master Command Center™</oddFooter>
  </headerFooter>
  <legacyDrawing r:id="rId7"/>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W107"/>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2" max="2" width="11" customWidth="1"/>
    <col min="3" max="3" width="30" customWidth="1"/>
    <col min="4" max="4" width="18" customWidth="1"/>
    <col min="5" max="5" width="22" customWidth="1"/>
    <col min="6" max="6" width="10" customWidth="1"/>
    <col min="7" max="7" width="13" customWidth="1"/>
    <col min="8" max="8" width="16" customWidth="1"/>
    <col min="9" max="9" width="20" customWidth="1"/>
    <col min="11" max="12" width="11" customWidth="1"/>
    <col min="13" max="13" width="18" customWidth="1"/>
    <col min="14" max="14" width="13" customWidth="1"/>
    <col min="15" max="15" width="17" customWidth="1"/>
    <col min="16" max="17" width="13" customWidth="1"/>
    <col min="18" max="18" width="12" customWidth="1"/>
    <col min="19" max="19" width="24" customWidth="1"/>
    <col min="20" max="20" width="34" customWidth="1"/>
    <col min="21" max="22" width="18" hidden="1" customWidth="1"/>
    <col min="23" max="23" width="2" customWidth="1"/>
  </cols>
  <sheetData>
    <row r="1" ht="21" customHeight="1" spans="1:23" x14ac:dyDescent="0.25">
      <c r="A1" s="62"/>
      <c r="B1" s="63" t="s">
        <v>8</v>
      </c>
      <c r="C1" s="63"/>
      <c r="D1" s="63" t="s">
        <v>9</v>
      </c>
      <c r="E1" s="63" t="s">
        <v>10</v>
      </c>
      <c r="F1" s="63" t="s">
        <v>11</v>
      </c>
      <c r="G1" s="63" t="s">
        <v>12</v>
      </c>
      <c r="H1" s="62"/>
      <c r="I1" s="62"/>
      <c r="J1" s="62"/>
      <c r="K1" s="62"/>
      <c r="L1" s="62"/>
      <c r="M1" s="62"/>
      <c r="N1" s="62"/>
      <c r="O1" s="62"/>
      <c r="P1" s="62"/>
      <c r="Q1" s="62"/>
      <c r="R1" s="62"/>
      <c r="S1" s="62"/>
      <c r="T1" s="62"/>
      <c r="U1" s="62"/>
      <c r="V1" s="62"/>
      <c r="W1" s="62"/>
    </row>
    <row r="2" ht="34" customHeight="1" spans="1:23" x14ac:dyDescent="0.25">
      <c r="A2" s="64"/>
      <c r="B2" s="65" t="s">
        <v>483</v>
      </c>
      <c r="C2" s="64"/>
      <c r="D2" s="64"/>
      <c r="E2" s="64"/>
      <c r="F2" s="64"/>
      <c r="G2" s="64"/>
      <c r="H2" s="64"/>
      <c r="I2" s="64"/>
      <c r="J2" s="64"/>
      <c r="K2" s="64"/>
      <c r="L2" s="64"/>
      <c r="M2" s="64"/>
      <c r="N2" s="64"/>
      <c r="O2" s="64"/>
      <c r="P2" s="64"/>
      <c r="Q2" s="64"/>
      <c r="R2" s="64"/>
      <c r="S2" s="64"/>
      <c r="T2" s="64"/>
      <c r="U2" s="64"/>
      <c r="V2" s="64"/>
      <c r="W2" s="64"/>
    </row>
    <row r="3" ht="18" customHeight="1" spans="1:23" x14ac:dyDescent="0.25">
      <c r="A3" s="64"/>
      <c r="B3" s="66" t="s">
        <v>484</v>
      </c>
      <c r="C3" s="64"/>
      <c r="D3" s="64"/>
      <c r="E3" s="64"/>
      <c r="F3" s="64"/>
      <c r="G3" s="64"/>
      <c r="H3" s="64"/>
      <c r="I3" s="64"/>
      <c r="J3" s="64"/>
      <c r="K3" s="64"/>
      <c r="L3" s="64"/>
      <c r="M3" s="64"/>
      <c r="N3" s="64"/>
      <c r="O3" s="64"/>
      <c r="P3" s="64"/>
      <c r="Q3" s="64"/>
      <c r="R3" s="64"/>
      <c r="S3" s="64"/>
      <c r="T3" s="64"/>
      <c r="U3" s="64"/>
      <c r="V3" s="64"/>
      <c r="W3" s="64"/>
    </row>
    <row r="4" ht="17" customHeight="1" spans="1:23" x14ac:dyDescent="0.25">
      <c r="A4" s="64"/>
      <c r="B4" s="67" t="s">
        <v>160</v>
      </c>
      <c r="C4" s="64"/>
      <c r="D4" s="64"/>
      <c r="E4" s="64"/>
      <c r="F4" s="64"/>
      <c r="G4" s="64"/>
      <c r="H4" s="64"/>
      <c r="I4" s="64"/>
      <c r="J4" s="64"/>
      <c r="K4" s="64"/>
      <c r="L4" s="64"/>
      <c r="M4" s="64"/>
      <c r="N4" s="64"/>
      <c r="O4" s="64"/>
      <c r="P4" s="64"/>
      <c r="Q4" s="64"/>
      <c r="R4" s="64"/>
      <c r="S4" s="64"/>
      <c r="T4" s="64"/>
      <c r="U4" s="64"/>
      <c r="V4" s="64"/>
      <c r="W4" s="64"/>
    </row>
    <row r="5" ht="32" customHeight="1" spans="1:23" x14ac:dyDescent="0.25">
      <c r="A5" s="73"/>
      <c r="B5" s="74" t="s">
        <v>485</v>
      </c>
      <c r="C5" s="74" t="s">
        <v>352</v>
      </c>
      <c r="D5" s="74" t="s">
        <v>150</v>
      </c>
      <c r="E5" s="74" t="s">
        <v>486</v>
      </c>
      <c r="F5" s="74" t="s">
        <v>304</v>
      </c>
      <c r="G5" s="74" t="s">
        <v>487</v>
      </c>
      <c r="H5" s="74" t="s">
        <v>488</v>
      </c>
      <c r="I5" s="74" t="s">
        <v>489</v>
      </c>
      <c r="J5" s="74" t="s">
        <v>490</v>
      </c>
      <c r="K5" s="74" t="s">
        <v>491</v>
      </c>
      <c r="L5" s="74" t="s">
        <v>492</v>
      </c>
      <c r="M5" s="74" t="s">
        <v>493</v>
      </c>
      <c r="N5" s="74" t="s">
        <v>494</v>
      </c>
      <c r="O5" s="74" t="s">
        <v>300</v>
      </c>
      <c r="P5" s="74" t="s">
        <v>495</v>
      </c>
      <c r="Q5" s="74" t="s">
        <v>310</v>
      </c>
      <c r="R5" s="74" t="s">
        <v>496</v>
      </c>
      <c r="S5" s="74" t="s">
        <v>497</v>
      </c>
      <c r="T5" s="74" t="s">
        <v>179</v>
      </c>
      <c r="U5" s="74" t="s">
        <v>180</v>
      </c>
      <c r="V5" s="74" t="s">
        <v>323</v>
      </c>
      <c r="W5" s="73"/>
    </row>
    <row r="6" ht="17" customHeight="1" spans="1:23" x14ac:dyDescent="0.25">
      <c r="A6" s="75"/>
      <c r="B6" s="76" t="s">
        <v>498</v>
      </c>
      <c r="C6" s="77" t="s">
        <v>499</v>
      </c>
      <c r="D6" s="76" t="s">
        <v>500</v>
      </c>
      <c r="E6" s="76" t="s">
        <v>501</v>
      </c>
      <c r="F6" s="89">
        <v>2</v>
      </c>
      <c r="G6" s="76" t="s">
        <v>502</v>
      </c>
      <c r="H6" s="76" t="s">
        <v>503</v>
      </c>
      <c r="I6" s="76" t="s">
        <v>504</v>
      </c>
      <c r="J6" s="97">
        <v>2019</v>
      </c>
      <c r="K6" s="76" t="s">
        <v>194</v>
      </c>
      <c r="L6" s="76" t="s">
        <v>194</v>
      </c>
      <c r="M6" s="76" t="s">
        <v>505</v>
      </c>
      <c r="N6" s="84"/>
      <c r="O6" s="76" t="s">
        <v>277</v>
      </c>
      <c r="P6" s="85">
        <f>IF($B6="","",IF($M6="Approved",$N6,0))</f>
      </c>
      <c r="Q6" s="84"/>
      <c r="R6" s="78">
        <f>IF($B6="","",IF($F6="","NO COUNT",IF($F6&lt;=Set_LowStock,"LOW","IN STOCK")))</f>
      </c>
      <c r="S6" s="76"/>
      <c r="T6" s="77" t="s">
        <v>186</v>
      </c>
      <c r="U6" s="78">
        <f>IF($B6="",0,IF(COUNTIF('DECOR INVENTORY'!$B$6:$B$105,$B6)&gt;1,1,0))</f>
      </c>
      <c r="V6" s="78">
        <f>IF(OR(N($P6)&gt;0,N($Q6)&gt;0),IF($O6="",1,IF(COUNTIF('MASTER BUDGET'!$D$6:$D$25,$O6)=0,1,0)),0)</f>
      </c>
      <c r="W6" s="75"/>
    </row>
    <row r="7" ht="17" customHeight="1" spans="1:23" x14ac:dyDescent="0.25">
      <c r="A7" s="75"/>
      <c r="B7" s="76" t="s">
        <v>506</v>
      </c>
      <c r="C7" s="77" t="s">
        <v>507</v>
      </c>
      <c r="D7" s="76" t="s">
        <v>508</v>
      </c>
      <c r="E7" s="76" t="s">
        <v>509</v>
      </c>
      <c r="F7" s="89">
        <v>14</v>
      </c>
      <c r="G7" s="76" t="s">
        <v>510</v>
      </c>
      <c r="H7" s="76" t="s">
        <v>511</v>
      </c>
      <c r="I7" s="76" t="s">
        <v>512</v>
      </c>
      <c r="J7" s="97">
        <v>1962</v>
      </c>
      <c r="K7" s="76" t="s">
        <v>185</v>
      </c>
      <c r="L7" s="76" t="s">
        <v>194</v>
      </c>
      <c r="M7" s="76" t="s">
        <v>505</v>
      </c>
      <c r="N7" s="84"/>
      <c r="O7" s="76" t="s">
        <v>277</v>
      </c>
      <c r="P7" s="85">
        <f>IF($B7="","",IF($M7="Approved",$N7,0))</f>
      </c>
      <c r="Q7" s="84"/>
      <c r="R7" s="78">
        <f>IF($B7="","",IF($F7="","NO COUNT",IF($F7&lt;=Set_LowStock,"LOW","IN STOCK")))</f>
      </c>
      <c r="S7" s="76"/>
      <c r="T7" s="77" t="s">
        <v>186</v>
      </c>
      <c r="U7" s="78">
        <f>IF($B7="",0,IF(COUNTIF('DECOR INVENTORY'!$B$6:$B$105,$B7)&gt;1,1,0))</f>
      </c>
      <c r="V7" s="78">
        <f>IF(OR(N($P7)&gt;0,N($Q7)&gt;0),IF($O7="",1,IF(COUNTIF('MASTER BUDGET'!$D$6:$D$25,$O7)=0,1,0)),0)</f>
      </c>
      <c r="W7" s="75"/>
    </row>
    <row r="8" ht="17" customHeight="1" spans="1:23" x14ac:dyDescent="0.25">
      <c r="A8" s="75"/>
      <c r="B8" s="76" t="s">
        <v>513</v>
      </c>
      <c r="C8" s="77" t="s">
        <v>514</v>
      </c>
      <c r="D8" s="76" t="s">
        <v>515</v>
      </c>
      <c r="E8" s="76" t="s">
        <v>516</v>
      </c>
      <c r="F8" s="89">
        <v>1</v>
      </c>
      <c r="G8" s="76" t="s">
        <v>517</v>
      </c>
      <c r="H8" s="76" t="s">
        <v>518</v>
      </c>
      <c r="I8" s="76" t="s">
        <v>519</v>
      </c>
      <c r="J8" s="97">
        <v>2025</v>
      </c>
      <c r="K8" s="76" t="s">
        <v>194</v>
      </c>
      <c r="L8" s="76" t="s">
        <v>185</v>
      </c>
      <c r="M8" s="76" t="s">
        <v>520</v>
      </c>
      <c r="N8" s="84">
        <v>180</v>
      </c>
      <c r="O8" s="76" t="s">
        <v>277</v>
      </c>
      <c r="P8" s="85">
        <f>IF($B8="","",IF($M8="Approved",$N8,0))</f>
      </c>
      <c r="Q8" s="84">
        <v>180</v>
      </c>
      <c r="R8" s="78">
        <f>IF($B8="","",IF($F8="","NO COUNT",IF($F8&lt;=Set_LowStock,"LOW","IN STOCK")))</f>
      </c>
      <c r="S8" s="76"/>
      <c r="T8" s="77" t="s">
        <v>521</v>
      </c>
      <c r="U8" s="78">
        <f>IF($B8="",0,IF(COUNTIF('DECOR INVENTORY'!$B$6:$B$105,$B8)&gt;1,1,0))</f>
      </c>
      <c r="V8" s="78">
        <f>IF(OR(N($P8)&gt;0,N($Q8)&gt;0),IF($O8="",1,IF(COUNTIF('MASTER BUDGET'!$D$6:$D$25,$O8)=0,1,0)),0)</f>
      </c>
      <c r="W8" s="75"/>
    </row>
    <row r="9" ht="17" customHeight="1" spans="1:23" x14ac:dyDescent="0.25">
      <c r="A9" s="75"/>
      <c r="B9" s="79"/>
      <c r="C9" s="80"/>
      <c r="D9" s="79"/>
      <c r="E9" s="79"/>
      <c r="F9" s="90"/>
      <c r="G9" s="79"/>
      <c r="H9" s="79"/>
      <c r="I9" s="79"/>
      <c r="J9" s="98"/>
      <c r="K9" s="79"/>
      <c r="L9" s="79"/>
      <c r="M9" s="79"/>
      <c r="N9" s="86"/>
      <c r="O9" s="79"/>
      <c r="P9" s="85">
        <f>IF($B9="","",IF($M9="Approved",$N9,0))</f>
      </c>
      <c r="Q9" s="86"/>
      <c r="R9" s="78">
        <f>IF($B9="","",IF($F9="","NO COUNT",IF($F9&lt;=Set_LowStock,"LOW","IN STOCK")))</f>
      </c>
      <c r="S9" s="79"/>
      <c r="T9" s="80"/>
      <c r="U9" s="78">
        <f>IF($B9="",0,IF(COUNTIF('DECOR INVENTORY'!$B$6:$B$105,$B9)&gt;1,1,0))</f>
      </c>
      <c r="V9" s="78">
        <f>IF(OR(N($P9)&gt;0,N($Q9)&gt;0),IF($O9="",1,IF(COUNTIF('MASTER BUDGET'!$D$6:$D$25,$O9)=0,1,0)),0)</f>
      </c>
      <c r="W9" s="75"/>
    </row>
    <row r="10" ht="17" customHeight="1" spans="1:23" x14ac:dyDescent="0.25">
      <c r="A10" s="75"/>
      <c r="B10" s="79"/>
      <c r="C10" s="80"/>
      <c r="D10" s="79"/>
      <c r="E10" s="79"/>
      <c r="F10" s="90"/>
      <c r="G10" s="79"/>
      <c r="H10" s="79"/>
      <c r="I10" s="79"/>
      <c r="J10" s="98"/>
      <c r="K10" s="79"/>
      <c r="L10" s="79"/>
      <c r="M10" s="79"/>
      <c r="N10" s="86"/>
      <c r="O10" s="79"/>
      <c r="P10" s="85">
        <f>IF($B10="","",IF($M10="Approved",$N10,0))</f>
      </c>
      <c r="Q10" s="86"/>
      <c r="R10" s="78">
        <f>IF($B10="","",IF($F10="","NO COUNT",IF($F10&lt;=Set_LowStock,"LOW","IN STOCK")))</f>
      </c>
      <c r="S10" s="79"/>
      <c r="T10" s="80"/>
      <c r="U10" s="78">
        <f>IF($B10="",0,IF(COUNTIF('DECOR INVENTORY'!$B$6:$B$105,$B10)&gt;1,1,0))</f>
      </c>
      <c r="V10" s="78">
        <f>IF(OR(N($P10)&gt;0,N($Q10)&gt;0),IF($O10="",1,IF(COUNTIF('MASTER BUDGET'!$D$6:$D$25,$O10)=0,1,0)),0)</f>
      </c>
      <c r="W10" s="75"/>
    </row>
    <row r="11" ht="17" customHeight="1" spans="1:23" x14ac:dyDescent="0.25">
      <c r="A11" s="75"/>
      <c r="B11" s="79"/>
      <c r="C11" s="80"/>
      <c r="D11" s="79"/>
      <c r="E11" s="79"/>
      <c r="F11" s="90"/>
      <c r="G11" s="79"/>
      <c r="H11" s="79"/>
      <c r="I11" s="79"/>
      <c r="J11" s="98"/>
      <c r="K11" s="79"/>
      <c r="L11" s="79"/>
      <c r="M11" s="79"/>
      <c r="N11" s="86"/>
      <c r="O11" s="79"/>
      <c r="P11" s="85">
        <f>IF($B11="","",IF($M11="Approved",$N11,0))</f>
      </c>
      <c r="Q11" s="86"/>
      <c r="R11" s="78">
        <f>IF($B11="","",IF($F11="","NO COUNT",IF($F11&lt;=Set_LowStock,"LOW","IN STOCK")))</f>
      </c>
      <c r="S11" s="79"/>
      <c r="T11" s="80"/>
      <c r="U11" s="78">
        <f>IF($B11="",0,IF(COUNTIF('DECOR INVENTORY'!$B$6:$B$105,$B11)&gt;1,1,0))</f>
      </c>
      <c r="V11" s="78">
        <f>IF(OR(N($P11)&gt;0,N($Q11)&gt;0),IF($O11="",1,IF(COUNTIF('MASTER BUDGET'!$D$6:$D$25,$O11)=0,1,0)),0)</f>
      </c>
      <c r="W11" s="75"/>
    </row>
    <row r="12" ht="17" customHeight="1" spans="1:23" x14ac:dyDescent="0.25">
      <c r="A12" s="75"/>
      <c r="B12" s="79"/>
      <c r="C12" s="80"/>
      <c r="D12" s="79"/>
      <c r="E12" s="79"/>
      <c r="F12" s="90"/>
      <c r="G12" s="79"/>
      <c r="H12" s="79"/>
      <c r="I12" s="79"/>
      <c r="J12" s="98"/>
      <c r="K12" s="79"/>
      <c r="L12" s="79"/>
      <c r="M12" s="79"/>
      <c r="N12" s="86"/>
      <c r="O12" s="79"/>
      <c r="P12" s="85">
        <f>IF($B12="","",IF($M12="Approved",$N12,0))</f>
      </c>
      <c r="Q12" s="86"/>
      <c r="R12" s="78">
        <f>IF($B12="","",IF($F12="","NO COUNT",IF($F12&lt;=Set_LowStock,"LOW","IN STOCK")))</f>
      </c>
      <c r="S12" s="79"/>
      <c r="T12" s="80"/>
      <c r="U12" s="78">
        <f>IF($B12="",0,IF(COUNTIF('DECOR INVENTORY'!$B$6:$B$105,$B12)&gt;1,1,0))</f>
      </c>
      <c r="V12" s="78">
        <f>IF(OR(N($P12)&gt;0,N($Q12)&gt;0),IF($O12="",1,IF(COUNTIF('MASTER BUDGET'!$D$6:$D$25,$O12)=0,1,0)),0)</f>
      </c>
      <c r="W12" s="75"/>
    </row>
    <row r="13" ht="17" customHeight="1" spans="1:23" x14ac:dyDescent="0.25">
      <c r="A13" s="75"/>
      <c r="B13" s="79"/>
      <c r="C13" s="80"/>
      <c r="D13" s="79"/>
      <c r="E13" s="79"/>
      <c r="F13" s="90"/>
      <c r="G13" s="79"/>
      <c r="H13" s="79"/>
      <c r="I13" s="79"/>
      <c r="J13" s="98"/>
      <c r="K13" s="79"/>
      <c r="L13" s="79"/>
      <c r="M13" s="79"/>
      <c r="N13" s="86"/>
      <c r="O13" s="79"/>
      <c r="P13" s="85">
        <f>IF($B13="","",IF($M13="Approved",$N13,0))</f>
      </c>
      <c r="Q13" s="86"/>
      <c r="R13" s="78">
        <f>IF($B13="","",IF($F13="","NO COUNT",IF($F13&lt;=Set_LowStock,"LOW","IN STOCK")))</f>
      </c>
      <c r="S13" s="79"/>
      <c r="T13" s="80"/>
      <c r="U13" s="78">
        <f>IF($B13="",0,IF(COUNTIF('DECOR INVENTORY'!$B$6:$B$105,$B13)&gt;1,1,0))</f>
      </c>
      <c r="V13" s="78">
        <f>IF(OR(N($P13)&gt;0,N($Q13)&gt;0),IF($O13="",1,IF(COUNTIF('MASTER BUDGET'!$D$6:$D$25,$O13)=0,1,0)),0)</f>
      </c>
      <c r="W13" s="75"/>
    </row>
    <row r="14" ht="17" customHeight="1" spans="1:23" x14ac:dyDescent="0.25">
      <c r="A14" s="75"/>
      <c r="B14" s="79"/>
      <c r="C14" s="80"/>
      <c r="D14" s="79"/>
      <c r="E14" s="79"/>
      <c r="F14" s="90"/>
      <c r="G14" s="79"/>
      <c r="H14" s="79"/>
      <c r="I14" s="79"/>
      <c r="J14" s="98"/>
      <c r="K14" s="79"/>
      <c r="L14" s="79"/>
      <c r="M14" s="79"/>
      <c r="N14" s="86"/>
      <c r="O14" s="79"/>
      <c r="P14" s="85">
        <f>IF($B14="","",IF($M14="Approved",$N14,0))</f>
      </c>
      <c r="Q14" s="86"/>
      <c r="R14" s="78">
        <f>IF($B14="","",IF($F14="","NO COUNT",IF($F14&lt;=Set_LowStock,"LOW","IN STOCK")))</f>
      </c>
      <c r="S14" s="79"/>
      <c r="T14" s="80"/>
      <c r="U14" s="78">
        <f>IF($B14="",0,IF(COUNTIF('DECOR INVENTORY'!$B$6:$B$105,$B14)&gt;1,1,0))</f>
      </c>
      <c r="V14" s="78">
        <f>IF(OR(N($P14)&gt;0,N($Q14)&gt;0),IF($O14="",1,IF(COUNTIF('MASTER BUDGET'!$D$6:$D$25,$O14)=0,1,0)),0)</f>
      </c>
      <c r="W14" s="75"/>
    </row>
    <row r="15" ht="17" customHeight="1" spans="1:23" x14ac:dyDescent="0.25">
      <c r="A15" s="75"/>
      <c r="B15" s="79"/>
      <c r="C15" s="80"/>
      <c r="D15" s="79"/>
      <c r="E15" s="79"/>
      <c r="F15" s="90"/>
      <c r="G15" s="79"/>
      <c r="H15" s="79"/>
      <c r="I15" s="79"/>
      <c r="J15" s="98"/>
      <c r="K15" s="79"/>
      <c r="L15" s="79"/>
      <c r="M15" s="79"/>
      <c r="N15" s="86"/>
      <c r="O15" s="79"/>
      <c r="P15" s="85">
        <f>IF($B15="","",IF($M15="Approved",$N15,0))</f>
      </c>
      <c r="Q15" s="86"/>
      <c r="R15" s="78">
        <f>IF($B15="","",IF($F15="","NO COUNT",IF($F15&lt;=Set_LowStock,"LOW","IN STOCK")))</f>
      </c>
      <c r="S15" s="79"/>
      <c r="T15" s="80"/>
      <c r="U15" s="78">
        <f>IF($B15="",0,IF(COUNTIF('DECOR INVENTORY'!$B$6:$B$105,$B15)&gt;1,1,0))</f>
      </c>
      <c r="V15" s="78">
        <f>IF(OR(N($P15)&gt;0,N($Q15)&gt;0),IF($O15="",1,IF(COUNTIF('MASTER BUDGET'!$D$6:$D$25,$O15)=0,1,0)),0)</f>
      </c>
      <c r="W15" s="75"/>
    </row>
    <row r="16" ht="17" customHeight="1" spans="1:23" x14ac:dyDescent="0.25">
      <c r="A16" s="75"/>
      <c r="B16" s="79"/>
      <c r="C16" s="80"/>
      <c r="D16" s="79"/>
      <c r="E16" s="79"/>
      <c r="F16" s="90"/>
      <c r="G16" s="79"/>
      <c r="H16" s="79"/>
      <c r="I16" s="79"/>
      <c r="J16" s="98"/>
      <c r="K16" s="79"/>
      <c r="L16" s="79"/>
      <c r="M16" s="79"/>
      <c r="N16" s="86"/>
      <c r="O16" s="79"/>
      <c r="P16" s="85">
        <f>IF($B16="","",IF($M16="Approved",$N16,0))</f>
      </c>
      <c r="Q16" s="86"/>
      <c r="R16" s="78">
        <f>IF($B16="","",IF($F16="","NO COUNT",IF($F16&lt;=Set_LowStock,"LOW","IN STOCK")))</f>
      </c>
      <c r="S16" s="79"/>
      <c r="T16" s="80"/>
      <c r="U16" s="78">
        <f>IF($B16="",0,IF(COUNTIF('DECOR INVENTORY'!$B$6:$B$105,$B16)&gt;1,1,0))</f>
      </c>
      <c r="V16" s="78">
        <f>IF(OR(N($P16)&gt;0,N($Q16)&gt;0),IF($O16="",1,IF(COUNTIF('MASTER BUDGET'!$D$6:$D$25,$O16)=0,1,0)),0)</f>
      </c>
      <c r="W16" s="75"/>
    </row>
    <row r="17" ht="17" customHeight="1" spans="1:23" x14ac:dyDescent="0.25">
      <c r="A17" s="75"/>
      <c r="B17" s="79"/>
      <c r="C17" s="80"/>
      <c r="D17" s="79"/>
      <c r="E17" s="79"/>
      <c r="F17" s="90"/>
      <c r="G17" s="79"/>
      <c r="H17" s="79"/>
      <c r="I17" s="79"/>
      <c r="J17" s="98"/>
      <c r="K17" s="79"/>
      <c r="L17" s="79"/>
      <c r="M17" s="79"/>
      <c r="N17" s="86"/>
      <c r="O17" s="79"/>
      <c r="P17" s="85">
        <f>IF($B17="","",IF($M17="Approved",$N17,0))</f>
      </c>
      <c r="Q17" s="86"/>
      <c r="R17" s="78">
        <f>IF($B17="","",IF($F17="","NO COUNT",IF($F17&lt;=Set_LowStock,"LOW","IN STOCK")))</f>
      </c>
      <c r="S17" s="79"/>
      <c r="T17" s="80"/>
      <c r="U17" s="78">
        <f>IF($B17="",0,IF(COUNTIF('DECOR INVENTORY'!$B$6:$B$105,$B17)&gt;1,1,0))</f>
      </c>
      <c r="V17" s="78">
        <f>IF(OR(N($P17)&gt;0,N($Q17)&gt;0),IF($O17="",1,IF(COUNTIF('MASTER BUDGET'!$D$6:$D$25,$O17)=0,1,0)),0)</f>
      </c>
      <c r="W17" s="75"/>
    </row>
    <row r="18" ht="17" customHeight="1" spans="1:23" x14ac:dyDescent="0.25">
      <c r="A18" s="75"/>
      <c r="B18" s="79"/>
      <c r="C18" s="80"/>
      <c r="D18" s="79"/>
      <c r="E18" s="79"/>
      <c r="F18" s="90"/>
      <c r="G18" s="79"/>
      <c r="H18" s="79"/>
      <c r="I18" s="79"/>
      <c r="J18" s="98"/>
      <c r="K18" s="79"/>
      <c r="L18" s="79"/>
      <c r="M18" s="79"/>
      <c r="N18" s="86"/>
      <c r="O18" s="79"/>
      <c r="P18" s="85">
        <f>IF($B18="","",IF($M18="Approved",$N18,0))</f>
      </c>
      <c r="Q18" s="86"/>
      <c r="R18" s="78">
        <f>IF($B18="","",IF($F18="","NO COUNT",IF($F18&lt;=Set_LowStock,"LOW","IN STOCK")))</f>
      </c>
      <c r="S18" s="79"/>
      <c r="T18" s="80"/>
      <c r="U18" s="78">
        <f>IF($B18="",0,IF(COUNTIF('DECOR INVENTORY'!$B$6:$B$105,$B18)&gt;1,1,0))</f>
      </c>
      <c r="V18" s="78">
        <f>IF(OR(N($P18)&gt;0,N($Q18)&gt;0),IF($O18="",1,IF(COUNTIF('MASTER BUDGET'!$D$6:$D$25,$O18)=0,1,0)),0)</f>
      </c>
      <c r="W18" s="75"/>
    </row>
    <row r="19" ht="17" customHeight="1" spans="1:23" x14ac:dyDescent="0.25">
      <c r="A19" s="75"/>
      <c r="B19" s="79"/>
      <c r="C19" s="80"/>
      <c r="D19" s="79"/>
      <c r="E19" s="79"/>
      <c r="F19" s="90"/>
      <c r="G19" s="79"/>
      <c r="H19" s="79"/>
      <c r="I19" s="79"/>
      <c r="J19" s="98"/>
      <c r="K19" s="79"/>
      <c r="L19" s="79"/>
      <c r="M19" s="79"/>
      <c r="N19" s="86"/>
      <c r="O19" s="79"/>
      <c r="P19" s="85">
        <f>IF($B19="","",IF($M19="Approved",$N19,0))</f>
      </c>
      <c r="Q19" s="86"/>
      <c r="R19" s="78">
        <f>IF($B19="","",IF($F19="","NO COUNT",IF($F19&lt;=Set_LowStock,"LOW","IN STOCK")))</f>
      </c>
      <c r="S19" s="79"/>
      <c r="T19" s="80"/>
      <c r="U19" s="78">
        <f>IF($B19="",0,IF(COUNTIF('DECOR INVENTORY'!$B$6:$B$105,$B19)&gt;1,1,0))</f>
      </c>
      <c r="V19" s="78">
        <f>IF(OR(N($P19)&gt;0,N($Q19)&gt;0),IF($O19="",1,IF(COUNTIF('MASTER BUDGET'!$D$6:$D$25,$O19)=0,1,0)),0)</f>
      </c>
      <c r="W19" s="75"/>
    </row>
    <row r="20" ht="17" customHeight="1" spans="1:23" x14ac:dyDescent="0.25">
      <c r="A20" s="75"/>
      <c r="B20" s="79"/>
      <c r="C20" s="80"/>
      <c r="D20" s="79"/>
      <c r="E20" s="79"/>
      <c r="F20" s="90"/>
      <c r="G20" s="79"/>
      <c r="H20" s="79"/>
      <c r="I20" s="79"/>
      <c r="J20" s="98"/>
      <c r="K20" s="79"/>
      <c r="L20" s="79"/>
      <c r="M20" s="79"/>
      <c r="N20" s="86"/>
      <c r="O20" s="79"/>
      <c r="P20" s="85">
        <f>IF($B20="","",IF($M20="Approved",$N20,0))</f>
      </c>
      <c r="Q20" s="86"/>
      <c r="R20" s="78">
        <f>IF($B20="","",IF($F20="","NO COUNT",IF($F20&lt;=Set_LowStock,"LOW","IN STOCK")))</f>
      </c>
      <c r="S20" s="79"/>
      <c r="T20" s="80"/>
      <c r="U20" s="78">
        <f>IF($B20="",0,IF(COUNTIF('DECOR INVENTORY'!$B$6:$B$105,$B20)&gt;1,1,0))</f>
      </c>
      <c r="V20" s="78">
        <f>IF(OR(N($P20)&gt;0,N($Q20)&gt;0),IF($O20="",1,IF(COUNTIF('MASTER BUDGET'!$D$6:$D$25,$O20)=0,1,0)),0)</f>
      </c>
      <c r="W20" s="75"/>
    </row>
    <row r="21" ht="17" customHeight="1" spans="1:23" x14ac:dyDescent="0.25">
      <c r="A21" s="75"/>
      <c r="B21" s="79"/>
      <c r="C21" s="80"/>
      <c r="D21" s="79"/>
      <c r="E21" s="79"/>
      <c r="F21" s="90"/>
      <c r="G21" s="79"/>
      <c r="H21" s="79"/>
      <c r="I21" s="79"/>
      <c r="J21" s="98"/>
      <c r="K21" s="79"/>
      <c r="L21" s="79"/>
      <c r="M21" s="79"/>
      <c r="N21" s="86"/>
      <c r="O21" s="79"/>
      <c r="P21" s="85">
        <f>IF($B21="","",IF($M21="Approved",$N21,0))</f>
      </c>
      <c r="Q21" s="86"/>
      <c r="R21" s="78">
        <f>IF($B21="","",IF($F21="","NO COUNT",IF($F21&lt;=Set_LowStock,"LOW","IN STOCK")))</f>
      </c>
      <c r="S21" s="79"/>
      <c r="T21" s="80"/>
      <c r="U21" s="78">
        <f>IF($B21="",0,IF(COUNTIF('DECOR INVENTORY'!$B$6:$B$105,$B21)&gt;1,1,0))</f>
      </c>
      <c r="V21" s="78">
        <f>IF(OR(N($P21)&gt;0,N($Q21)&gt;0),IF($O21="",1,IF(COUNTIF('MASTER BUDGET'!$D$6:$D$25,$O21)=0,1,0)),0)</f>
      </c>
      <c r="W21" s="75"/>
    </row>
    <row r="22" ht="17" customHeight="1" spans="1:23" x14ac:dyDescent="0.25">
      <c r="A22" s="75"/>
      <c r="B22" s="79"/>
      <c r="C22" s="80"/>
      <c r="D22" s="79"/>
      <c r="E22" s="79"/>
      <c r="F22" s="90"/>
      <c r="G22" s="79"/>
      <c r="H22" s="79"/>
      <c r="I22" s="79"/>
      <c r="J22" s="98"/>
      <c r="K22" s="79"/>
      <c r="L22" s="79"/>
      <c r="M22" s="79"/>
      <c r="N22" s="86"/>
      <c r="O22" s="79"/>
      <c r="P22" s="85">
        <f>IF($B22="","",IF($M22="Approved",$N22,0))</f>
      </c>
      <c r="Q22" s="86"/>
      <c r="R22" s="78">
        <f>IF($B22="","",IF($F22="","NO COUNT",IF($F22&lt;=Set_LowStock,"LOW","IN STOCK")))</f>
      </c>
      <c r="S22" s="79"/>
      <c r="T22" s="80"/>
      <c r="U22" s="78">
        <f>IF($B22="",0,IF(COUNTIF('DECOR INVENTORY'!$B$6:$B$105,$B22)&gt;1,1,0))</f>
      </c>
      <c r="V22" s="78">
        <f>IF(OR(N($P22)&gt;0,N($Q22)&gt;0),IF($O22="",1,IF(COUNTIF('MASTER BUDGET'!$D$6:$D$25,$O22)=0,1,0)),0)</f>
      </c>
      <c r="W22" s="75"/>
    </row>
    <row r="23" ht="17" customHeight="1" spans="1:23" x14ac:dyDescent="0.25">
      <c r="A23" s="75"/>
      <c r="B23" s="79"/>
      <c r="C23" s="80"/>
      <c r="D23" s="79"/>
      <c r="E23" s="79"/>
      <c r="F23" s="90"/>
      <c r="G23" s="79"/>
      <c r="H23" s="79"/>
      <c r="I23" s="79"/>
      <c r="J23" s="98"/>
      <c r="K23" s="79"/>
      <c r="L23" s="79"/>
      <c r="M23" s="79"/>
      <c r="N23" s="86"/>
      <c r="O23" s="79"/>
      <c r="P23" s="85">
        <f>IF($B23="","",IF($M23="Approved",$N23,0))</f>
      </c>
      <c r="Q23" s="86"/>
      <c r="R23" s="78">
        <f>IF($B23="","",IF($F23="","NO COUNT",IF($F23&lt;=Set_LowStock,"LOW","IN STOCK")))</f>
      </c>
      <c r="S23" s="79"/>
      <c r="T23" s="80"/>
      <c r="U23" s="78">
        <f>IF($B23="",0,IF(COUNTIF('DECOR INVENTORY'!$B$6:$B$105,$B23)&gt;1,1,0))</f>
      </c>
      <c r="V23" s="78">
        <f>IF(OR(N($P23)&gt;0,N($Q23)&gt;0),IF($O23="",1,IF(COUNTIF('MASTER BUDGET'!$D$6:$D$25,$O23)=0,1,0)),0)</f>
      </c>
      <c r="W23" s="75"/>
    </row>
    <row r="24" ht="17" customHeight="1" spans="1:23" x14ac:dyDescent="0.25">
      <c r="A24" s="75"/>
      <c r="B24" s="79"/>
      <c r="C24" s="80"/>
      <c r="D24" s="79"/>
      <c r="E24" s="79"/>
      <c r="F24" s="90"/>
      <c r="G24" s="79"/>
      <c r="H24" s="79"/>
      <c r="I24" s="79"/>
      <c r="J24" s="98"/>
      <c r="K24" s="79"/>
      <c r="L24" s="79"/>
      <c r="M24" s="79"/>
      <c r="N24" s="86"/>
      <c r="O24" s="79"/>
      <c r="P24" s="85">
        <f>IF($B24="","",IF($M24="Approved",$N24,0))</f>
      </c>
      <c r="Q24" s="86"/>
      <c r="R24" s="78">
        <f>IF($B24="","",IF($F24="","NO COUNT",IF($F24&lt;=Set_LowStock,"LOW","IN STOCK")))</f>
      </c>
      <c r="S24" s="79"/>
      <c r="T24" s="80"/>
      <c r="U24" s="78">
        <f>IF($B24="",0,IF(COUNTIF('DECOR INVENTORY'!$B$6:$B$105,$B24)&gt;1,1,0))</f>
      </c>
      <c r="V24" s="78">
        <f>IF(OR(N($P24)&gt;0,N($Q24)&gt;0),IF($O24="",1,IF(COUNTIF('MASTER BUDGET'!$D$6:$D$25,$O24)=0,1,0)),0)</f>
      </c>
      <c r="W24" s="75"/>
    </row>
    <row r="25" ht="17" customHeight="1" spans="1:23" x14ac:dyDescent="0.25">
      <c r="A25" s="75"/>
      <c r="B25" s="79"/>
      <c r="C25" s="80"/>
      <c r="D25" s="79"/>
      <c r="E25" s="79"/>
      <c r="F25" s="90"/>
      <c r="G25" s="79"/>
      <c r="H25" s="79"/>
      <c r="I25" s="79"/>
      <c r="J25" s="98"/>
      <c r="K25" s="79"/>
      <c r="L25" s="79"/>
      <c r="M25" s="79"/>
      <c r="N25" s="86"/>
      <c r="O25" s="79"/>
      <c r="P25" s="85">
        <f>IF($B25="","",IF($M25="Approved",$N25,0))</f>
      </c>
      <c r="Q25" s="86"/>
      <c r="R25" s="78">
        <f>IF($B25="","",IF($F25="","NO COUNT",IF($F25&lt;=Set_LowStock,"LOW","IN STOCK")))</f>
      </c>
      <c r="S25" s="79"/>
      <c r="T25" s="80"/>
      <c r="U25" s="78">
        <f>IF($B25="",0,IF(COUNTIF('DECOR INVENTORY'!$B$6:$B$105,$B25)&gt;1,1,0))</f>
      </c>
      <c r="V25" s="78">
        <f>IF(OR(N($P25)&gt;0,N($Q25)&gt;0),IF($O25="",1,IF(COUNTIF('MASTER BUDGET'!$D$6:$D$25,$O25)=0,1,0)),0)</f>
      </c>
      <c r="W25" s="75"/>
    </row>
    <row r="26" ht="17" customHeight="1" spans="1:23" x14ac:dyDescent="0.25">
      <c r="A26" s="75"/>
      <c r="B26" s="79"/>
      <c r="C26" s="80"/>
      <c r="D26" s="79"/>
      <c r="E26" s="79"/>
      <c r="F26" s="90"/>
      <c r="G26" s="79"/>
      <c r="H26" s="79"/>
      <c r="I26" s="79"/>
      <c r="J26" s="98"/>
      <c r="K26" s="79"/>
      <c r="L26" s="79"/>
      <c r="M26" s="79"/>
      <c r="N26" s="86"/>
      <c r="O26" s="79"/>
      <c r="P26" s="85">
        <f>IF($B26="","",IF($M26="Approved",$N26,0))</f>
      </c>
      <c r="Q26" s="86"/>
      <c r="R26" s="78">
        <f>IF($B26="","",IF($F26="","NO COUNT",IF($F26&lt;=Set_LowStock,"LOW","IN STOCK")))</f>
      </c>
      <c r="S26" s="79"/>
      <c r="T26" s="80"/>
      <c r="U26" s="78">
        <f>IF($B26="",0,IF(COUNTIF('DECOR INVENTORY'!$B$6:$B$105,$B26)&gt;1,1,0))</f>
      </c>
      <c r="V26" s="78">
        <f>IF(OR(N($P26)&gt;0,N($Q26)&gt;0),IF($O26="",1,IF(COUNTIF('MASTER BUDGET'!$D$6:$D$25,$O26)=0,1,0)),0)</f>
      </c>
      <c r="W26" s="75"/>
    </row>
    <row r="27" ht="17" customHeight="1" spans="1:23" x14ac:dyDescent="0.25">
      <c r="A27" s="75"/>
      <c r="B27" s="79"/>
      <c r="C27" s="80"/>
      <c r="D27" s="79"/>
      <c r="E27" s="79"/>
      <c r="F27" s="90"/>
      <c r="G27" s="79"/>
      <c r="H27" s="79"/>
      <c r="I27" s="79"/>
      <c r="J27" s="98"/>
      <c r="K27" s="79"/>
      <c r="L27" s="79"/>
      <c r="M27" s="79"/>
      <c r="N27" s="86"/>
      <c r="O27" s="79"/>
      <c r="P27" s="85">
        <f>IF($B27="","",IF($M27="Approved",$N27,0))</f>
      </c>
      <c r="Q27" s="86"/>
      <c r="R27" s="78">
        <f>IF($B27="","",IF($F27="","NO COUNT",IF($F27&lt;=Set_LowStock,"LOW","IN STOCK")))</f>
      </c>
      <c r="S27" s="79"/>
      <c r="T27" s="80"/>
      <c r="U27" s="78">
        <f>IF($B27="",0,IF(COUNTIF('DECOR INVENTORY'!$B$6:$B$105,$B27)&gt;1,1,0))</f>
      </c>
      <c r="V27" s="78">
        <f>IF(OR(N($P27)&gt;0,N($Q27)&gt;0),IF($O27="",1,IF(COUNTIF('MASTER BUDGET'!$D$6:$D$25,$O27)=0,1,0)),0)</f>
      </c>
      <c r="W27" s="75"/>
    </row>
    <row r="28" ht="17" customHeight="1" spans="1:23" x14ac:dyDescent="0.25">
      <c r="A28" s="75"/>
      <c r="B28" s="79"/>
      <c r="C28" s="80"/>
      <c r="D28" s="79"/>
      <c r="E28" s="79"/>
      <c r="F28" s="90"/>
      <c r="G28" s="79"/>
      <c r="H28" s="79"/>
      <c r="I28" s="79"/>
      <c r="J28" s="98"/>
      <c r="K28" s="79"/>
      <c r="L28" s="79"/>
      <c r="M28" s="79"/>
      <c r="N28" s="86"/>
      <c r="O28" s="79"/>
      <c r="P28" s="85">
        <f>IF($B28="","",IF($M28="Approved",$N28,0))</f>
      </c>
      <c r="Q28" s="86"/>
      <c r="R28" s="78">
        <f>IF($B28="","",IF($F28="","NO COUNT",IF($F28&lt;=Set_LowStock,"LOW","IN STOCK")))</f>
      </c>
      <c r="S28" s="79"/>
      <c r="T28" s="80"/>
      <c r="U28" s="78">
        <f>IF($B28="",0,IF(COUNTIF('DECOR INVENTORY'!$B$6:$B$105,$B28)&gt;1,1,0))</f>
      </c>
      <c r="V28" s="78">
        <f>IF(OR(N($P28)&gt;0,N($Q28)&gt;0),IF($O28="",1,IF(COUNTIF('MASTER BUDGET'!$D$6:$D$25,$O28)=0,1,0)),0)</f>
      </c>
      <c r="W28" s="75"/>
    </row>
    <row r="29" ht="17" customHeight="1" spans="1:23" x14ac:dyDescent="0.25">
      <c r="A29" s="75"/>
      <c r="B29" s="79"/>
      <c r="C29" s="80"/>
      <c r="D29" s="79"/>
      <c r="E29" s="79"/>
      <c r="F29" s="90"/>
      <c r="G29" s="79"/>
      <c r="H29" s="79"/>
      <c r="I29" s="79"/>
      <c r="J29" s="98"/>
      <c r="K29" s="79"/>
      <c r="L29" s="79"/>
      <c r="M29" s="79"/>
      <c r="N29" s="86"/>
      <c r="O29" s="79"/>
      <c r="P29" s="85">
        <f>IF($B29="","",IF($M29="Approved",$N29,0))</f>
      </c>
      <c r="Q29" s="86"/>
      <c r="R29" s="78">
        <f>IF($B29="","",IF($F29="","NO COUNT",IF($F29&lt;=Set_LowStock,"LOW","IN STOCK")))</f>
      </c>
      <c r="S29" s="79"/>
      <c r="T29" s="80"/>
      <c r="U29" s="78">
        <f>IF($B29="",0,IF(COUNTIF('DECOR INVENTORY'!$B$6:$B$105,$B29)&gt;1,1,0))</f>
      </c>
      <c r="V29" s="78">
        <f>IF(OR(N($P29)&gt;0,N($Q29)&gt;0),IF($O29="",1,IF(COUNTIF('MASTER BUDGET'!$D$6:$D$25,$O29)=0,1,0)),0)</f>
      </c>
      <c r="W29" s="75"/>
    </row>
    <row r="30" ht="17" customHeight="1" spans="1:23" x14ac:dyDescent="0.25">
      <c r="A30" s="75"/>
      <c r="B30" s="79"/>
      <c r="C30" s="80"/>
      <c r="D30" s="79"/>
      <c r="E30" s="79"/>
      <c r="F30" s="90"/>
      <c r="G30" s="79"/>
      <c r="H30" s="79"/>
      <c r="I30" s="79"/>
      <c r="J30" s="98"/>
      <c r="K30" s="79"/>
      <c r="L30" s="79"/>
      <c r="M30" s="79"/>
      <c r="N30" s="86"/>
      <c r="O30" s="79"/>
      <c r="P30" s="85">
        <f>IF($B30="","",IF($M30="Approved",$N30,0))</f>
      </c>
      <c r="Q30" s="86"/>
      <c r="R30" s="78">
        <f>IF($B30="","",IF($F30="","NO COUNT",IF($F30&lt;=Set_LowStock,"LOW","IN STOCK")))</f>
      </c>
      <c r="S30" s="79"/>
      <c r="T30" s="80"/>
      <c r="U30" s="78">
        <f>IF($B30="",0,IF(COUNTIF('DECOR INVENTORY'!$B$6:$B$105,$B30)&gt;1,1,0))</f>
      </c>
      <c r="V30" s="78">
        <f>IF(OR(N($P30)&gt;0,N($Q30)&gt;0),IF($O30="",1,IF(COUNTIF('MASTER BUDGET'!$D$6:$D$25,$O30)=0,1,0)),0)</f>
      </c>
      <c r="W30" s="75"/>
    </row>
    <row r="31" ht="17" customHeight="1" spans="1:23" x14ac:dyDescent="0.25">
      <c r="A31" s="75"/>
      <c r="B31" s="79"/>
      <c r="C31" s="80"/>
      <c r="D31" s="79"/>
      <c r="E31" s="79"/>
      <c r="F31" s="90"/>
      <c r="G31" s="79"/>
      <c r="H31" s="79"/>
      <c r="I31" s="79"/>
      <c r="J31" s="98"/>
      <c r="K31" s="79"/>
      <c r="L31" s="79"/>
      <c r="M31" s="79"/>
      <c r="N31" s="86"/>
      <c r="O31" s="79"/>
      <c r="P31" s="85">
        <f>IF($B31="","",IF($M31="Approved",$N31,0))</f>
      </c>
      <c r="Q31" s="86"/>
      <c r="R31" s="78">
        <f>IF($B31="","",IF($F31="","NO COUNT",IF($F31&lt;=Set_LowStock,"LOW","IN STOCK")))</f>
      </c>
      <c r="S31" s="79"/>
      <c r="T31" s="80"/>
      <c r="U31" s="78">
        <f>IF($B31="",0,IF(COUNTIF('DECOR INVENTORY'!$B$6:$B$105,$B31)&gt;1,1,0))</f>
      </c>
      <c r="V31" s="78">
        <f>IF(OR(N($P31)&gt;0,N($Q31)&gt;0),IF($O31="",1,IF(COUNTIF('MASTER BUDGET'!$D$6:$D$25,$O31)=0,1,0)),0)</f>
      </c>
      <c r="W31" s="75"/>
    </row>
    <row r="32" ht="17" customHeight="1" spans="1:23" x14ac:dyDescent="0.25">
      <c r="A32" s="75"/>
      <c r="B32" s="79"/>
      <c r="C32" s="80"/>
      <c r="D32" s="79"/>
      <c r="E32" s="79"/>
      <c r="F32" s="90"/>
      <c r="G32" s="79"/>
      <c r="H32" s="79"/>
      <c r="I32" s="79"/>
      <c r="J32" s="98"/>
      <c r="K32" s="79"/>
      <c r="L32" s="79"/>
      <c r="M32" s="79"/>
      <c r="N32" s="86"/>
      <c r="O32" s="79"/>
      <c r="P32" s="85">
        <f>IF($B32="","",IF($M32="Approved",$N32,0))</f>
      </c>
      <c r="Q32" s="86"/>
      <c r="R32" s="78">
        <f>IF($B32="","",IF($F32="","NO COUNT",IF($F32&lt;=Set_LowStock,"LOW","IN STOCK")))</f>
      </c>
      <c r="S32" s="79"/>
      <c r="T32" s="80"/>
      <c r="U32" s="78">
        <f>IF($B32="",0,IF(COUNTIF('DECOR INVENTORY'!$B$6:$B$105,$B32)&gt;1,1,0))</f>
      </c>
      <c r="V32" s="78">
        <f>IF(OR(N($P32)&gt;0,N($Q32)&gt;0),IF($O32="",1,IF(COUNTIF('MASTER BUDGET'!$D$6:$D$25,$O32)=0,1,0)),0)</f>
      </c>
      <c r="W32" s="75"/>
    </row>
    <row r="33" ht="17" customHeight="1" spans="1:23" x14ac:dyDescent="0.25">
      <c r="A33" s="75"/>
      <c r="B33" s="79"/>
      <c r="C33" s="80"/>
      <c r="D33" s="79"/>
      <c r="E33" s="79"/>
      <c r="F33" s="90"/>
      <c r="G33" s="79"/>
      <c r="H33" s="79"/>
      <c r="I33" s="79"/>
      <c r="J33" s="98"/>
      <c r="K33" s="79"/>
      <c r="L33" s="79"/>
      <c r="M33" s="79"/>
      <c r="N33" s="86"/>
      <c r="O33" s="79"/>
      <c r="P33" s="85">
        <f>IF($B33="","",IF($M33="Approved",$N33,0))</f>
      </c>
      <c r="Q33" s="86"/>
      <c r="R33" s="78">
        <f>IF($B33="","",IF($F33="","NO COUNT",IF($F33&lt;=Set_LowStock,"LOW","IN STOCK")))</f>
      </c>
      <c r="S33" s="79"/>
      <c r="T33" s="80"/>
      <c r="U33" s="78">
        <f>IF($B33="",0,IF(COUNTIF('DECOR INVENTORY'!$B$6:$B$105,$B33)&gt;1,1,0))</f>
      </c>
      <c r="V33" s="78">
        <f>IF(OR(N($P33)&gt;0,N($Q33)&gt;0),IF($O33="",1,IF(COUNTIF('MASTER BUDGET'!$D$6:$D$25,$O33)=0,1,0)),0)</f>
      </c>
      <c r="W33" s="75"/>
    </row>
    <row r="34" ht="17" customHeight="1" spans="1:23" x14ac:dyDescent="0.25">
      <c r="A34" s="75"/>
      <c r="B34" s="79"/>
      <c r="C34" s="80"/>
      <c r="D34" s="79"/>
      <c r="E34" s="79"/>
      <c r="F34" s="90"/>
      <c r="G34" s="79"/>
      <c r="H34" s="79"/>
      <c r="I34" s="79"/>
      <c r="J34" s="98"/>
      <c r="K34" s="79"/>
      <c r="L34" s="79"/>
      <c r="M34" s="79"/>
      <c r="N34" s="86"/>
      <c r="O34" s="79"/>
      <c r="P34" s="85">
        <f>IF($B34="","",IF($M34="Approved",$N34,0))</f>
      </c>
      <c r="Q34" s="86"/>
      <c r="R34" s="78">
        <f>IF($B34="","",IF($F34="","NO COUNT",IF($F34&lt;=Set_LowStock,"LOW","IN STOCK")))</f>
      </c>
      <c r="S34" s="79"/>
      <c r="T34" s="80"/>
      <c r="U34" s="78">
        <f>IF($B34="",0,IF(COUNTIF('DECOR INVENTORY'!$B$6:$B$105,$B34)&gt;1,1,0))</f>
      </c>
      <c r="V34" s="78">
        <f>IF(OR(N($P34)&gt;0,N($Q34)&gt;0),IF($O34="",1,IF(COUNTIF('MASTER BUDGET'!$D$6:$D$25,$O34)=0,1,0)),0)</f>
      </c>
      <c r="W34" s="75"/>
    </row>
    <row r="35" ht="17" customHeight="1" spans="1:23" x14ac:dyDescent="0.25">
      <c r="A35" s="75"/>
      <c r="B35" s="79"/>
      <c r="C35" s="80"/>
      <c r="D35" s="79"/>
      <c r="E35" s="79"/>
      <c r="F35" s="90"/>
      <c r="G35" s="79"/>
      <c r="H35" s="79"/>
      <c r="I35" s="79"/>
      <c r="J35" s="98"/>
      <c r="K35" s="79"/>
      <c r="L35" s="79"/>
      <c r="M35" s="79"/>
      <c r="N35" s="86"/>
      <c r="O35" s="79"/>
      <c r="P35" s="85">
        <f>IF($B35="","",IF($M35="Approved",$N35,0))</f>
      </c>
      <c r="Q35" s="86"/>
      <c r="R35" s="78">
        <f>IF($B35="","",IF($F35="","NO COUNT",IF($F35&lt;=Set_LowStock,"LOW","IN STOCK")))</f>
      </c>
      <c r="S35" s="79"/>
      <c r="T35" s="80"/>
      <c r="U35" s="78">
        <f>IF($B35="",0,IF(COUNTIF('DECOR INVENTORY'!$B$6:$B$105,$B35)&gt;1,1,0))</f>
      </c>
      <c r="V35" s="78">
        <f>IF(OR(N($P35)&gt;0,N($Q35)&gt;0),IF($O35="",1,IF(COUNTIF('MASTER BUDGET'!$D$6:$D$25,$O35)=0,1,0)),0)</f>
      </c>
      <c r="W35" s="75"/>
    </row>
    <row r="36" ht="17" customHeight="1" spans="1:23" x14ac:dyDescent="0.25">
      <c r="A36" s="75"/>
      <c r="B36" s="79"/>
      <c r="C36" s="80"/>
      <c r="D36" s="79"/>
      <c r="E36" s="79"/>
      <c r="F36" s="90"/>
      <c r="G36" s="79"/>
      <c r="H36" s="79"/>
      <c r="I36" s="79"/>
      <c r="J36" s="98"/>
      <c r="K36" s="79"/>
      <c r="L36" s="79"/>
      <c r="M36" s="79"/>
      <c r="N36" s="86"/>
      <c r="O36" s="79"/>
      <c r="P36" s="85">
        <f>IF($B36="","",IF($M36="Approved",$N36,0))</f>
      </c>
      <c r="Q36" s="86"/>
      <c r="R36" s="78">
        <f>IF($B36="","",IF($F36="","NO COUNT",IF($F36&lt;=Set_LowStock,"LOW","IN STOCK")))</f>
      </c>
      <c r="S36" s="79"/>
      <c r="T36" s="80"/>
      <c r="U36" s="78">
        <f>IF($B36="",0,IF(COUNTIF('DECOR INVENTORY'!$B$6:$B$105,$B36)&gt;1,1,0))</f>
      </c>
      <c r="V36" s="78">
        <f>IF(OR(N($P36)&gt;0,N($Q36)&gt;0),IF($O36="",1,IF(COUNTIF('MASTER BUDGET'!$D$6:$D$25,$O36)=0,1,0)),0)</f>
      </c>
      <c r="W36" s="75"/>
    </row>
    <row r="37" ht="17" customHeight="1" spans="1:23" x14ac:dyDescent="0.25">
      <c r="A37" s="75"/>
      <c r="B37" s="79"/>
      <c r="C37" s="80"/>
      <c r="D37" s="79"/>
      <c r="E37" s="79"/>
      <c r="F37" s="90"/>
      <c r="G37" s="79"/>
      <c r="H37" s="79"/>
      <c r="I37" s="79"/>
      <c r="J37" s="98"/>
      <c r="K37" s="79"/>
      <c r="L37" s="79"/>
      <c r="M37" s="79"/>
      <c r="N37" s="86"/>
      <c r="O37" s="79"/>
      <c r="P37" s="85">
        <f>IF($B37="","",IF($M37="Approved",$N37,0))</f>
      </c>
      <c r="Q37" s="86"/>
      <c r="R37" s="78">
        <f>IF($B37="","",IF($F37="","NO COUNT",IF($F37&lt;=Set_LowStock,"LOW","IN STOCK")))</f>
      </c>
      <c r="S37" s="79"/>
      <c r="T37" s="80"/>
      <c r="U37" s="78">
        <f>IF($B37="",0,IF(COUNTIF('DECOR INVENTORY'!$B$6:$B$105,$B37)&gt;1,1,0))</f>
      </c>
      <c r="V37" s="78">
        <f>IF(OR(N($P37)&gt;0,N($Q37)&gt;0),IF($O37="",1,IF(COUNTIF('MASTER BUDGET'!$D$6:$D$25,$O37)=0,1,0)),0)</f>
      </c>
      <c r="W37" s="75"/>
    </row>
    <row r="38" ht="17" customHeight="1" spans="1:23" x14ac:dyDescent="0.25">
      <c r="A38" s="75"/>
      <c r="B38" s="79"/>
      <c r="C38" s="80"/>
      <c r="D38" s="79"/>
      <c r="E38" s="79"/>
      <c r="F38" s="90"/>
      <c r="G38" s="79"/>
      <c r="H38" s="79"/>
      <c r="I38" s="79"/>
      <c r="J38" s="98"/>
      <c r="K38" s="79"/>
      <c r="L38" s="79"/>
      <c r="M38" s="79"/>
      <c r="N38" s="86"/>
      <c r="O38" s="79"/>
      <c r="P38" s="85">
        <f>IF($B38="","",IF($M38="Approved",$N38,0))</f>
      </c>
      <c r="Q38" s="86"/>
      <c r="R38" s="78">
        <f>IF($B38="","",IF($F38="","NO COUNT",IF($F38&lt;=Set_LowStock,"LOW","IN STOCK")))</f>
      </c>
      <c r="S38" s="79"/>
      <c r="T38" s="80"/>
      <c r="U38" s="78">
        <f>IF($B38="",0,IF(COUNTIF('DECOR INVENTORY'!$B$6:$B$105,$B38)&gt;1,1,0))</f>
      </c>
      <c r="V38" s="78">
        <f>IF(OR(N($P38)&gt;0,N($Q38)&gt;0),IF($O38="",1,IF(COUNTIF('MASTER BUDGET'!$D$6:$D$25,$O38)=0,1,0)),0)</f>
      </c>
      <c r="W38" s="75"/>
    </row>
    <row r="39" ht="17" customHeight="1" spans="1:23" x14ac:dyDescent="0.25">
      <c r="A39" s="75"/>
      <c r="B39" s="79"/>
      <c r="C39" s="80"/>
      <c r="D39" s="79"/>
      <c r="E39" s="79"/>
      <c r="F39" s="90"/>
      <c r="G39" s="79"/>
      <c r="H39" s="79"/>
      <c r="I39" s="79"/>
      <c r="J39" s="98"/>
      <c r="K39" s="79"/>
      <c r="L39" s="79"/>
      <c r="M39" s="79"/>
      <c r="N39" s="86"/>
      <c r="O39" s="79"/>
      <c r="P39" s="85">
        <f>IF($B39="","",IF($M39="Approved",$N39,0))</f>
      </c>
      <c r="Q39" s="86"/>
      <c r="R39" s="78">
        <f>IF($B39="","",IF($F39="","NO COUNT",IF($F39&lt;=Set_LowStock,"LOW","IN STOCK")))</f>
      </c>
      <c r="S39" s="79"/>
      <c r="T39" s="80"/>
      <c r="U39" s="78">
        <f>IF($B39="",0,IF(COUNTIF('DECOR INVENTORY'!$B$6:$B$105,$B39)&gt;1,1,0))</f>
      </c>
      <c r="V39" s="78">
        <f>IF(OR(N($P39)&gt;0,N($Q39)&gt;0),IF($O39="",1,IF(COUNTIF('MASTER BUDGET'!$D$6:$D$25,$O39)=0,1,0)),0)</f>
      </c>
      <c r="W39" s="75"/>
    </row>
    <row r="40" ht="17" customHeight="1" spans="1:23" x14ac:dyDescent="0.25">
      <c r="A40" s="75"/>
      <c r="B40" s="79"/>
      <c r="C40" s="80"/>
      <c r="D40" s="79"/>
      <c r="E40" s="79"/>
      <c r="F40" s="90"/>
      <c r="G40" s="79"/>
      <c r="H40" s="79"/>
      <c r="I40" s="79"/>
      <c r="J40" s="98"/>
      <c r="K40" s="79"/>
      <c r="L40" s="79"/>
      <c r="M40" s="79"/>
      <c r="N40" s="86"/>
      <c r="O40" s="79"/>
      <c r="P40" s="85">
        <f>IF($B40="","",IF($M40="Approved",$N40,0))</f>
      </c>
      <c r="Q40" s="86"/>
      <c r="R40" s="78">
        <f>IF($B40="","",IF($F40="","NO COUNT",IF($F40&lt;=Set_LowStock,"LOW","IN STOCK")))</f>
      </c>
      <c r="S40" s="79"/>
      <c r="T40" s="80"/>
      <c r="U40" s="78">
        <f>IF($B40="",0,IF(COUNTIF('DECOR INVENTORY'!$B$6:$B$105,$B40)&gt;1,1,0))</f>
      </c>
      <c r="V40" s="78">
        <f>IF(OR(N($P40)&gt;0,N($Q40)&gt;0),IF($O40="",1,IF(COUNTIF('MASTER BUDGET'!$D$6:$D$25,$O40)=0,1,0)),0)</f>
      </c>
      <c r="W40" s="75"/>
    </row>
    <row r="41" ht="17" customHeight="1" spans="1:23" x14ac:dyDescent="0.25">
      <c r="A41" s="75"/>
      <c r="B41" s="79"/>
      <c r="C41" s="80"/>
      <c r="D41" s="79"/>
      <c r="E41" s="79"/>
      <c r="F41" s="90"/>
      <c r="G41" s="79"/>
      <c r="H41" s="79"/>
      <c r="I41" s="79"/>
      <c r="J41" s="98"/>
      <c r="K41" s="79"/>
      <c r="L41" s="79"/>
      <c r="M41" s="79"/>
      <c r="N41" s="86"/>
      <c r="O41" s="79"/>
      <c r="P41" s="85">
        <f>IF($B41="","",IF($M41="Approved",$N41,0))</f>
      </c>
      <c r="Q41" s="86"/>
      <c r="R41" s="78">
        <f>IF($B41="","",IF($F41="","NO COUNT",IF($F41&lt;=Set_LowStock,"LOW","IN STOCK")))</f>
      </c>
      <c r="S41" s="79"/>
      <c r="T41" s="80"/>
      <c r="U41" s="78">
        <f>IF($B41="",0,IF(COUNTIF('DECOR INVENTORY'!$B$6:$B$105,$B41)&gt;1,1,0))</f>
      </c>
      <c r="V41" s="78">
        <f>IF(OR(N($P41)&gt;0,N($Q41)&gt;0),IF($O41="",1,IF(COUNTIF('MASTER BUDGET'!$D$6:$D$25,$O41)=0,1,0)),0)</f>
      </c>
      <c r="W41" s="75"/>
    </row>
    <row r="42" ht="17" customHeight="1" spans="1:23" x14ac:dyDescent="0.25">
      <c r="A42" s="75"/>
      <c r="B42" s="79"/>
      <c r="C42" s="80"/>
      <c r="D42" s="79"/>
      <c r="E42" s="79"/>
      <c r="F42" s="90"/>
      <c r="G42" s="79"/>
      <c r="H42" s="79"/>
      <c r="I42" s="79"/>
      <c r="J42" s="98"/>
      <c r="K42" s="79"/>
      <c r="L42" s="79"/>
      <c r="M42" s="79"/>
      <c r="N42" s="86"/>
      <c r="O42" s="79"/>
      <c r="P42" s="85">
        <f>IF($B42="","",IF($M42="Approved",$N42,0))</f>
      </c>
      <c r="Q42" s="86"/>
      <c r="R42" s="78">
        <f>IF($B42="","",IF($F42="","NO COUNT",IF($F42&lt;=Set_LowStock,"LOW","IN STOCK")))</f>
      </c>
      <c r="S42" s="79"/>
      <c r="T42" s="80"/>
      <c r="U42" s="78">
        <f>IF($B42="",0,IF(COUNTIF('DECOR INVENTORY'!$B$6:$B$105,$B42)&gt;1,1,0))</f>
      </c>
      <c r="V42" s="78">
        <f>IF(OR(N($P42)&gt;0,N($Q42)&gt;0),IF($O42="",1,IF(COUNTIF('MASTER BUDGET'!$D$6:$D$25,$O42)=0,1,0)),0)</f>
      </c>
      <c r="W42" s="75"/>
    </row>
    <row r="43" ht="17" customHeight="1" spans="1:23" x14ac:dyDescent="0.25">
      <c r="A43" s="75"/>
      <c r="B43" s="79"/>
      <c r="C43" s="80"/>
      <c r="D43" s="79"/>
      <c r="E43" s="79"/>
      <c r="F43" s="90"/>
      <c r="G43" s="79"/>
      <c r="H43" s="79"/>
      <c r="I43" s="79"/>
      <c r="J43" s="98"/>
      <c r="K43" s="79"/>
      <c r="L43" s="79"/>
      <c r="M43" s="79"/>
      <c r="N43" s="86"/>
      <c r="O43" s="79"/>
      <c r="P43" s="85">
        <f>IF($B43="","",IF($M43="Approved",$N43,0))</f>
      </c>
      <c r="Q43" s="86"/>
      <c r="R43" s="78">
        <f>IF($B43="","",IF($F43="","NO COUNT",IF($F43&lt;=Set_LowStock,"LOW","IN STOCK")))</f>
      </c>
      <c r="S43" s="79"/>
      <c r="T43" s="80"/>
      <c r="U43" s="78">
        <f>IF($B43="",0,IF(COUNTIF('DECOR INVENTORY'!$B$6:$B$105,$B43)&gt;1,1,0))</f>
      </c>
      <c r="V43" s="78">
        <f>IF(OR(N($P43)&gt;0,N($Q43)&gt;0),IF($O43="",1,IF(COUNTIF('MASTER BUDGET'!$D$6:$D$25,$O43)=0,1,0)),0)</f>
      </c>
      <c r="W43" s="75"/>
    </row>
    <row r="44" ht="17" customHeight="1" spans="1:23" x14ac:dyDescent="0.25">
      <c r="A44" s="75"/>
      <c r="B44" s="79"/>
      <c r="C44" s="80"/>
      <c r="D44" s="79"/>
      <c r="E44" s="79"/>
      <c r="F44" s="90"/>
      <c r="G44" s="79"/>
      <c r="H44" s="79"/>
      <c r="I44" s="79"/>
      <c r="J44" s="98"/>
      <c r="K44" s="79"/>
      <c r="L44" s="79"/>
      <c r="M44" s="79"/>
      <c r="N44" s="86"/>
      <c r="O44" s="79"/>
      <c r="P44" s="85">
        <f>IF($B44="","",IF($M44="Approved",$N44,0))</f>
      </c>
      <c r="Q44" s="86"/>
      <c r="R44" s="78">
        <f>IF($B44="","",IF($F44="","NO COUNT",IF($F44&lt;=Set_LowStock,"LOW","IN STOCK")))</f>
      </c>
      <c r="S44" s="79"/>
      <c r="T44" s="80"/>
      <c r="U44" s="78">
        <f>IF($B44="",0,IF(COUNTIF('DECOR INVENTORY'!$B$6:$B$105,$B44)&gt;1,1,0))</f>
      </c>
      <c r="V44" s="78">
        <f>IF(OR(N($P44)&gt;0,N($Q44)&gt;0),IF($O44="",1,IF(COUNTIF('MASTER BUDGET'!$D$6:$D$25,$O44)=0,1,0)),0)</f>
      </c>
      <c r="W44" s="75"/>
    </row>
    <row r="45" ht="17" customHeight="1" spans="1:23" x14ac:dyDescent="0.25">
      <c r="A45" s="75"/>
      <c r="B45" s="79"/>
      <c r="C45" s="80"/>
      <c r="D45" s="79"/>
      <c r="E45" s="79"/>
      <c r="F45" s="90"/>
      <c r="G45" s="79"/>
      <c r="H45" s="79"/>
      <c r="I45" s="79"/>
      <c r="J45" s="98"/>
      <c r="K45" s="79"/>
      <c r="L45" s="79"/>
      <c r="M45" s="79"/>
      <c r="N45" s="86"/>
      <c r="O45" s="79"/>
      <c r="P45" s="85">
        <f>IF($B45="","",IF($M45="Approved",$N45,0))</f>
      </c>
      <c r="Q45" s="86"/>
      <c r="R45" s="78">
        <f>IF($B45="","",IF($F45="","NO COUNT",IF($F45&lt;=Set_LowStock,"LOW","IN STOCK")))</f>
      </c>
      <c r="S45" s="79"/>
      <c r="T45" s="80"/>
      <c r="U45" s="78">
        <f>IF($B45="",0,IF(COUNTIF('DECOR INVENTORY'!$B$6:$B$105,$B45)&gt;1,1,0))</f>
      </c>
      <c r="V45" s="78">
        <f>IF(OR(N($P45)&gt;0,N($Q45)&gt;0),IF($O45="",1,IF(COUNTIF('MASTER BUDGET'!$D$6:$D$25,$O45)=0,1,0)),0)</f>
      </c>
      <c r="W45" s="75"/>
    </row>
    <row r="46" ht="17" customHeight="1" spans="1:23" x14ac:dyDescent="0.25">
      <c r="A46" s="75"/>
      <c r="B46" s="79"/>
      <c r="C46" s="80"/>
      <c r="D46" s="79"/>
      <c r="E46" s="79"/>
      <c r="F46" s="90"/>
      <c r="G46" s="79"/>
      <c r="H46" s="79"/>
      <c r="I46" s="79"/>
      <c r="J46" s="98"/>
      <c r="K46" s="79"/>
      <c r="L46" s="79"/>
      <c r="M46" s="79"/>
      <c r="N46" s="86"/>
      <c r="O46" s="79"/>
      <c r="P46" s="85">
        <f>IF($B46="","",IF($M46="Approved",$N46,0))</f>
      </c>
      <c r="Q46" s="86"/>
      <c r="R46" s="78">
        <f>IF($B46="","",IF($F46="","NO COUNT",IF($F46&lt;=Set_LowStock,"LOW","IN STOCK")))</f>
      </c>
      <c r="S46" s="79"/>
      <c r="T46" s="80"/>
      <c r="U46" s="78">
        <f>IF($B46="",0,IF(COUNTIF('DECOR INVENTORY'!$B$6:$B$105,$B46)&gt;1,1,0))</f>
      </c>
      <c r="V46" s="78">
        <f>IF(OR(N($P46)&gt;0,N($Q46)&gt;0),IF($O46="",1,IF(COUNTIF('MASTER BUDGET'!$D$6:$D$25,$O46)=0,1,0)),0)</f>
      </c>
      <c r="W46" s="75"/>
    </row>
    <row r="47" ht="17" customHeight="1" spans="1:23" x14ac:dyDescent="0.25">
      <c r="A47" s="75"/>
      <c r="B47" s="79"/>
      <c r="C47" s="80"/>
      <c r="D47" s="79"/>
      <c r="E47" s="79"/>
      <c r="F47" s="90"/>
      <c r="G47" s="79"/>
      <c r="H47" s="79"/>
      <c r="I47" s="79"/>
      <c r="J47" s="98"/>
      <c r="K47" s="79"/>
      <c r="L47" s="79"/>
      <c r="M47" s="79"/>
      <c r="N47" s="86"/>
      <c r="O47" s="79"/>
      <c r="P47" s="85">
        <f>IF($B47="","",IF($M47="Approved",$N47,0))</f>
      </c>
      <c r="Q47" s="86"/>
      <c r="R47" s="78">
        <f>IF($B47="","",IF($F47="","NO COUNT",IF($F47&lt;=Set_LowStock,"LOW","IN STOCK")))</f>
      </c>
      <c r="S47" s="79"/>
      <c r="T47" s="80"/>
      <c r="U47" s="78">
        <f>IF($B47="",0,IF(COUNTIF('DECOR INVENTORY'!$B$6:$B$105,$B47)&gt;1,1,0))</f>
      </c>
      <c r="V47" s="78">
        <f>IF(OR(N($P47)&gt;0,N($Q47)&gt;0),IF($O47="",1,IF(COUNTIF('MASTER BUDGET'!$D$6:$D$25,$O47)=0,1,0)),0)</f>
      </c>
      <c r="W47" s="75"/>
    </row>
    <row r="48" ht="17" customHeight="1" spans="1:23" x14ac:dyDescent="0.25">
      <c r="A48" s="75"/>
      <c r="B48" s="79"/>
      <c r="C48" s="80"/>
      <c r="D48" s="79"/>
      <c r="E48" s="79"/>
      <c r="F48" s="90"/>
      <c r="G48" s="79"/>
      <c r="H48" s="79"/>
      <c r="I48" s="79"/>
      <c r="J48" s="98"/>
      <c r="K48" s="79"/>
      <c r="L48" s="79"/>
      <c r="M48" s="79"/>
      <c r="N48" s="86"/>
      <c r="O48" s="79"/>
      <c r="P48" s="85">
        <f>IF($B48="","",IF($M48="Approved",$N48,0))</f>
      </c>
      <c r="Q48" s="86"/>
      <c r="R48" s="78">
        <f>IF($B48="","",IF($F48="","NO COUNT",IF($F48&lt;=Set_LowStock,"LOW","IN STOCK")))</f>
      </c>
      <c r="S48" s="79"/>
      <c r="T48" s="80"/>
      <c r="U48" s="78">
        <f>IF($B48="",0,IF(COUNTIF('DECOR INVENTORY'!$B$6:$B$105,$B48)&gt;1,1,0))</f>
      </c>
      <c r="V48" s="78">
        <f>IF(OR(N($P48)&gt;0,N($Q48)&gt;0),IF($O48="",1,IF(COUNTIF('MASTER BUDGET'!$D$6:$D$25,$O48)=0,1,0)),0)</f>
      </c>
      <c r="W48" s="75"/>
    </row>
    <row r="49" ht="17" customHeight="1" spans="1:23" x14ac:dyDescent="0.25">
      <c r="A49" s="75"/>
      <c r="B49" s="79"/>
      <c r="C49" s="80"/>
      <c r="D49" s="79"/>
      <c r="E49" s="79"/>
      <c r="F49" s="90"/>
      <c r="G49" s="79"/>
      <c r="H49" s="79"/>
      <c r="I49" s="79"/>
      <c r="J49" s="98"/>
      <c r="K49" s="79"/>
      <c r="L49" s="79"/>
      <c r="M49" s="79"/>
      <c r="N49" s="86"/>
      <c r="O49" s="79"/>
      <c r="P49" s="85">
        <f>IF($B49="","",IF($M49="Approved",$N49,0))</f>
      </c>
      <c r="Q49" s="86"/>
      <c r="R49" s="78">
        <f>IF($B49="","",IF($F49="","NO COUNT",IF($F49&lt;=Set_LowStock,"LOW","IN STOCK")))</f>
      </c>
      <c r="S49" s="79"/>
      <c r="T49" s="80"/>
      <c r="U49" s="78">
        <f>IF($B49="",0,IF(COUNTIF('DECOR INVENTORY'!$B$6:$B$105,$B49)&gt;1,1,0))</f>
      </c>
      <c r="V49" s="78">
        <f>IF(OR(N($P49)&gt;0,N($Q49)&gt;0),IF($O49="",1,IF(COUNTIF('MASTER BUDGET'!$D$6:$D$25,$O49)=0,1,0)),0)</f>
      </c>
      <c r="W49" s="75"/>
    </row>
    <row r="50" ht="17" customHeight="1" spans="1:23" x14ac:dyDescent="0.25">
      <c r="A50" s="75"/>
      <c r="B50" s="79"/>
      <c r="C50" s="80"/>
      <c r="D50" s="79"/>
      <c r="E50" s="79"/>
      <c r="F50" s="90"/>
      <c r="G50" s="79"/>
      <c r="H50" s="79"/>
      <c r="I50" s="79"/>
      <c r="J50" s="98"/>
      <c r="K50" s="79"/>
      <c r="L50" s="79"/>
      <c r="M50" s="79"/>
      <c r="N50" s="86"/>
      <c r="O50" s="79"/>
      <c r="P50" s="85">
        <f>IF($B50="","",IF($M50="Approved",$N50,0))</f>
      </c>
      <c r="Q50" s="86"/>
      <c r="R50" s="78">
        <f>IF($B50="","",IF($F50="","NO COUNT",IF($F50&lt;=Set_LowStock,"LOW","IN STOCK")))</f>
      </c>
      <c r="S50" s="79"/>
      <c r="T50" s="80"/>
      <c r="U50" s="78">
        <f>IF($B50="",0,IF(COUNTIF('DECOR INVENTORY'!$B$6:$B$105,$B50)&gt;1,1,0))</f>
      </c>
      <c r="V50" s="78">
        <f>IF(OR(N($P50)&gt;0,N($Q50)&gt;0),IF($O50="",1,IF(COUNTIF('MASTER BUDGET'!$D$6:$D$25,$O50)=0,1,0)),0)</f>
      </c>
      <c r="W50" s="75"/>
    </row>
    <row r="51" ht="17" customHeight="1" spans="1:23" x14ac:dyDescent="0.25">
      <c r="A51" s="75"/>
      <c r="B51" s="79"/>
      <c r="C51" s="80"/>
      <c r="D51" s="79"/>
      <c r="E51" s="79"/>
      <c r="F51" s="90"/>
      <c r="G51" s="79"/>
      <c r="H51" s="79"/>
      <c r="I51" s="79"/>
      <c r="J51" s="98"/>
      <c r="K51" s="79"/>
      <c r="L51" s="79"/>
      <c r="M51" s="79"/>
      <c r="N51" s="86"/>
      <c r="O51" s="79"/>
      <c r="P51" s="85">
        <f>IF($B51="","",IF($M51="Approved",$N51,0))</f>
      </c>
      <c r="Q51" s="86"/>
      <c r="R51" s="78">
        <f>IF($B51="","",IF($F51="","NO COUNT",IF($F51&lt;=Set_LowStock,"LOW","IN STOCK")))</f>
      </c>
      <c r="S51" s="79"/>
      <c r="T51" s="80"/>
      <c r="U51" s="78">
        <f>IF($B51="",0,IF(COUNTIF('DECOR INVENTORY'!$B$6:$B$105,$B51)&gt;1,1,0))</f>
      </c>
      <c r="V51" s="78">
        <f>IF(OR(N($P51)&gt;0,N($Q51)&gt;0),IF($O51="",1,IF(COUNTIF('MASTER BUDGET'!$D$6:$D$25,$O51)=0,1,0)),0)</f>
      </c>
      <c r="W51" s="75"/>
    </row>
    <row r="52" ht="17" customHeight="1" spans="1:23" x14ac:dyDescent="0.25">
      <c r="A52" s="75"/>
      <c r="B52" s="79"/>
      <c r="C52" s="80"/>
      <c r="D52" s="79"/>
      <c r="E52" s="79"/>
      <c r="F52" s="90"/>
      <c r="G52" s="79"/>
      <c r="H52" s="79"/>
      <c r="I52" s="79"/>
      <c r="J52" s="98"/>
      <c r="K52" s="79"/>
      <c r="L52" s="79"/>
      <c r="M52" s="79"/>
      <c r="N52" s="86"/>
      <c r="O52" s="79"/>
      <c r="P52" s="85">
        <f>IF($B52="","",IF($M52="Approved",$N52,0))</f>
      </c>
      <c r="Q52" s="86"/>
      <c r="R52" s="78">
        <f>IF($B52="","",IF($F52="","NO COUNT",IF($F52&lt;=Set_LowStock,"LOW","IN STOCK")))</f>
      </c>
      <c r="S52" s="79"/>
      <c r="T52" s="80"/>
      <c r="U52" s="78">
        <f>IF($B52="",0,IF(COUNTIF('DECOR INVENTORY'!$B$6:$B$105,$B52)&gt;1,1,0))</f>
      </c>
      <c r="V52" s="78">
        <f>IF(OR(N($P52)&gt;0,N($Q52)&gt;0),IF($O52="",1,IF(COUNTIF('MASTER BUDGET'!$D$6:$D$25,$O52)=0,1,0)),0)</f>
      </c>
      <c r="W52" s="75"/>
    </row>
    <row r="53" ht="17" customHeight="1" spans="1:23" x14ac:dyDescent="0.25">
      <c r="A53" s="75"/>
      <c r="B53" s="79"/>
      <c r="C53" s="80"/>
      <c r="D53" s="79"/>
      <c r="E53" s="79"/>
      <c r="F53" s="90"/>
      <c r="G53" s="79"/>
      <c r="H53" s="79"/>
      <c r="I53" s="79"/>
      <c r="J53" s="98"/>
      <c r="K53" s="79"/>
      <c r="L53" s="79"/>
      <c r="M53" s="79"/>
      <c r="N53" s="86"/>
      <c r="O53" s="79"/>
      <c r="P53" s="85">
        <f>IF($B53="","",IF($M53="Approved",$N53,0))</f>
      </c>
      <c r="Q53" s="86"/>
      <c r="R53" s="78">
        <f>IF($B53="","",IF($F53="","NO COUNT",IF($F53&lt;=Set_LowStock,"LOW","IN STOCK")))</f>
      </c>
      <c r="S53" s="79"/>
      <c r="T53" s="80"/>
      <c r="U53" s="78">
        <f>IF($B53="",0,IF(COUNTIF('DECOR INVENTORY'!$B$6:$B$105,$B53)&gt;1,1,0))</f>
      </c>
      <c r="V53" s="78">
        <f>IF(OR(N($P53)&gt;0,N($Q53)&gt;0),IF($O53="",1,IF(COUNTIF('MASTER BUDGET'!$D$6:$D$25,$O53)=0,1,0)),0)</f>
      </c>
      <c r="W53" s="75"/>
    </row>
    <row r="54" ht="17" customHeight="1" spans="1:23" x14ac:dyDescent="0.25">
      <c r="A54" s="75"/>
      <c r="B54" s="79"/>
      <c r="C54" s="80"/>
      <c r="D54" s="79"/>
      <c r="E54" s="79"/>
      <c r="F54" s="90"/>
      <c r="G54" s="79"/>
      <c r="H54" s="79"/>
      <c r="I54" s="79"/>
      <c r="J54" s="98"/>
      <c r="K54" s="79"/>
      <c r="L54" s="79"/>
      <c r="M54" s="79"/>
      <c r="N54" s="86"/>
      <c r="O54" s="79"/>
      <c r="P54" s="85">
        <f>IF($B54="","",IF($M54="Approved",$N54,0))</f>
      </c>
      <c r="Q54" s="86"/>
      <c r="R54" s="78">
        <f>IF($B54="","",IF($F54="","NO COUNT",IF($F54&lt;=Set_LowStock,"LOW","IN STOCK")))</f>
      </c>
      <c r="S54" s="79"/>
      <c r="T54" s="80"/>
      <c r="U54" s="78">
        <f>IF($B54="",0,IF(COUNTIF('DECOR INVENTORY'!$B$6:$B$105,$B54)&gt;1,1,0))</f>
      </c>
      <c r="V54" s="78">
        <f>IF(OR(N($P54)&gt;0,N($Q54)&gt;0),IF($O54="",1,IF(COUNTIF('MASTER BUDGET'!$D$6:$D$25,$O54)=0,1,0)),0)</f>
      </c>
      <c r="W54" s="75"/>
    </row>
    <row r="55" ht="17" customHeight="1" spans="1:23" x14ac:dyDescent="0.25">
      <c r="A55" s="75"/>
      <c r="B55" s="79"/>
      <c r="C55" s="80"/>
      <c r="D55" s="79"/>
      <c r="E55" s="79"/>
      <c r="F55" s="90"/>
      <c r="G55" s="79"/>
      <c r="H55" s="79"/>
      <c r="I55" s="79"/>
      <c r="J55" s="98"/>
      <c r="K55" s="79"/>
      <c r="L55" s="79"/>
      <c r="M55" s="79"/>
      <c r="N55" s="86"/>
      <c r="O55" s="79"/>
      <c r="P55" s="85">
        <f>IF($B55="","",IF($M55="Approved",$N55,0))</f>
      </c>
      <c r="Q55" s="86"/>
      <c r="R55" s="78">
        <f>IF($B55="","",IF($F55="","NO COUNT",IF($F55&lt;=Set_LowStock,"LOW","IN STOCK")))</f>
      </c>
      <c r="S55" s="79"/>
      <c r="T55" s="80"/>
      <c r="U55" s="78">
        <f>IF($B55="",0,IF(COUNTIF('DECOR INVENTORY'!$B$6:$B$105,$B55)&gt;1,1,0))</f>
      </c>
      <c r="V55" s="78">
        <f>IF(OR(N($P55)&gt;0,N($Q55)&gt;0),IF($O55="",1,IF(COUNTIF('MASTER BUDGET'!$D$6:$D$25,$O55)=0,1,0)),0)</f>
      </c>
      <c r="W55" s="75"/>
    </row>
    <row r="56" ht="17" customHeight="1" spans="1:23" x14ac:dyDescent="0.25">
      <c r="A56" s="75"/>
      <c r="B56" s="79"/>
      <c r="C56" s="80"/>
      <c r="D56" s="79"/>
      <c r="E56" s="79"/>
      <c r="F56" s="90"/>
      <c r="G56" s="79"/>
      <c r="H56" s="79"/>
      <c r="I56" s="79"/>
      <c r="J56" s="98"/>
      <c r="K56" s="79"/>
      <c r="L56" s="79"/>
      <c r="M56" s="79"/>
      <c r="N56" s="86"/>
      <c r="O56" s="79"/>
      <c r="P56" s="85">
        <f>IF($B56="","",IF($M56="Approved",$N56,0))</f>
      </c>
      <c r="Q56" s="86"/>
      <c r="R56" s="78">
        <f>IF($B56="","",IF($F56="","NO COUNT",IF($F56&lt;=Set_LowStock,"LOW","IN STOCK")))</f>
      </c>
      <c r="S56" s="79"/>
      <c r="T56" s="80"/>
      <c r="U56" s="78">
        <f>IF($B56="",0,IF(COUNTIF('DECOR INVENTORY'!$B$6:$B$105,$B56)&gt;1,1,0))</f>
      </c>
      <c r="V56" s="78">
        <f>IF(OR(N($P56)&gt;0,N($Q56)&gt;0),IF($O56="",1,IF(COUNTIF('MASTER BUDGET'!$D$6:$D$25,$O56)=0,1,0)),0)</f>
      </c>
      <c r="W56" s="75"/>
    </row>
    <row r="57" ht="17" customHeight="1" spans="1:23" x14ac:dyDescent="0.25">
      <c r="A57" s="75"/>
      <c r="B57" s="79"/>
      <c r="C57" s="80"/>
      <c r="D57" s="79"/>
      <c r="E57" s="79"/>
      <c r="F57" s="90"/>
      <c r="G57" s="79"/>
      <c r="H57" s="79"/>
      <c r="I57" s="79"/>
      <c r="J57" s="98"/>
      <c r="K57" s="79"/>
      <c r="L57" s="79"/>
      <c r="M57" s="79"/>
      <c r="N57" s="86"/>
      <c r="O57" s="79"/>
      <c r="P57" s="85">
        <f>IF($B57="","",IF($M57="Approved",$N57,0))</f>
      </c>
      <c r="Q57" s="86"/>
      <c r="R57" s="78">
        <f>IF($B57="","",IF($F57="","NO COUNT",IF($F57&lt;=Set_LowStock,"LOW","IN STOCK")))</f>
      </c>
      <c r="S57" s="79"/>
      <c r="T57" s="80"/>
      <c r="U57" s="78">
        <f>IF($B57="",0,IF(COUNTIF('DECOR INVENTORY'!$B$6:$B$105,$B57)&gt;1,1,0))</f>
      </c>
      <c r="V57" s="78">
        <f>IF(OR(N($P57)&gt;0,N($Q57)&gt;0),IF($O57="",1,IF(COUNTIF('MASTER BUDGET'!$D$6:$D$25,$O57)=0,1,0)),0)</f>
      </c>
      <c r="W57" s="75"/>
    </row>
    <row r="58" ht="17" customHeight="1" spans="1:23" x14ac:dyDescent="0.25">
      <c r="A58" s="75"/>
      <c r="B58" s="79"/>
      <c r="C58" s="80"/>
      <c r="D58" s="79"/>
      <c r="E58" s="79"/>
      <c r="F58" s="90"/>
      <c r="G58" s="79"/>
      <c r="H58" s="79"/>
      <c r="I58" s="79"/>
      <c r="J58" s="98"/>
      <c r="K58" s="79"/>
      <c r="L58" s="79"/>
      <c r="M58" s="79"/>
      <c r="N58" s="86"/>
      <c r="O58" s="79"/>
      <c r="P58" s="85">
        <f>IF($B58="","",IF($M58="Approved",$N58,0))</f>
      </c>
      <c r="Q58" s="86"/>
      <c r="R58" s="78">
        <f>IF($B58="","",IF($F58="","NO COUNT",IF($F58&lt;=Set_LowStock,"LOW","IN STOCK")))</f>
      </c>
      <c r="S58" s="79"/>
      <c r="T58" s="80"/>
      <c r="U58" s="78">
        <f>IF($B58="",0,IF(COUNTIF('DECOR INVENTORY'!$B$6:$B$105,$B58)&gt;1,1,0))</f>
      </c>
      <c r="V58" s="78">
        <f>IF(OR(N($P58)&gt;0,N($Q58)&gt;0),IF($O58="",1,IF(COUNTIF('MASTER BUDGET'!$D$6:$D$25,$O58)=0,1,0)),0)</f>
      </c>
      <c r="W58" s="75"/>
    </row>
    <row r="59" ht="17" customHeight="1" spans="1:23" x14ac:dyDescent="0.25">
      <c r="A59" s="75"/>
      <c r="B59" s="79"/>
      <c r="C59" s="80"/>
      <c r="D59" s="79"/>
      <c r="E59" s="79"/>
      <c r="F59" s="90"/>
      <c r="G59" s="79"/>
      <c r="H59" s="79"/>
      <c r="I59" s="79"/>
      <c r="J59" s="98"/>
      <c r="K59" s="79"/>
      <c r="L59" s="79"/>
      <c r="M59" s="79"/>
      <c r="N59" s="86"/>
      <c r="O59" s="79"/>
      <c r="P59" s="85">
        <f>IF($B59="","",IF($M59="Approved",$N59,0))</f>
      </c>
      <c r="Q59" s="86"/>
      <c r="R59" s="78">
        <f>IF($B59="","",IF($F59="","NO COUNT",IF($F59&lt;=Set_LowStock,"LOW","IN STOCK")))</f>
      </c>
      <c r="S59" s="79"/>
      <c r="T59" s="80"/>
      <c r="U59" s="78">
        <f>IF($B59="",0,IF(COUNTIF('DECOR INVENTORY'!$B$6:$B$105,$B59)&gt;1,1,0))</f>
      </c>
      <c r="V59" s="78">
        <f>IF(OR(N($P59)&gt;0,N($Q59)&gt;0),IF($O59="",1,IF(COUNTIF('MASTER BUDGET'!$D$6:$D$25,$O59)=0,1,0)),0)</f>
      </c>
      <c r="W59" s="75"/>
    </row>
    <row r="60" ht="17" customHeight="1" spans="1:23" x14ac:dyDescent="0.25">
      <c r="A60" s="75"/>
      <c r="B60" s="79"/>
      <c r="C60" s="80"/>
      <c r="D60" s="79"/>
      <c r="E60" s="79"/>
      <c r="F60" s="90"/>
      <c r="G60" s="79"/>
      <c r="H60" s="79"/>
      <c r="I60" s="79"/>
      <c r="J60" s="98"/>
      <c r="K60" s="79"/>
      <c r="L60" s="79"/>
      <c r="M60" s="79"/>
      <c r="N60" s="86"/>
      <c r="O60" s="79"/>
      <c r="P60" s="85">
        <f>IF($B60="","",IF($M60="Approved",$N60,0))</f>
      </c>
      <c r="Q60" s="86"/>
      <c r="R60" s="78">
        <f>IF($B60="","",IF($F60="","NO COUNT",IF($F60&lt;=Set_LowStock,"LOW","IN STOCK")))</f>
      </c>
      <c r="S60" s="79"/>
      <c r="T60" s="80"/>
      <c r="U60" s="78">
        <f>IF($B60="",0,IF(COUNTIF('DECOR INVENTORY'!$B$6:$B$105,$B60)&gt;1,1,0))</f>
      </c>
      <c r="V60" s="78">
        <f>IF(OR(N($P60)&gt;0,N($Q60)&gt;0),IF($O60="",1,IF(COUNTIF('MASTER BUDGET'!$D$6:$D$25,$O60)=0,1,0)),0)</f>
      </c>
      <c r="W60" s="75"/>
    </row>
    <row r="61" ht="17" customHeight="1" spans="1:23" x14ac:dyDescent="0.25">
      <c r="A61" s="75"/>
      <c r="B61" s="79"/>
      <c r="C61" s="80"/>
      <c r="D61" s="79"/>
      <c r="E61" s="79"/>
      <c r="F61" s="90"/>
      <c r="G61" s="79"/>
      <c r="H61" s="79"/>
      <c r="I61" s="79"/>
      <c r="J61" s="98"/>
      <c r="K61" s="79"/>
      <c r="L61" s="79"/>
      <c r="M61" s="79"/>
      <c r="N61" s="86"/>
      <c r="O61" s="79"/>
      <c r="P61" s="85">
        <f>IF($B61="","",IF($M61="Approved",$N61,0))</f>
      </c>
      <c r="Q61" s="86"/>
      <c r="R61" s="78">
        <f>IF($B61="","",IF($F61="","NO COUNT",IF($F61&lt;=Set_LowStock,"LOW","IN STOCK")))</f>
      </c>
      <c r="S61" s="79"/>
      <c r="T61" s="80"/>
      <c r="U61" s="78">
        <f>IF($B61="",0,IF(COUNTIF('DECOR INVENTORY'!$B$6:$B$105,$B61)&gt;1,1,0))</f>
      </c>
      <c r="V61" s="78">
        <f>IF(OR(N($P61)&gt;0,N($Q61)&gt;0),IF($O61="",1,IF(COUNTIF('MASTER BUDGET'!$D$6:$D$25,$O61)=0,1,0)),0)</f>
      </c>
      <c r="W61" s="75"/>
    </row>
    <row r="62" ht="17" customHeight="1" spans="1:23" x14ac:dyDescent="0.25">
      <c r="A62" s="75"/>
      <c r="B62" s="79"/>
      <c r="C62" s="80"/>
      <c r="D62" s="79"/>
      <c r="E62" s="79"/>
      <c r="F62" s="90"/>
      <c r="G62" s="79"/>
      <c r="H62" s="79"/>
      <c r="I62" s="79"/>
      <c r="J62" s="98"/>
      <c r="K62" s="79"/>
      <c r="L62" s="79"/>
      <c r="M62" s="79"/>
      <c r="N62" s="86"/>
      <c r="O62" s="79"/>
      <c r="P62" s="85">
        <f>IF($B62="","",IF($M62="Approved",$N62,0))</f>
      </c>
      <c r="Q62" s="86"/>
      <c r="R62" s="78">
        <f>IF($B62="","",IF($F62="","NO COUNT",IF($F62&lt;=Set_LowStock,"LOW","IN STOCK")))</f>
      </c>
      <c r="S62" s="79"/>
      <c r="T62" s="80"/>
      <c r="U62" s="78">
        <f>IF($B62="",0,IF(COUNTIF('DECOR INVENTORY'!$B$6:$B$105,$B62)&gt;1,1,0))</f>
      </c>
      <c r="V62" s="78">
        <f>IF(OR(N($P62)&gt;0,N($Q62)&gt;0),IF($O62="",1,IF(COUNTIF('MASTER BUDGET'!$D$6:$D$25,$O62)=0,1,0)),0)</f>
      </c>
      <c r="W62" s="75"/>
    </row>
    <row r="63" ht="17" customHeight="1" spans="1:23" x14ac:dyDescent="0.25">
      <c r="A63" s="75"/>
      <c r="B63" s="79"/>
      <c r="C63" s="80"/>
      <c r="D63" s="79"/>
      <c r="E63" s="79"/>
      <c r="F63" s="90"/>
      <c r="G63" s="79"/>
      <c r="H63" s="79"/>
      <c r="I63" s="79"/>
      <c r="J63" s="98"/>
      <c r="K63" s="79"/>
      <c r="L63" s="79"/>
      <c r="M63" s="79"/>
      <c r="N63" s="86"/>
      <c r="O63" s="79"/>
      <c r="P63" s="85">
        <f>IF($B63="","",IF($M63="Approved",$N63,0))</f>
      </c>
      <c r="Q63" s="86"/>
      <c r="R63" s="78">
        <f>IF($B63="","",IF($F63="","NO COUNT",IF($F63&lt;=Set_LowStock,"LOW","IN STOCK")))</f>
      </c>
      <c r="S63" s="79"/>
      <c r="T63" s="80"/>
      <c r="U63" s="78">
        <f>IF($B63="",0,IF(COUNTIF('DECOR INVENTORY'!$B$6:$B$105,$B63)&gt;1,1,0))</f>
      </c>
      <c r="V63" s="78">
        <f>IF(OR(N($P63)&gt;0,N($Q63)&gt;0),IF($O63="",1,IF(COUNTIF('MASTER BUDGET'!$D$6:$D$25,$O63)=0,1,0)),0)</f>
      </c>
      <c r="W63" s="75"/>
    </row>
    <row r="64" ht="17" customHeight="1" spans="1:23" x14ac:dyDescent="0.25">
      <c r="A64" s="75"/>
      <c r="B64" s="79"/>
      <c r="C64" s="80"/>
      <c r="D64" s="79"/>
      <c r="E64" s="79"/>
      <c r="F64" s="90"/>
      <c r="G64" s="79"/>
      <c r="H64" s="79"/>
      <c r="I64" s="79"/>
      <c r="J64" s="98"/>
      <c r="K64" s="79"/>
      <c r="L64" s="79"/>
      <c r="M64" s="79"/>
      <c r="N64" s="86"/>
      <c r="O64" s="79"/>
      <c r="P64" s="85">
        <f>IF($B64="","",IF($M64="Approved",$N64,0))</f>
      </c>
      <c r="Q64" s="86"/>
      <c r="R64" s="78">
        <f>IF($B64="","",IF($F64="","NO COUNT",IF($F64&lt;=Set_LowStock,"LOW","IN STOCK")))</f>
      </c>
      <c r="S64" s="79"/>
      <c r="T64" s="80"/>
      <c r="U64" s="78">
        <f>IF($B64="",0,IF(COUNTIF('DECOR INVENTORY'!$B$6:$B$105,$B64)&gt;1,1,0))</f>
      </c>
      <c r="V64" s="78">
        <f>IF(OR(N($P64)&gt;0,N($Q64)&gt;0),IF($O64="",1,IF(COUNTIF('MASTER BUDGET'!$D$6:$D$25,$O64)=0,1,0)),0)</f>
      </c>
      <c r="W64" s="75"/>
    </row>
    <row r="65" ht="17" customHeight="1" spans="1:23" x14ac:dyDescent="0.25">
      <c r="A65" s="75"/>
      <c r="B65" s="79"/>
      <c r="C65" s="80"/>
      <c r="D65" s="79"/>
      <c r="E65" s="79"/>
      <c r="F65" s="90"/>
      <c r="G65" s="79"/>
      <c r="H65" s="79"/>
      <c r="I65" s="79"/>
      <c r="J65" s="98"/>
      <c r="K65" s="79"/>
      <c r="L65" s="79"/>
      <c r="M65" s="79"/>
      <c r="N65" s="86"/>
      <c r="O65" s="79"/>
      <c r="P65" s="85">
        <f>IF($B65="","",IF($M65="Approved",$N65,0))</f>
      </c>
      <c r="Q65" s="86"/>
      <c r="R65" s="78">
        <f>IF($B65="","",IF($F65="","NO COUNT",IF($F65&lt;=Set_LowStock,"LOW","IN STOCK")))</f>
      </c>
      <c r="S65" s="79"/>
      <c r="T65" s="80"/>
      <c r="U65" s="78">
        <f>IF($B65="",0,IF(COUNTIF('DECOR INVENTORY'!$B$6:$B$105,$B65)&gt;1,1,0))</f>
      </c>
      <c r="V65" s="78">
        <f>IF(OR(N($P65)&gt;0,N($Q65)&gt;0),IF($O65="",1,IF(COUNTIF('MASTER BUDGET'!$D$6:$D$25,$O65)=0,1,0)),0)</f>
      </c>
      <c r="W65" s="75"/>
    </row>
    <row r="66" ht="17" customHeight="1" spans="1:23" x14ac:dyDescent="0.25">
      <c r="A66" s="75"/>
      <c r="B66" s="79"/>
      <c r="C66" s="80"/>
      <c r="D66" s="79"/>
      <c r="E66" s="79"/>
      <c r="F66" s="90"/>
      <c r="G66" s="79"/>
      <c r="H66" s="79"/>
      <c r="I66" s="79"/>
      <c r="J66" s="98"/>
      <c r="K66" s="79"/>
      <c r="L66" s="79"/>
      <c r="M66" s="79"/>
      <c r="N66" s="86"/>
      <c r="O66" s="79"/>
      <c r="P66" s="85">
        <f>IF($B66="","",IF($M66="Approved",$N66,0))</f>
      </c>
      <c r="Q66" s="86"/>
      <c r="R66" s="78">
        <f>IF($B66="","",IF($F66="","NO COUNT",IF($F66&lt;=Set_LowStock,"LOW","IN STOCK")))</f>
      </c>
      <c r="S66" s="79"/>
      <c r="T66" s="80"/>
      <c r="U66" s="78">
        <f>IF($B66="",0,IF(COUNTIF('DECOR INVENTORY'!$B$6:$B$105,$B66)&gt;1,1,0))</f>
      </c>
      <c r="V66" s="78">
        <f>IF(OR(N($P66)&gt;0,N($Q66)&gt;0),IF($O66="",1,IF(COUNTIF('MASTER BUDGET'!$D$6:$D$25,$O66)=0,1,0)),0)</f>
      </c>
      <c r="W66" s="75"/>
    </row>
    <row r="67" ht="17" customHeight="1" spans="1:23" x14ac:dyDescent="0.25">
      <c r="A67" s="75"/>
      <c r="B67" s="79"/>
      <c r="C67" s="80"/>
      <c r="D67" s="79"/>
      <c r="E67" s="79"/>
      <c r="F67" s="90"/>
      <c r="G67" s="79"/>
      <c r="H67" s="79"/>
      <c r="I67" s="79"/>
      <c r="J67" s="98"/>
      <c r="K67" s="79"/>
      <c r="L67" s="79"/>
      <c r="M67" s="79"/>
      <c r="N67" s="86"/>
      <c r="O67" s="79"/>
      <c r="P67" s="85">
        <f>IF($B67="","",IF($M67="Approved",$N67,0))</f>
      </c>
      <c r="Q67" s="86"/>
      <c r="R67" s="78">
        <f>IF($B67="","",IF($F67="","NO COUNT",IF($F67&lt;=Set_LowStock,"LOW","IN STOCK")))</f>
      </c>
      <c r="S67" s="79"/>
      <c r="T67" s="80"/>
      <c r="U67" s="78">
        <f>IF($B67="",0,IF(COUNTIF('DECOR INVENTORY'!$B$6:$B$105,$B67)&gt;1,1,0))</f>
      </c>
      <c r="V67" s="78">
        <f>IF(OR(N($P67)&gt;0,N($Q67)&gt;0),IF($O67="",1,IF(COUNTIF('MASTER BUDGET'!$D$6:$D$25,$O67)=0,1,0)),0)</f>
      </c>
      <c r="W67" s="75"/>
    </row>
    <row r="68" ht="17" customHeight="1" spans="1:23" x14ac:dyDescent="0.25">
      <c r="A68" s="75"/>
      <c r="B68" s="79"/>
      <c r="C68" s="80"/>
      <c r="D68" s="79"/>
      <c r="E68" s="79"/>
      <c r="F68" s="90"/>
      <c r="G68" s="79"/>
      <c r="H68" s="79"/>
      <c r="I68" s="79"/>
      <c r="J68" s="98"/>
      <c r="K68" s="79"/>
      <c r="L68" s="79"/>
      <c r="M68" s="79"/>
      <c r="N68" s="86"/>
      <c r="O68" s="79"/>
      <c r="P68" s="85">
        <f>IF($B68="","",IF($M68="Approved",$N68,0))</f>
      </c>
      <c r="Q68" s="86"/>
      <c r="R68" s="78">
        <f>IF($B68="","",IF($F68="","NO COUNT",IF($F68&lt;=Set_LowStock,"LOW","IN STOCK")))</f>
      </c>
      <c r="S68" s="79"/>
      <c r="T68" s="80"/>
      <c r="U68" s="78">
        <f>IF($B68="",0,IF(COUNTIF('DECOR INVENTORY'!$B$6:$B$105,$B68)&gt;1,1,0))</f>
      </c>
      <c r="V68" s="78">
        <f>IF(OR(N($P68)&gt;0,N($Q68)&gt;0),IF($O68="",1,IF(COUNTIF('MASTER BUDGET'!$D$6:$D$25,$O68)=0,1,0)),0)</f>
      </c>
      <c r="W68" s="75"/>
    </row>
    <row r="69" ht="17" customHeight="1" spans="1:23" x14ac:dyDescent="0.25">
      <c r="A69" s="75"/>
      <c r="B69" s="79"/>
      <c r="C69" s="80"/>
      <c r="D69" s="79"/>
      <c r="E69" s="79"/>
      <c r="F69" s="90"/>
      <c r="G69" s="79"/>
      <c r="H69" s="79"/>
      <c r="I69" s="79"/>
      <c r="J69" s="98"/>
      <c r="K69" s="79"/>
      <c r="L69" s="79"/>
      <c r="M69" s="79"/>
      <c r="N69" s="86"/>
      <c r="O69" s="79"/>
      <c r="P69" s="85">
        <f>IF($B69="","",IF($M69="Approved",$N69,0))</f>
      </c>
      <c r="Q69" s="86"/>
      <c r="R69" s="78">
        <f>IF($B69="","",IF($F69="","NO COUNT",IF($F69&lt;=Set_LowStock,"LOW","IN STOCK")))</f>
      </c>
      <c r="S69" s="79"/>
      <c r="T69" s="80"/>
      <c r="U69" s="78">
        <f>IF($B69="",0,IF(COUNTIF('DECOR INVENTORY'!$B$6:$B$105,$B69)&gt;1,1,0))</f>
      </c>
      <c r="V69" s="78">
        <f>IF(OR(N($P69)&gt;0,N($Q69)&gt;0),IF($O69="",1,IF(COUNTIF('MASTER BUDGET'!$D$6:$D$25,$O69)=0,1,0)),0)</f>
      </c>
      <c r="W69" s="75"/>
    </row>
    <row r="70" ht="17" customHeight="1" spans="1:23" x14ac:dyDescent="0.25">
      <c r="A70" s="75"/>
      <c r="B70" s="79"/>
      <c r="C70" s="80"/>
      <c r="D70" s="79"/>
      <c r="E70" s="79"/>
      <c r="F70" s="90"/>
      <c r="G70" s="79"/>
      <c r="H70" s="79"/>
      <c r="I70" s="79"/>
      <c r="J70" s="98"/>
      <c r="K70" s="79"/>
      <c r="L70" s="79"/>
      <c r="M70" s="79"/>
      <c r="N70" s="86"/>
      <c r="O70" s="79"/>
      <c r="P70" s="85">
        <f>IF($B70="","",IF($M70="Approved",$N70,0))</f>
      </c>
      <c r="Q70" s="86"/>
      <c r="R70" s="78">
        <f>IF($B70="","",IF($F70="","NO COUNT",IF($F70&lt;=Set_LowStock,"LOW","IN STOCK")))</f>
      </c>
      <c r="S70" s="79"/>
      <c r="T70" s="80"/>
      <c r="U70" s="78">
        <f>IF($B70="",0,IF(COUNTIF('DECOR INVENTORY'!$B$6:$B$105,$B70)&gt;1,1,0))</f>
      </c>
      <c r="V70" s="78">
        <f>IF(OR(N($P70)&gt;0,N($Q70)&gt;0),IF($O70="",1,IF(COUNTIF('MASTER BUDGET'!$D$6:$D$25,$O70)=0,1,0)),0)</f>
      </c>
      <c r="W70" s="75"/>
    </row>
    <row r="71" ht="17" customHeight="1" spans="1:23" x14ac:dyDescent="0.25">
      <c r="A71" s="75"/>
      <c r="B71" s="79"/>
      <c r="C71" s="80"/>
      <c r="D71" s="79"/>
      <c r="E71" s="79"/>
      <c r="F71" s="90"/>
      <c r="G71" s="79"/>
      <c r="H71" s="79"/>
      <c r="I71" s="79"/>
      <c r="J71" s="98"/>
      <c r="K71" s="79"/>
      <c r="L71" s="79"/>
      <c r="M71" s="79"/>
      <c r="N71" s="86"/>
      <c r="O71" s="79"/>
      <c r="P71" s="85">
        <f>IF($B71="","",IF($M71="Approved",$N71,0))</f>
      </c>
      <c r="Q71" s="86"/>
      <c r="R71" s="78">
        <f>IF($B71="","",IF($F71="","NO COUNT",IF($F71&lt;=Set_LowStock,"LOW","IN STOCK")))</f>
      </c>
      <c r="S71" s="79"/>
      <c r="T71" s="80"/>
      <c r="U71" s="78">
        <f>IF($B71="",0,IF(COUNTIF('DECOR INVENTORY'!$B$6:$B$105,$B71)&gt;1,1,0))</f>
      </c>
      <c r="V71" s="78">
        <f>IF(OR(N($P71)&gt;0,N($Q71)&gt;0),IF($O71="",1,IF(COUNTIF('MASTER BUDGET'!$D$6:$D$25,$O71)=0,1,0)),0)</f>
      </c>
      <c r="W71" s="75"/>
    </row>
    <row r="72" ht="17" customHeight="1" spans="1:23" x14ac:dyDescent="0.25">
      <c r="A72" s="75"/>
      <c r="B72" s="79"/>
      <c r="C72" s="80"/>
      <c r="D72" s="79"/>
      <c r="E72" s="79"/>
      <c r="F72" s="90"/>
      <c r="G72" s="79"/>
      <c r="H72" s="79"/>
      <c r="I72" s="79"/>
      <c r="J72" s="98"/>
      <c r="K72" s="79"/>
      <c r="L72" s="79"/>
      <c r="M72" s="79"/>
      <c r="N72" s="86"/>
      <c r="O72" s="79"/>
      <c r="P72" s="85">
        <f>IF($B72="","",IF($M72="Approved",$N72,0))</f>
      </c>
      <c r="Q72" s="86"/>
      <c r="R72" s="78">
        <f>IF($B72="","",IF($F72="","NO COUNT",IF($F72&lt;=Set_LowStock,"LOW","IN STOCK")))</f>
      </c>
      <c r="S72" s="79"/>
      <c r="T72" s="80"/>
      <c r="U72" s="78">
        <f>IF($B72="",0,IF(COUNTIF('DECOR INVENTORY'!$B$6:$B$105,$B72)&gt;1,1,0))</f>
      </c>
      <c r="V72" s="78">
        <f>IF(OR(N($P72)&gt;0,N($Q72)&gt;0),IF($O72="",1,IF(COUNTIF('MASTER BUDGET'!$D$6:$D$25,$O72)=0,1,0)),0)</f>
      </c>
      <c r="W72" s="75"/>
    </row>
    <row r="73" ht="17" customHeight="1" spans="1:23" x14ac:dyDescent="0.25">
      <c r="A73" s="75"/>
      <c r="B73" s="79"/>
      <c r="C73" s="80"/>
      <c r="D73" s="79"/>
      <c r="E73" s="79"/>
      <c r="F73" s="90"/>
      <c r="G73" s="79"/>
      <c r="H73" s="79"/>
      <c r="I73" s="79"/>
      <c r="J73" s="98"/>
      <c r="K73" s="79"/>
      <c r="L73" s="79"/>
      <c r="M73" s="79"/>
      <c r="N73" s="86"/>
      <c r="O73" s="79"/>
      <c r="P73" s="85">
        <f>IF($B73="","",IF($M73="Approved",$N73,0))</f>
      </c>
      <c r="Q73" s="86"/>
      <c r="R73" s="78">
        <f>IF($B73="","",IF($F73="","NO COUNT",IF($F73&lt;=Set_LowStock,"LOW","IN STOCK")))</f>
      </c>
      <c r="S73" s="79"/>
      <c r="T73" s="80"/>
      <c r="U73" s="78">
        <f>IF($B73="",0,IF(COUNTIF('DECOR INVENTORY'!$B$6:$B$105,$B73)&gt;1,1,0))</f>
      </c>
      <c r="V73" s="78">
        <f>IF(OR(N($P73)&gt;0,N($Q73)&gt;0),IF($O73="",1,IF(COUNTIF('MASTER BUDGET'!$D$6:$D$25,$O73)=0,1,0)),0)</f>
      </c>
      <c r="W73" s="75"/>
    </row>
    <row r="74" ht="17" customHeight="1" spans="1:23" x14ac:dyDescent="0.25">
      <c r="A74" s="75"/>
      <c r="B74" s="79"/>
      <c r="C74" s="80"/>
      <c r="D74" s="79"/>
      <c r="E74" s="79"/>
      <c r="F74" s="90"/>
      <c r="G74" s="79"/>
      <c r="H74" s="79"/>
      <c r="I74" s="79"/>
      <c r="J74" s="98"/>
      <c r="K74" s="79"/>
      <c r="L74" s="79"/>
      <c r="M74" s="79"/>
      <c r="N74" s="86"/>
      <c r="O74" s="79"/>
      <c r="P74" s="85">
        <f>IF($B74="","",IF($M74="Approved",$N74,0))</f>
      </c>
      <c r="Q74" s="86"/>
      <c r="R74" s="78">
        <f>IF($B74="","",IF($F74="","NO COUNT",IF($F74&lt;=Set_LowStock,"LOW","IN STOCK")))</f>
      </c>
      <c r="S74" s="79"/>
      <c r="T74" s="80"/>
      <c r="U74" s="78">
        <f>IF($B74="",0,IF(COUNTIF('DECOR INVENTORY'!$B$6:$B$105,$B74)&gt;1,1,0))</f>
      </c>
      <c r="V74" s="78">
        <f>IF(OR(N($P74)&gt;0,N($Q74)&gt;0),IF($O74="",1,IF(COUNTIF('MASTER BUDGET'!$D$6:$D$25,$O74)=0,1,0)),0)</f>
      </c>
      <c r="W74" s="75"/>
    </row>
    <row r="75" ht="17" customHeight="1" spans="1:23" x14ac:dyDescent="0.25">
      <c r="A75" s="75"/>
      <c r="B75" s="79"/>
      <c r="C75" s="80"/>
      <c r="D75" s="79"/>
      <c r="E75" s="79"/>
      <c r="F75" s="90"/>
      <c r="G75" s="79"/>
      <c r="H75" s="79"/>
      <c r="I75" s="79"/>
      <c r="J75" s="98"/>
      <c r="K75" s="79"/>
      <c r="L75" s="79"/>
      <c r="M75" s="79"/>
      <c r="N75" s="86"/>
      <c r="O75" s="79"/>
      <c r="P75" s="85">
        <f>IF($B75="","",IF($M75="Approved",$N75,0))</f>
      </c>
      <c r="Q75" s="86"/>
      <c r="R75" s="78">
        <f>IF($B75="","",IF($F75="","NO COUNT",IF($F75&lt;=Set_LowStock,"LOW","IN STOCK")))</f>
      </c>
      <c r="S75" s="79"/>
      <c r="T75" s="80"/>
      <c r="U75" s="78">
        <f>IF($B75="",0,IF(COUNTIF('DECOR INVENTORY'!$B$6:$B$105,$B75)&gt;1,1,0))</f>
      </c>
      <c r="V75" s="78">
        <f>IF(OR(N($P75)&gt;0,N($Q75)&gt;0),IF($O75="",1,IF(COUNTIF('MASTER BUDGET'!$D$6:$D$25,$O75)=0,1,0)),0)</f>
      </c>
      <c r="W75" s="75"/>
    </row>
    <row r="76" ht="17" customHeight="1" spans="1:23" x14ac:dyDescent="0.25">
      <c r="A76" s="75"/>
      <c r="B76" s="79"/>
      <c r="C76" s="80"/>
      <c r="D76" s="79"/>
      <c r="E76" s="79"/>
      <c r="F76" s="90"/>
      <c r="G76" s="79"/>
      <c r="H76" s="79"/>
      <c r="I76" s="79"/>
      <c r="J76" s="98"/>
      <c r="K76" s="79"/>
      <c r="L76" s="79"/>
      <c r="M76" s="79"/>
      <c r="N76" s="86"/>
      <c r="O76" s="79"/>
      <c r="P76" s="85">
        <f>IF($B76="","",IF($M76="Approved",$N76,0))</f>
      </c>
      <c r="Q76" s="86"/>
      <c r="R76" s="78">
        <f>IF($B76="","",IF($F76="","NO COUNT",IF($F76&lt;=Set_LowStock,"LOW","IN STOCK")))</f>
      </c>
      <c r="S76" s="79"/>
      <c r="T76" s="80"/>
      <c r="U76" s="78">
        <f>IF($B76="",0,IF(COUNTIF('DECOR INVENTORY'!$B$6:$B$105,$B76)&gt;1,1,0))</f>
      </c>
      <c r="V76" s="78">
        <f>IF(OR(N($P76)&gt;0,N($Q76)&gt;0),IF($O76="",1,IF(COUNTIF('MASTER BUDGET'!$D$6:$D$25,$O76)=0,1,0)),0)</f>
      </c>
      <c r="W76" s="75"/>
    </row>
    <row r="77" ht="17" customHeight="1" spans="1:23" x14ac:dyDescent="0.25">
      <c r="A77" s="75"/>
      <c r="B77" s="79"/>
      <c r="C77" s="80"/>
      <c r="D77" s="79"/>
      <c r="E77" s="79"/>
      <c r="F77" s="90"/>
      <c r="G77" s="79"/>
      <c r="H77" s="79"/>
      <c r="I77" s="79"/>
      <c r="J77" s="98"/>
      <c r="K77" s="79"/>
      <c r="L77" s="79"/>
      <c r="M77" s="79"/>
      <c r="N77" s="86"/>
      <c r="O77" s="79"/>
      <c r="P77" s="85">
        <f>IF($B77="","",IF($M77="Approved",$N77,0))</f>
      </c>
      <c r="Q77" s="86"/>
      <c r="R77" s="78">
        <f>IF($B77="","",IF($F77="","NO COUNT",IF($F77&lt;=Set_LowStock,"LOW","IN STOCK")))</f>
      </c>
      <c r="S77" s="79"/>
      <c r="T77" s="80"/>
      <c r="U77" s="78">
        <f>IF($B77="",0,IF(COUNTIF('DECOR INVENTORY'!$B$6:$B$105,$B77)&gt;1,1,0))</f>
      </c>
      <c r="V77" s="78">
        <f>IF(OR(N($P77)&gt;0,N($Q77)&gt;0),IF($O77="",1,IF(COUNTIF('MASTER BUDGET'!$D$6:$D$25,$O77)=0,1,0)),0)</f>
      </c>
      <c r="W77" s="75"/>
    </row>
    <row r="78" ht="17" customHeight="1" spans="1:23" x14ac:dyDescent="0.25">
      <c r="A78" s="75"/>
      <c r="B78" s="79"/>
      <c r="C78" s="80"/>
      <c r="D78" s="79"/>
      <c r="E78" s="79"/>
      <c r="F78" s="90"/>
      <c r="G78" s="79"/>
      <c r="H78" s="79"/>
      <c r="I78" s="79"/>
      <c r="J78" s="98"/>
      <c r="K78" s="79"/>
      <c r="L78" s="79"/>
      <c r="M78" s="79"/>
      <c r="N78" s="86"/>
      <c r="O78" s="79"/>
      <c r="P78" s="85">
        <f>IF($B78="","",IF($M78="Approved",$N78,0))</f>
      </c>
      <c r="Q78" s="86"/>
      <c r="R78" s="78">
        <f>IF($B78="","",IF($F78="","NO COUNT",IF($F78&lt;=Set_LowStock,"LOW","IN STOCK")))</f>
      </c>
      <c r="S78" s="79"/>
      <c r="T78" s="80"/>
      <c r="U78" s="78">
        <f>IF($B78="",0,IF(COUNTIF('DECOR INVENTORY'!$B$6:$B$105,$B78)&gt;1,1,0))</f>
      </c>
      <c r="V78" s="78">
        <f>IF(OR(N($P78)&gt;0,N($Q78)&gt;0),IF($O78="",1,IF(COUNTIF('MASTER BUDGET'!$D$6:$D$25,$O78)=0,1,0)),0)</f>
      </c>
      <c r="W78" s="75"/>
    </row>
    <row r="79" ht="17" customHeight="1" spans="1:23" x14ac:dyDescent="0.25">
      <c r="A79" s="75"/>
      <c r="B79" s="79"/>
      <c r="C79" s="80"/>
      <c r="D79" s="79"/>
      <c r="E79" s="79"/>
      <c r="F79" s="90"/>
      <c r="G79" s="79"/>
      <c r="H79" s="79"/>
      <c r="I79" s="79"/>
      <c r="J79" s="98"/>
      <c r="K79" s="79"/>
      <c r="L79" s="79"/>
      <c r="M79" s="79"/>
      <c r="N79" s="86"/>
      <c r="O79" s="79"/>
      <c r="P79" s="85">
        <f>IF($B79="","",IF($M79="Approved",$N79,0))</f>
      </c>
      <c r="Q79" s="86"/>
      <c r="R79" s="78">
        <f>IF($B79="","",IF($F79="","NO COUNT",IF($F79&lt;=Set_LowStock,"LOW","IN STOCK")))</f>
      </c>
      <c r="S79" s="79"/>
      <c r="T79" s="80"/>
      <c r="U79" s="78">
        <f>IF($B79="",0,IF(COUNTIF('DECOR INVENTORY'!$B$6:$B$105,$B79)&gt;1,1,0))</f>
      </c>
      <c r="V79" s="78">
        <f>IF(OR(N($P79)&gt;0,N($Q79)&gt;0),IF($O79="",1,IF(COUNTIF('MASTER BUDGET'!$D$6:$D$25,$O79)=0,1,0)),0)</f>
      </c>
      <c r="W79" s="75"/>
    </row>
    <row r="80" ht="17" customHeight="1" spans="1:23" x14ac:dyDescent="0.25">
      <c r="A80" s="75"/>
      <c r="B80" s="79"/>
      <c r="C80" s="80"/>
      <c r="D80" s="79"/>
      <c r="E80" s="79"/>
      <c r="F80" s="90"/>
      <c r="G80" s="79"/>
      <c r="H80" s="79"/>
      <c r="I80" s="79"/>
      <c r="J80" s="98"/>
      <c r="K80" s="79"/>
      <c r="L80" s="79"/>
      <c r="M80" s="79"/>
      <c r="N80" s="86"/>
      <c r="O80" s="79"/>
      <c r="P80" s="85">
        <f>IF($B80="","",IF($M80="Approved",$N80,0))</f>
      </c>
      <c r="Q80" s="86"/>
      <c r="R80" s="78">
        <f>IF($B80="","",IF($F80="","NO COUNT",IF($F80&lt;=Set_LowStock,"LOW","IN STOCK")))</f>
      </c>
      <c r="S80" s="79"/>
      <c r="T80" s="80"/>
      <c r="U80" s="78">
        <f>IF($B80="",0,IF(COUNTIF('DECOR INVENTORY'!$B$6:$B$105,$B80)&gt;1,1,0))</f>
      </c>
      <c r="V80" s="78">
        <f>IF(OR(N($P80)&gt;0,N($Q80)&gt;0),IF($O80="",1,IF(COUNTIF('MASTER BUDGET'!$D$6:$D$25,$O80)=0,1,0)),0)</f>
      </c>
      <c r="W80" s="75"/>
    </row>
    <row r="81" ht="17" customHeight="1" spans="1:23" x14ac:dyDescent="0.25">
      <c r="A81" s="75"/>
      <c r="B81" s="79"/>
      <c r="C81" s="80"/>
      <c r="D81" s="79"/>
      <c r="E81" s="79"/>
      <c r="F81" s="90"/>
      <c r="G81" s="79"/>
      <c r="H81" s="79"/>
      <c r="I81" s="79"/>
      <c r="J81" s="98"/>
      <c r="K81" s="79"/>
      <c r="L81" s="79"/>
      <c r="M81" s="79"/>
      <c r="N81" s="86"/>
      <c r="O81" s="79"/>
      <c r="P81" s="85">
        <f>IF($B81="","",IF($M81="Approved",$N81,0))</f>
      </c>
      <c r="Q81" s="86"/>
      <c r="R81" s="78">
        <f>IF($B81="","",IF($F81="","NO COUNT",IF($F81&lt;=Set_LowStock,"LOW","IN STOCK")))</f>
      </c>
      <c r="S81" s="79"/>
      <c r="T81" s="80"/>
      <c r="U81" s="78">
        <f>IF($B81="",0,IF(COUNTIF('DECOR INVENTORY'!$B$6:$B$105,$B81)&gt;1,1,0))</f>
      </c>
      <c r="V81" s="78">
        <f>IF(OR(N($P81)&gt;0,N($Q81)&gt;0),IF($O81="",1,IF(COUNTIF('MASTER BUDGET'!$D$6:$D$25,$O81)=0,1,0)),0)</f>
      </c>
      <c r="W81" s="75"/>
    </row>
    <row r="82" ht="17" customHeight="1" spans="1:23" x14ac:dyDescent="0.25">
      <c r="A82" s="75"/>
      <c r="B82" s="79"/>
      <c r="C82" s="80"/>
      <c r="D82" s="79"/>
      <c r="E82" s="79"/>
      <c r="F82" s="90"/>
      <c r="G82" s="79"/>
      <c r="H82" s="79"/>
      <c r="I82" s="79"/>
      <c r="J82" s="98"/>
      <c r="K82" s="79"/>
      <c r="L82" s="79"/>
      <c r="M82" s="79"/>
      <c r="N82" s="86"/>
      <c r="O82" s="79"/>
      <c r="P82" s="85">
        <f>IF($B82="","",IF($M82="Approved",$N82,0))</f>
      </c>
      <c r="Q82" s="86"/>
      <c r="R82" s="78">
        <f>IF($B82="","",IF($F82="","NO COUNT",IF($F82&lt;=Set_LowStock,"LOW","IN STOCK")))</f>
      </c>
      <c r="S82" s="79"/>
      <c r="T82" s="80"/>
      <c r="U82" s="78">
        <f>IF($B82="",0,IF(COUNTIF('DECOR INVENTORY'!$B$6:$B$105,$B82)&gt;1,1,0))</f>
      </c>
      <c r="V82" s="78">
        <f>IF(OR(N($P82)&gt;0,N($Q82)&gt;0),IF($O82="",1,IF(COUNTIF('MASTER BUDGET'!$D$6:$D$25,$O82)=0,1,0)),0)</f>
      </c>
      <c r="W82" s="75"/>
    </row>
    <row r="83" ht="17" customHeight="1" spans="1:23" x14ac:dyDescent="0.25">
      <c r="A83" s="75"/>
      <c r="B83" s="79"/>
      <c r="C83" s="80"/>
      <c r="D83" s="79"/>
      <c r="E83" s="79"/>
      <c r="F83" s="90"/>
      <c r="G83" s="79"/>
      <c r="H83" s="79"/>
      <c r="I83" s="79"/>
      <c r="J83" s="98"/>
      <c r="K83" s="79"/>
      <c r="L83" s="79"/>
      <c r="M83" s="79"/>
      <c r="N83" s="86"/>
      <c r="O83" s="79"/>
      <c r="P83" s="85">
        <f>IF($B83="","",IF($M83="Approved",$N83,0))</f>
      </c>
      <c r="Q83" s="86"/>
      <c r="R83" s="78">
        <f>IF($B83="","",IF($F83="","NO COUNT",IF($F83&lt;=Set_LowStock,"LOW","IN STOCK")))</f>
      </c>
      <c r="S83" s="79"/>
      <c r="T83" s="80"/>
      <c r="U83" s="78">
        <f>IF($B83="",0,IF(COUNTIF('DECOR INVENTORY'!$B$6:$B$105,$B83)&gt;1,1,0))</f>
      </c>
      <c r="V83" s="78">
        <f>IF(OR(N($P83)&gt;0,N($Q83)&gt;0),IF($O83="",1,IF(COUNTIF('MASTER BUDGET'!$D$6:$D$25,$O83)=0,1,0)),0)</f>
      </c>
      <c r="W83" s="75"/>
    </row>
    <row r="84" ht="17" customHeight="1" spans="1:23" x14ac:dyDescent="0.25">
      <c r="A84" s="75"/>
      <c r="B84" s="79"/>
      <c r="C84" s="80"/>
      <c r="D84" s="79"/>
      <c r="E84" s="79"/>
      <c r="F84" s="90"/>
      <c r="G84" s="79"/>
      <c r="H84" s="79"/>
      <c r="I84" s="79"/>
      <c r="J84" s="98"/>
      <c r="K84" s="79"/>
      <c r="L84" s="79"/>
      <c r="M84" s="79"/>
      <c r="N84" s="86"/>
      <c r="O84" s="79"/>
      <c r="P84" s="85">
        <f>IF($B84="","",IF($M84="Approved",$N84,0))</f>
      </c>
      <c r="Q84" s="86"/>
      <c r="R84" s="78">
        <f>IF($B84="","",IF($F84="","NO COUNT",IF($F84&lt;=Set_LowStock,"LOW","IN STOCK")))</f>
      </c>
      <c r="S84" s="79"/>
      <c r="T84" s="80"/>
      <c r="U84" s="78">
        <f>IF($B84="",0,IF(COUNTIF('DECOR INVENTORY'!$B$6:$B$105,$B84)&gt;1,1,0))</f>
      </c>
      <c r="V84" s="78">
        <f>IF(OR(N($P84)&gt;0,N($Q84)&gt;0),IF($O84="",1,IF(COUNTIF('MASTER BUDGET'!$D$6:$D$25,$O84)=0,1,0)),0)</f>
      </c>
      <c r="W84" s="75"/>
    </row>
    <row r="85" ht="17" customHeight="1" spans="1:23" x14ac:dyDescent="0.25">
      <c r="A85" s="75"/>
      <c r="B85" s="79"/>
      <c r="C85" s="80"/>
      <c r="D85" s="79"/>
      <c r="E85" s="79"/>
      <c r="F85" s="90"/>
      <c r="G85" s="79"/>
      <c r="H85" s="79"/>
      <c r="I85" s="79"/>
      <c r="J85" s="98"/>
      <c r="K85" s="79"/>
      <c r="L85" s="79"/>
      <c r="M85" s="79"/>
      <c r="N85" s="86"/>
      <c r="O85" s="79"/>
      <c r="P85" s="85">
        <f>IF($B85="","",IF($M85="Approved",$N85,0))</f>
      </c>
      <c r="Q85" s="86"/>
      <c r="R85" s="78">
        <f>IF($B85="","",IF($F85="","NO COUNT",IF($F85&lt;=Set_LowStock,"LOW","IN STOCK")))</f>
      </c>
      <c r="S85" s="79"/>
      <c r="T85" s="80"/>
      <c r="U85" s="78">
        <f>IF($B85="",0,IF(COUNTIF('DECOR INVENTORY'!$B$6:$B$105,$B85)&gt;1,1,0))</f>
      </c>
      <c r="V85" s="78">
        <f>IF(OR(N($P85)&gt;0,N($Q85)&gt;0),IF($O85="",1,IF(COUNTIF('MASTER BUDGET'!$D$6:$D$25,$O85)=0,1,0)),0)</f>
      </c>
      <c r="W85" s="75"/>
    </row>
    <row r="86" ht="17" customHeight="1" spans="1:23" x14ac:dyDescent="0.25">
      <c r="A86" s="75"/>
      <c r="B86" s="79"/>
      <c r="C86" s="80"/>
      <c r="D86" s="79"/>
      <c r="E86" s="79"/>
      <c r="F86" s="90"/>
      <c r="G86" s="79"/>
      <c r="H86" s="79"/>
      <c r="I86" s="79"/>
      <c r="J86" s="98"/>
      <c r="K86" s="79"/>
      <c r="L86" s="79"/>
      <c r="M86" s="79"/>
      <c r="N86" s="86"/>
      <c r="O86" s="79"/>
      <c r="P86" s="85">
        <f>IF($B86="","",IF($M86="Approved",$N86,0))</f>
      </c>
      <c r="Q86" s="86"/>
      <c r="R86" s="78">
        <f>IF($B86="","",IF($F86="","NO COUNT",IF($F86&lt;=Set_LowStock,"LOW","IN STOCK")))</f>
      </c>
      <c r="S86" s="79"/>
      <c r="T86" s="80"/>
      <c r="U86" s="78">
        <f>IF($B86="",0,IF(COUNTIF('DECOR INVENTORY'!$B$6:$B$105,$B86)&gt;1,1,0))</f>
      </c>
      <c r="V86" s="78">
        <f>IF(OR(N($P86)&gt;0,N($Q86)&gt;0),IF($O86="",1,IF(COUNTIF('MASTER BUDGET'!$D$6:$D$25,$O86)=0,1,0)),0)</f>
      </c>
      <c r="W86" s="75"/>
    </row>
    <row r="87" ht="17" customHeight="1" spans="1:23" x14ac:dyDescent="0.25">
      <c r="A87" s="75"/>
      <c r="B87" s="79"/>
      <c r="C87" s="80"/>
      <c r="D87" s="79"/>
      <c r="E87" s="79"/>
      <c r="F87" s="90"/>
      <c r="G87" s="79"/>
      <c r="H87" s="79"/>
      <c r="I87" s="79"/>
      <c r="J87" s="98"/>
      <c r="K87" s="79"/>
      <c r="L87" s="79"/>
      <c r="M87" s="79"/>
      <c r="N87" s="86"/>
      <c r="O87" s="79"/>
      <c r="P87" s="85">
        <f>IF($B87="","",IF($M87="Approved",$N87,0))</f>
      </c>
      <c r="Q87" s="86"/>
      <c r="R87" s="78">
        <f>IF($B87="","",IF($F87="","NO COUNT",IF($F87&lt;=Set_LowStock,"LOW","IN STOCK")))</f>
      </c>
      <c r="S87" s="79"/>
      <c r="T87" s="80"/>
      <c r="U87" s="78">
        <f>IF($B87="",0,IF(COUNTIF('DECOR INVENTORY'!$B$6:$B$105,$B87)&gt;1,1,0))</f>
      </c>
      <c r="V87" s="78">
        <f>IF(OR(N($P87)&gt;0,N($Q87)&gt;0),IF($O87="",1,IF(COUNTIF('MASTER BUDGET'!$D$6:$D$25,$O87)=0,1,0)),0)</f>
      </c>
      <c r="W87" s="75"/>
    </row>
    <row r="88" ht="17" customHeight="1" spans="1:23" x14ac:dyDescent="0.25">
      <c r="A88" s="75"/>
      <c r="B88" s="79"/>
      <c r="C88" s="80"/>
      <c r="D88" s="79"/>
      <c r="E88" s="79"/>
      <c r="F88" s="90"/>
      <c r="G88" s="79"/>
      <c r="H88" s="79"/>
      <c r="I88" s="79"/>
      <c r="J88" s="98"/>
      <c r="K88" s="79"/>
      <c r="L88" s="79"/>
      <c r="M88" s="79"/>
      <c r="N88" s="86"/>
      <c r="O88" s="79"/>
      <c r="P88" s="85">
        <f>IF($B88="","",IF($M88="Approved",$N88,0))</f>
      </c>
      <c r="Q88" s="86"/>
      <c r="R88" s="78">
        <f>IF($B88="","",IF($F88="","NO COUNT",IF($F88&lt;=Set_LowStock,"LOW","IN STOCK")))</f>
      </c>
      <c r="S88" s="79"/>
      <c r="T88" s="80"/>
      <c r="U88" s="78">
        <f>IF($B88="",0,IF(COUNTIF('DECOR INVENTORY'!$B$6:$B$105,$B88)&gt;1,1,0))</f>
      </c>
      <c r="V88" s="78">
        <f>IF(OR(N($P88)&gt;0,N($Q88)&gt;0),IF($O88="",1,IF(COUNTIF('MASTER BUDGET'!$D$6:$D$25,$O88)=0,1,0)),0)</f>
      </c>
      <c r="W88" s="75"/>
    </row>
    <row r="89" ht="17" customHeight="1" spans="1:23" x14ac:dyDescent="0.25">
      <c r="A89" s="75"/>
      <c r="B89" s="79"/>
      <c r="C89" s="80"/>
      <c r="D89" s="79"/>
      <c r="E89" s="79"/>
      <c r="F89" s="90"/>
      <c r="G89" s="79"/>
      <c r="H89" s="79"/>
      <c r="I89" s="79"/>
      <c r="J89" s="98"/>
      <c r="K89" s="79"/>
      <c r="L89" s="79"/>
      <c r="M89" s="79"/>
      <c r="N89" s="86"/>
      <c r="O89" s="79"/>
      <c r="P89" s="85">
        <f>IF($B89="","",IF($M89="Approved",$N89,0))</f>
      </c>
      <c r="Q89" s="86"/>
      <c r="R89" s="78">
        <f>IF($B89="","",IF($F89="","NO COUNT",IF($F89&lt;=Set_LowStock,"LOW","IN STOCK")))</f>
      </c>
      <c r="S89" s="79"/>
      <c r="T89" s="80"/>
      <c r="U89" s="78">
        <f>IF($B89="",0,IF(COUNTIF('DECOR INVENTORY'!$B$6:$B$105,$B89)&gt;1,1,0))</f>
      </c>
      <c r="V89" s="78">
        <f>IF(OR(N($P89)&gt;0,N($Q89)&gt;0),IF($O89="",1,IF(COUNTIF('MASTER BUDGET'!$D$6:$D$25,$O89)=0,1,0)),0)</f>
      </c>
      <c r="W89" s="75"/>
    </row>
    <row r="90" ht="17" customHeight="1" spans="1:23" x14ac:dyDescent="0.25">
      <c r="A90" s="75"/>
      <c r="B90" s="79"/>
      <c r="C90" s="80"/>
      <c r="D90" s="79"/>
      <c r="E90" s="79"/>
      <c r="F90" s="90"/>
      <c r="G90" s="79"/>
      <c r="H90" s="79"/>
      <c r="I90" s="79"/>
      <c r="J90" s="98"/>
      <c r="K90" s="79"/>
      <c r="L90" s="79"/>
      <c r="M90" s="79"/>
      <c r="N90" s="86"/>
      <c r="O90" s="79"/>
      <c r="P90" s="85">
        <f>IF($B90="","",IF($M90="Approved",$N90,0))</f>
      </c>
      <c r="Q90" s="86"/>
      <c r="R90" s="78">
        <f>IF($B90="","",IF($F90="","NO COUNT",IF($F90&lt;=Set_LowStock,"LOW","IN STOCK")))</f>
      </c>
      <c r="S90" s="79"/>
      <c r="T90" s="80"/>
      <c r="U90" s="78">
        <f>IF($B90="",0,IF(COUNTIF('DECOR INVENTORY'!$B$6:$B$105,$B90)&gt;1,1,0))</f>
      </c>
      <c r="V90" s="78">
        <f>IF(OR(N($P90)&gt;0,N($Q90)&gt;0),IF($O90="",1,IF(COUNTIF('MASTER BUDGET'!$D$6:$D$25,$O90)=0,1,0)),0)</f>
      </c>
      <c r="W90" s="75"/>
    </row>
    <row r="91" ht="17" customHeight="1" spans="1:23" x14ac:dyDescent="0.25">
      <c r="A91" s="75"/>
      <c r="B91" s="79"/>
      <c r="C91" s="80"/>
      <c r="D91" s="79"/>
      <c r="E91" s="79"/>
      <c r="F91" s="90"/>
      <c r="G91" s="79"/>
      <c r="H91" s="79"/>
      <c r="I91" s="79"/>
      <c r="J91" s="98"/>
      <c r="K91" s="79"/>
      <c r="L91" s="79"/>
      <c r="M91" s="79"/>
      <c r="N91" s="86"/>
      <c r="O91" s="79"/>
      <c r="P91" s="85">
        <f>IF($B91="","",IF($M91="Approved",$N91,0))</f>
      </c>
      <c r="Q91" s="86"/>
      <c r="R91" s="78">
        <f>IF($B91="","",IF($F91="","NO COUNT",IF($F91&lt;=Set_LowStock,"LOW","IN STOCK")))</f>
      </c>
      <c r="S91" s="79"/>
      <c r="T91" s="80"/>
      <c r="U91" s="78">
        <f>IF($B91="",0,IF(COUNTIF('DECOR INVENTORY'!$B$6:$B$105,$B91)&gt;1,1,0))</f>
      </c>
      <c r="V91" s="78">
        <f>IF(OR(N($P91)&gt;0,N($Q91)&gt;0),IF($O91="",1,IF(COUNTIF('MASTER BUDGET'!$D$6:$D$25,$O91)=0,1,0)),0)</f>
      </c>
      <c r="W91" s="75"/>
    </row>
    <row r="92" ht="17" customHeight="1" spans="1:23" x14ac:dyDescent="0.25">
      <c r="A92" s="75"/>
      <c r="B92" s="79"/>
      <c r="C92" s="80"/>
      <c r="D92" s="79"/>
      <c r="E92" s="79"/>
      <c r="F92" s="90"/>
      <c r="G92" s="79"/>
      <c r="H92" s="79"/>
      <c r="I92" s="79"/>
      <c r="J92" s="98"/>
      <c r="K92" s="79"/>
      <c r="L92" s="79"/>
      <c r="M92" s="79"/>
      <c r="N92" s="86"/>
      <c r="O92" s="79"/>
      <c r="P92" s="85">
        <f>IF($B92="","",IF($M92="Approved",$N92,0))</f>
      </c>
      <c r="Q92" s="86"/>
      <c r="R92" s="78">
        <f>IF($B92="","",IF($F92="","NO COUNT",IF($F92&lt;=Set_LowStock,"LOW","IN STOCK")))</f>
      </c>
      <c r="S92" s="79"/>
      <c r="T92" s="80"/>
      <c r="U92" s="78">
        <f>IF($B92="",0,IF(COUNTIF('DECOR INVENTORY'!$B$6:$B$105,$B92)&gt;1,1,0))</f>
      </c>
      <c r="V92" s="78">
        <f>IF(OR(N($P92)&gt;0,N($Q92)&gt;0),IF($O92="",1,IF(COUNTIF('MASTER BUDGET'!$D$6:$D$25,$O92)=0,1,0)),0)</f>
      </c>
      <c r="W92" s="75"/>
    </row>
    <row r="93" ht="17" customHeight="1" spans="1:23" x14ac:dyDescent="0.25">
      <c r="A93" s="75"/>
      <c r="B93" s="79"/>
      <c r="C93" s="80"/>
      <c r="D93" s="79"/>
      <c r="E93" s="79"/>
      <c r="F93" s="90"/>
      <c r="G93" s="79"/>
      <c r="H93" s="79"/>
      <c r="I93" s="79"/>
      <c r="J93" s="98"/>
      <c r="K93" s="79"/>
      <c r="L93" s="79"/>
      <c r="M93" s="79"/>
      <c r="N93" s="86"/>
      <c r="O93" s="79"/>
      <c r="P93" s="85">
        <f>IF($B93="","",IF($M93="Approved",$N93,0))</f>
      </c>
      <c r="Q93" s="86"/>
      <c r="R93" s="78">
        <f>IF($B93="","",IF($F93="","NO COUNT",IF($F93&lt;=Set_LowStock,"LOW","IN STOCK")))</f>
      </c>
      <c r="S93" s="79"/>
      <c r="T93" s="80"/>
      <c r="U93" s="78">
        <f>IF($B93="",0,IF(COUNTIF('DECOR INVENTORY'!$B$6:$B$105,$B93)&gt;1,1,0))</f>
      </c>
      <c r="V93" s="78">
        <f>IF(OR(N($P93)&gt;0,N($Q93)&gt;0),IF($O93="",1,IF(COUNTIF('MASTER BUDGET'!$D$6:$D$25,$O93)=0,1,0)),0)</f>
      </c>
      <c r="W93" s="75"/>
    </row>
    <row r="94" ht="17" customHeight="1" spans="1:23" x14ac:dyDescent="0.25">
      <c r="A94" s="75"/>
      <c r="B94" s="79"/>
      <c r="C94" s="80"/>
      <c r="D94" s="79"/>
      <c r="E94" s="79"/>
      <c r="F94" s="90"/>
      <c r="G94" s="79"/>
      <c r="H94" s="79"/>
      <c r="I94" s="79"/>
      <c r="J94" s="98"/>
      <c r="K94" s="79"/>
      <c r="L94" s="79"/>
      <c r="M94" s="79"/>
      <c r="N94" s="86"/>
      <c r="O94" s="79"/>
      <c r="P94" s="85">
        <f>IF($B94="","",IF($M94="Approved",$N94,0))</f>
      </c>
      <c r="Q94" s="86"/>
      <c r="R94" s="78">
        <f>IF($B94="","",IF($F94="","NO COUNT",IF($F94&lt;=Set_LowStock,"LOW","IN STOCK")))</f>
      </c>
      <c r="S94" s="79"/>
      <c r="T94" s="80"/>
      <c r="U94" s="78">
        <f>IF($B94="",0,IF(COUNTIF('DECOR INVENTORY'!$B$6:$B$105,$B94)&gt;1,1,0))</f>
      </c>
      <c r="V94" s="78">
        <f>IF(OR(N($P94)&gt;0,N($Q94)&gt;0),IF($O94="",1,IF(COUNTIF('MASTER BUDGET'!$D$6:$D$25,$O94)=0,1,0)),0)</f>
      </c>
      <c r="W94" s="75"/>
    </row>
    <row r="95" ht="17" customHeight="1" spans="1:23" x14ac:dyDescent="0.25">
      <c r="A95" s="75"/>
      <c r="B95" s="79"/>
      <c r="C95" s="80"/>
      <c r="D95" s="79"/>
      <c r="E95" s="79"/>
      <c r="F95" s="90"/>
      <c r="G95" s="79"/>
      <c r="H95" s="79"/>
      <c r="I95" s="79"/>
      <c r="J95" s="98"/>
      <c r="K95" s="79"/>
      <c r="L95" s="79"/>
      <c r="M95" s="79"/>
      <c r="N95" s="86"/>
      <c r="O95" s="79"/>
      <c r="P95" s="85">
        <f>IF($B95="","",IF($M95="Approved",$N95,0))</f>
      </c>
      <c r="Q95" s="86"/>
      <c r="R95" s="78">
        <f>IF($B95="","",IF($F95="","NO COUNT",IF($F95&lt;=Set_LowStock,"LOW","IN STOCK")))</f>
      </c>
      <c r="S95" s="79"/>
      <c r="T95" s="80"/>
      <c r="U95" s="78">
        <f>IF($B95="",0,IF(COUNTIF('DECOR INVENTORY'!$B$6:$B$105,$B95)&gt;1,1,0))</f>
      </c>
      <c r="V95" s="78">
        <f>IF(OR(N($P95)&gt;0,N($Q95)&gt;0),IF($O95="",1,IF(COUNTIF('MASTER BUDGET'!$D$6:$D$25,$O95)=0,1,0)),0)</f>
      </c>
      <c r="W95" s="75"/>
    </row>
    <row r="96" ht="17" customHeight="1" spans="1:23" x14ac:dyDescent="0.25">
      <c r="A96" s="75"/>
      <c r="B96" s="79"/>
      <c r="C96" s="80"/>
      <c r="D96" s="79"/>
      <c r="E96" s="79"/>
      <c r="F96" s="90"/>
      <c r="G96" s="79"/>
      <c r="H96" s="79"/>
      <c r="I96" s="79"/>
      <c r="J96" s="98"/>
      <c r="K96" s="79"/>
      <c r="L96" s="79"/>
      <c r="M96" s="79"/>
      <c r="N96" s="86"/>
      <c r="O96" s="79"/>
      <c r="P96" s="85">
        <f>IF($B96="","",IF($M96="Approved",$N96,0))</f>
      </c>
      <c r="Q96" s="86"/>
      <c r="R96" s="78">
        <f>IF($B96="","",IF($F96="","NO COUNT",IF($F96&lt;=Set_LowStock,"LOW","IN STOCK")))</f>
      </c>
      <c r="S96" s="79"/>
      <c r="T96" s="80"/>
      <c r="U96" s="78">
        <f>IF($B96="",0,IF(COUNTIF('DECOR INVENTORY'!$B$6:$B$105,$B96)&gt;1,1,0))</f>
      </c>
      <c r="V96" s="78">
        <f>IF(OR(N($P96)&gt;0,N($Q96)&gt;0),IF($O96="",1,IF(COUNTIF('MASTER BUDGET'!$D$6:$D$25,$O96)=0,1,0)),0)</f>
      </c>
      <c r="W96" s="75"/>
    </row>
    <row r="97" ht="17" customHeight="1" spans="1:23" x14ac:dyDescent="0.25">
      <c r="A97" s="75"/>
      <c r="B97" s="79"/>
      <c r="C97" s="80"/>
      <c r="D97" s="79"/>
      <c r="E97" s="79"/>
      <c r="F97" s="90"/>
      <c r="G97" s="79"/>
      <c r="H97" s="79"/>
      <c r="I97" s="79"/>
      <c r="J97" s="98"/>
      <c r="K97" s="79"/>
      <c r="L97" s="79"/>
      <c r="M97" s="79"/>
      <c r="N97" s="86"/>
      <c r="O97" s="79"/>
      <c r="P97" s="85">
        <f>IF($B97="","",IF($M97="Approved",$N97,0))</f>
      </c>
      <c r="Q97" s="86"/>
      <c r="R97" s="78">
        <f>IF($B97="","",IF($F97="","NO COUNT",IF($F97&lt;=Set_LowStock,"LOW","IN STOCK")))</f>
      </c>
      <c r="S97" s="79"/>
      <c r="T97" s="80"/>
      <c r="U97" s="78">
        <f>IF($B97="",0,IF(COUNTIF('DECOR INVENTORY'!$B$6:$B$105,$B97)&gt;1,1,0))</f>
      </c>
      <c r="V97" s="78">
        <f>IF(OR(N($P97)&gt;0,N($Q97)&gt;0),IF($O97="",1,IF(COUNTIF('MASTER BUDGET'!$D$6:$D$25,$O97)=0,1,0)),0)</f>
      </c>
      <c r="W97" s="75"/>
    </row>
    <row r="98" ht="17" customHeight="1" spans="1:23" x14ac:dyDescent="0.25">
      <c r="A98" s="75"/>
      <c r="B98" s="79"/>
      <c r="C98" s="80"/>
      <c r="D98" s="79"/>
      <c r="E98" s="79"/>
      <c r="F98" s="90"/>
      <c r="G98" s="79"/>
      <c r="H98" s="79"/>
      <c r="I98" s="79"/>
      <c r="J98" s="98"/>
      <c r="K98" s="79"/>
      <c r="L98" s="79"/>
      <c r="M98" s="79"/>
      <c r="N98" s="86"/>
      <c r="O98" s="79"/>
      <c r="P98" s="85">
        <f>IF($B98="","",IF($M98="Approved",$N98,0))</f>
      </c>
      <c r="Q98" s="86"/>
      <c r="R98" s="78">
        <f>IF($B98="","",IF($F98="","NO COUNT",IF($F98&lt;=Set_LowStock,"LOW","IN STOCK")))</f>
      </c>
      <c r="S98" s="79"/>
      <c r="T98" s="80"/>
      <c r="U98" s="78">
        <f>IF($B98="",0,IF(COUNTIF('DECOR INVENTORY'!$B$6:$B$105,$B98)&gt;1,1,0))</f>
      </c>
      <c r="V98" s="78">
        <f>IF(OR(N($P98)&gt;0,N($Q98)&gt;0),IF($O98="",1,IF(COUNTIF('MASTER BUDGET'!$D$6:$D$25,$O98)=0,1,0)),0)</f>
      </c>
      <c r="W98" s="75"/>
    </row>
    <row r="99" ht="17" customHeight="1" spans="1:23" x14ac:dyDescent="0.25">
      <c r="A99" s="75"/>
      <c r="B99" s="79"/>
      <c r="C99" s="80"/>
      <c r="D99" s="79"/>
      <c r="E99" s="79"/>
      <c r="F99" s="90"/>
      <c r="G99" s="79"/>
      <c r="H99" s="79"/>
      <c r="I99" s="79"/>
      <c r="J99" s="98"/>
      <c r="K99" s="79"/>
      <c r="L99" s="79"/>
      <c r="M99" s="79"/>
      <c r="N99" s="86"/>
      <c r="O99" s="79"/>
      <c r="P99" s="85">
        <f>IF($B99="","",IF($M99="Approved",$N99,0))</f>
      </c>
      <c r="Q99" s="86"/>
      <c r="R99" s="78">
        <f>IF($B99="","",IF($F99="","NO COUNT",IF($F99&lt;=Set_LowStock,"LOW","IN STOCK")))</f>
      </c>
      <c r="S99" s="79"/>
      <c r="T99" s="80"/>
      <c r="U99" s="78">
        <f>IF($B99="",0,IF(COUNTIF('DECOR INVENTORY'!$B$6:$B$105,$B99)&gt;1,1,0))</f>
      </c>
      <c r="V99" s="78">
        <f>IF(OR(N($P99)&gt;0,N($Q99)&gt;0),IF($O99="",1,IF(COUNTIF('MASTER BUDGET'!$D$6:$D$25,$O99)=0,1,0)),0)</f>
      </c>
      <c r="W99" s="75"/>
    </row>
    <row r="100" ht="17" customHeight="1" spans="1:23" x14ac:dyDescent="0.25">
      <c r="A100" s="75"/>
      <c r="B100" s="79"/>
      <c r="C100" s="80"/>
      <c r="D100" s="79"/>
      <c r="E100" s="79"/>
      <c r="F100" s="90"/>
      <c r="G100" s="79"/>
      <c r="H100" s="79"/>
      <c r="I100" s="79"/>
      <c r="J100" s="98"/>
      <c r="K100" s="79"/>
      <c r="L100" s="79"/>
      <c r="M100" s="79"/>
      <c r="N100" s="86"/>
      <c r="O100" s="79"/>
      <c r="P100" s="85">
        <f>IF($B100="","",IF($M100="Approved",$N100,0))</f>
      </c>
      <c r="Q100" s="86"/>
      <c r="R100" s="78">
        <f>IF($B100="","",IF($F100="","NO COUNT",IF($F100&lt;=Set_LowStock,"LOW","IN STOCK")))</f>
      </c>
      <c r="S100" s="79"/>
      <c r="T100" s="80"/>
      <c r="U100" s="78">
        <f>IF($B100="",0,IF(COUNTIF('DECOR INVENTORY'!$B$6:$B$105,$B100)&gt;1,1,0))</f>
      </c>
      <c r="V100" s="78">
        <f>IF(OR(N($P100)&gt;0,N($Q100)&gt;0),IF($O100="",1,IF(COUNTIF('MASTER BUDGET'!$D$6:$D$25,$O100)=0,1,0)),0)</f>
      </c>
      <c r="W100" s="75"/>
    </row>
    <row r="101" ht="17" customHeight="1" spans="1:23" x14ac:dyDescent="0.25">
      <c r="A101" s="75"/>
      <c r="B101" s="79"/>
      <c r="C101" s="80"/>
      <c r="D101" s="79"/>
      <c r="E101" s="79"/>
      <c r="F101" s="90"/>
      <c r="G101" s="79"/>
      <c r="H101" s="79"/>
      <c r="I101" s="79"/>
      <c r="J101" s="98"/>
      <c r="K101" s="79"/>
      <c r="L101" s="79"/>
      <c r="M101" s="79"/>
      <c r="N101" s="86"/>
      <c r="O101" s="79"/>
      <c r="P101" s="85">
        <f>IF($B101="","",IF($M101="Approved",$N101,0))</f>
      </c>
      <c r="Q101" s="86"/>
      <c r="R101" s="78">
        <f>IF($B101="","",IF($F101="","NO COUNT",IF($F101&lt;=Set_LowStock,"LOW","IN STOCK")))</f>
      </c>
      <c r="S101" s="79"/>
      <c r="T101" s="80"/>
      <c r="U101" s="78">
        <f>IF($B101="",0,IF(COUNTIF('DECOR INVENTORY'!$B$6:$B$105,$B101)&gt;1,1,0))</f>
      </c>
      <c r="V101" s="78">
        <f>IF(OR(N($P101)&gt;0,N($Q101)&gt;0),IF($O101="",1,IF(COUNTIF('MASTER BUDGET'!$D$6:$D$25,$O101)=0,1,0)),0)</f>
      </c>
      <c r="W101" s="75"/>
    </row>
    <row r="102" ht="17" customHeight="1" spans="1:23" x14ac:dyDescent="0.25">
      <c r="A102" s="75"/>
      <c r="B102" s="79"/>
      <c r="C102" s="80"/>
      <c r="D102" s="79"/>
      <c r="E102" s="79"/>
      <c r="F102" s="90"/>
      <c r="G102" s="79"/>
      <c r="H102" s="79"/>
      <c r="I102" s="79"/>
      <c r="J102" s="98"/>
      <c r="K102" s="79"/>
      <c r="L102" s="79"/>
      <c r="M102" s="79"/>
      <c r="N102" s="86"/>
      <c r="O102" s="79"/>
      <c r="P102" s="85">
        <f>IF($B102="","",IF($M102="Approved",$N102,0))</f>
      </c>
      <c r="Q102" s="86"/>
      <c r="R102" s="78">
        <f>IF($B102="","",IF($F102="","NO COUNT",IF($F102&lt;=Set_LowStock,"LOW","IN STOCK")))</f>
      </c>
      <c r="S102" s="79"/>
      <c r="T102" s="80"/>
      <c r="U102" s="78">
        <f>IF($B102="",0,IF(COUNTIF('DECOR INVENTORY'!$B$6:$B$105,$B102)&gt;1,1,0))</f>
      </c>
      <c r="V102" s="78">
        <f>IF(OR(N($P102)&gt;0,N($Q102)&gt;0),IF($O102="",1,IF(COUNTIF('MASTER BUDGET'!$D$6:$D$25,$O102)=0,1,0)),0)</f>
      </c>
      <c r="W102" s="75"/>
    </row>
    <row r="103" ht="17" customHeight="1" spans="1:23" x14ac:dyDescent="0.25">
      <c r="A103" s="75"/>
      <c r="B103" s="79"/>
      <c r="C103" s="80"/>
      <c r="D103" s="79"/>
      <c r="E103" s="79"/>
      <c r="F103" s="90"/>
      <c r="G103" s="79"/>
      <c r="H103" s="79"/>
      <c r="I103" s="79"/>
      <c r="J103" s="98"/>
      <c r="K103" s="79"/>
      <c r="L103" s="79"/>
      <c r="M103" s="79"/>
      <c r="N103" s="86"/>
      <c r="O103" s="79"/>
      <c r="P103" s="85">
        <f>IF($B103="","",IF($M103="Approved",$N103,0))</f>
      </c>
      <c r="Q103" s="86"/>
      <c r="R103" s="78">
        <f>IF($B103="","",IF($F103="","NO COUNT",IF($F103&lt;=Set_LowStock,"LOW","IN STOCK")))</f>
      </c>
      <c r="S103" s="79"/>
      <c r="T103" s="80"/>
      <c r="U103" s="78">
        <f>IF($B103="",0,IF(COUNTIF('DECOR INVENTORY'!$B$6:$B$105,$B103)&gt;1,1,0))</f>
      </c>
      <c r="V103" s="78">
        <f>IF(OR(N($P103)&gt;0,N($Q103)&gt;0),IF($O103="",1,IF(COUNTIF('MASTER BUDGET'!$D$6:$D$25,$O103)=0,1,0)),0)</f>
      </c>
      <c r="W103" s="75"/>
    </row>
    <row r="104" ht="17" customHeight="1" spans="1:23" x14ac:dyDescent="0.25">
      <c r="A104" s="75"/>
      <c r="B104" s="79"/>
      <c r="C104" s="80"/>
      <c r="D104" s="79"/>
      <c r="E104" s="79"/>
      <c r="F104" s="90"/>
      <c r="G104" s="79"/>
      <c r="H104" s="79"/>
      <c r="I104" s="79"/>
      <c r="J104" s="98"/>
      <c r="K104" s="79"/>
      <c r="L104" s="79"/>
      <c r="M104" s="79"/>
      <c r="N104" s="86"/>
      <c r="O104" s="79"/>
      <c r="P104" s="85">
        <f>IF($B104="","",IF($M104="Approved",$N104,0))</f>
      </c>
      <c r="Q104" s="86"/>
      <c r="R104" s="78">
        <f>IF($B104="","",IF($F104="","NO COUNT",IF($F104&lt;=Set_LowStock,"LOW","IN STOCK")))</f>
      </c>
      <c r="S104" s="79"/>
      <c r="T104" s="80"/>
      <c r="U104" s="78">
        <f>IF($B104="",0,IF(COUNTIF('DECOR INVENTORY'!$B$6:$B$105,$B104)&gt;1,1,0))</f>
      </c>
      <c r="V104" s="78">
        <f>IF(OR(N($P104)&gt;0,N($Q104)&gt;0),IF($O104="",1,IF(COUNTIF('MASTER BUDGET'!$D$6:$D$25,$O104)=0,1,0)),0)</f>
      </c>
      <c r="W104" s="75"/>
    </row>
    <row r="105" ht="17" customHeight="1" spans="1:23" x14ac:dyDescent="0.25">
      <c r="A105" s="75"/>
      <c r="B105" s="79"/>
      <c r="C105" s="80"/>
      <c r="D105" s="79"/>
      <c r="E105" s="79"/>
      <c r="F105" s="90"/>
      <c r="G105" s="79"/>
      <c r="H105" s="79"/>
      <c r="I105" s="79"/>
      <c r="J105" s="98"/>
      <c r="K105" s="79"/>
      <c r="L105" s="79"/>
      <c r="M105" s="79"/>
      <c r="N105" s="86"/>
      <c r="O105" s="79"/>
      <c r="P105" s="85">
        <f>IF($B105="","",IF($M105="Approved",$N105,0))</f>
      </c>
      <c r="Q105" s="86"/>
      <c r="R105" s="78">
        <f>IF($B105="","",IF($F105="","NO COUNT",IF($F105&lt;=Set_LowStock,"LOW","IN STOCK")))</f>
      </c>
      <c r="S105" s="79"/>
      <c r="T105" s="80"/>
      <c r="U105" s="78">
        <f>IF($B105="",0,IF(COUNTIF('DECOR INVENTORY'!$B$6:$B$105,$B105)&gt;1,1,0))</f>
      </c>
      <c r="V105" s="78">
        <f>IF(OR(N($P105)&gt;0,N($Q105)&gt;0),IF($O105="",1,IF(COUNTIF('MASTER BUDGET'!$D$6:$D$25,$O105)=0,1,0)),0)</f>
      </c>
      <c r="W105" s="75"/>
    </row>
    <row r="107" spans="2:2" x14ac:dyDescent="0.25">
      <c r="B107" s="91" t="s">
        <v>522</v>
      </c>
    </row>
  </sheetData>
  <autoFilter ref="B5:V105"/>
  <mergeCells count="1">
    <mergeCell ref="B1:C1"/>
  </mergeCells>
  <conditionalFormatting sqref="R6:R105">
    <cfRule type="containsText" dxfId="273" priority="1">
      <formula>NOT(ISERROR(SEARCH("OVER BUDGET",R6)))</formula>
    </cfRule>
  </conditionalFormatting>
  <conditionalFormatting sqref="R6:R105">
    <cfRule type="containsText" dxfId="274" priority="2">
      <formula>NOT(ISERROR(SEARCH("OVERDUE",R6)))</formula>
    </cfRule>
  </conditionalFormatting>
  <conditionalFormatting sqref="R6:R105">
    <cfRule type="containsText" dxfId="275" priority="3">
      <formula>NOT(ISERROR(SEARCH("LATE",R6)))</formula>
    </cfRule>
  </conditionalFormatting>
  <conditionalFormatting sqref="R6:R105">
    <cfRule type="containsText" dxfId="276" priority="4">
      <formula>NOT(ISERROR(SEARCH("WINDOW CLOSED",R6)))</formula>
    </cfRule>
  </conditionalFormatting>
  <conditionalFormatting sqref="R6:R105">
    <cfRule type="containsText" dxfId="277" priority="5">
      <formula>NOT(ISERROR(SEARCH("BALANCE OVERDUE",R6)))</formula>
    </cfRule>
  </conditionalFormatting>
  <conditionalFormatting sqref="R6:R105">
    <cfRule type="containsText" dxfId="278" priority="6">
      <formula>NOT(ISERROR(SEARCH("PREP OVERDUE",R6)))</formula>
    </cfRule>
  </conditionalFormatting>
  <conditionalFormatting sqref="R6:R105">
    <cfRule type="containsText" dxfId="279" priority="7">
      <formula>NOT(ISERROR(SEARCH("CHECK DUPLICATE",R6)))</formula>
    </cfRule>
  </conditionalFormatting>
  <conditionalFormatting sqref="R6:R105">
    <cfRule type="containsText" dxfId="280" priority="8">
      <formula>NOT(ISERROR(SEARCH("MISSING DATE",R6)))</formula>
    </cfRule>
  </conditionalFormatting>
  <conditionalFormatting sqref="R6:R105">
    <cfRule type="containsText" dxfId="281" priority="9">
      <formula>NOT(ISERROR(SEARCH("NOT FOUND",R6)))</formula>
    </cfRule>
  </conditionalFormatting>
  <conditionalFormatting sqref="R6:R105">
    <cfRule type="containsText" dxfId="282" priority="10">
      <formula>NOT(ISERROR(SEARCH("NEAR LIMIT",R6)))</formula>
    </cfRule>
  </conditionalFormatting>
  <conditionalFormatting sqref="R6:R105">
    <cfRule type="containsText" dxfId="283" priority="11">
      <formula>NOT(ISERROR(SEARCH("THIS WEEK",R6)))</formula>
    </cfRule>
  </conditionalFormatting>
  <conditionalFormatting sqref="R6:R105">
    <cfRule type="containsText" dxfId="284" priority="12">
      <formula>NOT(ISERROR(SEARCH("CLOSING SOON",R6)))</formula>
    </cfRule>
  </conditionalFormatting>
  <conditionalFormatting sqref="R6:R105">
    <cfRule type="containsText" dxfId="285" priority="13">
      <formula>NOT(ISERROR(SEARCH("NO TRACKING",R6)))</formula>
    </cfRule>
  </conditionalFormatting>
  <conditionalFormatting sqref="R6:R105">
    <cfRule type="containsText" dxfId="286" priority="14">
      <formula>NOT(ISERROR(SEARCH("LOW",R6)))</formula>
    </cfRule>
  </conditionalFormatting>
  <conditionalFormatting sqref="R6:R105">
    <cfRule type="containsText" dxfId="287" priority="15">
      <formula>NOT(ISERROR(SEARCH("AWAITING REFUND",R6)))</formula>
    </cfRule>
  </conditionalFormatting>
  <conditionalFormatting sqref="R6:R105">
    <cfRule type="containsText" dxfId="288" priority="16">
      <formula>NOT(ISERROR(SEARCH("BALANCE DUE SOON",R6)))</formula>
    </cfRule>
  </conditionalFormatting>
  <conditionalFormatting sqref="R6:R105">
    <cfRule type="containsText" dxfId="289" priority="17">
      <formula>NOT(ISERROR(SEARCH("TO BUY",R6)))</formula>
    </cfRule>
  </conditionalFormatting>
  <conditionalFormatting sqref="R6:R105">
    <cfRule type="containsText" dxfId="290" priority="18">
      <formula>NOT(ISERROR(SEARCH("NO DATE",R6)))</formula>
    </cfRule>
  </conditionalFormatting>
  <conditionalFormatting sqref="R6:R105">
    <cfRule type="containsText" dxfId="291" priority="19">
      <formula>NOT(ISERROR(SEARCH("NO COUNT",R6)))</formula>
    </cfRule>
  </conditionalFormatting>
  <conditionalFormatting sqref="R6:R105">
    <cfRule type="containsText" dxfId="292" priority="20">
      <formula>NOT(ISERROR(SEARCH("ON TRACK",R6)))</formula>
    </cfRule>
  </conditionalFormatting>
  <conditionalFormatting sqref="R6:R105">
    <cfRule type="containsText" dxfId="293" priority="21">
      <formula>NOT(ISERROR(SEARCH("COMPLETE",R6)))</formula>
    </cfRule>
  </conditionalFormatting>
  <conditionalFormatting sqref="R6:R105">
    <cfRule type="containsText" dxfId="294" priority="22">
      <formula>NOT(ISERROR(SEARCH("DONE",R6)))</formula>
    </cfRule>
  </conditionalFormatting>
  <conditionalFormatting sqref="R6:R105">
    <cfRule type="containsText" dxfId="295" priority="23">
      <formula>NOT(ISERROR(SEARCH("ARRIVED",R6)))</formula>
    </cfRule>
  </conditionalFormatting>
  <conditionalFormatting sqref="R6:R105">
    <cfRule type="containsText" dxfId="296" priority="24">
      <formula>NOT(ISERROR(SEARCH("SETTLED",R6)))</formula>
    </cfRule>
  </conditionalFormatting>
  <conditionalFormatting sqref="R6:R105">
    <cfRule type="containsText" dxfId="297" priority="25">
      <formula>NOT(ISERROR(SEARCH("AT BUDGET",R6)))</formula>
    </cfRule>
  </conditionalFormatting>
  <conditionalFormatting sqref="R6:R105">
    <cfRule type="containsText" dxfId="298" priority="26">
      <formula>NOT(ISERROR(SEARCH("IN STOCK",R6)))</formula>
    </cfRule>
  </conditionalFormatting>
  <conditionalFormatting sqref="R6:R105">
    <cfRule type="containsText" dxfId="299" priority="27">
      <formula>NOT(ISERROR(SEARCH("BOUGHT",R6)))</formula>
    </cfRule>
  </conditionalFormatting>
  <conditionalFormatting sqref="R6:R105">
    <cfRule type="containsText" dxfId="300" priority="28">
      <formula>NOT(ISERROR(SEARCH("READY",R6)))</formula>
    </cfRule>
  </conditionalFormatting>
  <conditionalFormatting sqref="R6:R105">
    <cfRule type="containsText" dxfId="301" priority="29">
      <formula>NOT(ISERROR(SEARCH("NOT SET",R6)))</formula>
    </cfRule>
  </conditionalFormatting>
  <conditionalFormatting sqref="R6:R105">
    <cfRule type="containsText" dxfId="302" priority="30">
      <formula>NOT(ISERROR(SEARCH("NOT STARTED",R6)))</formula>
    </cfRule>
  </conditionalFormatting>
  <conditionalFormatting sqref="R6:R105">
    <cfRule type="containsText" dxfId="303" priority="31">
      <formula>NOT(ISERROR(SEARCH("SCHEDULED",R6)))</formula>
    </cfRule>
  </conditionalFormatting>
  <conditionalFormatting sqref="R6:R105">
    <cfRule type="containsText" dxfId="304" priority="32">
      <formula>NOT(ISERROR(SEARCH("CLOSED",R6)))</formula>
    </cfRule>
  </conditionalFormatting>
  <conditionalFormatting sqref="R6:R105">
    <cfRule type="containsText" dxfId="305" priority="33">
      <formula>NOT(ISERROR(SEARCH("IN THE PANTRY",R6)))</formula>
    </cfRule>
  </conditionalFormatting>
  <conditionalFormatting sqref="R6:R105">
    <cfRule type="containsText" dxfId="306" priority="34">
      <formula>NOT(ISERROR(SEARCH("BALANCE OPEN",R6)))</formula>
    </cfRule>
  </conditionalFormatting>
  <dataValidations count="10">
    <dataValidation type="list" allowBlank="1" showErrorMessage="1" errorStyle="warning" errorTitle="Not one of the usual values" error="This column normally uses a value from the DecorCategory list on LISTS. You can keep what you typed, or add it to the list so it appears in the dropdown." sqref="D6:D105">
      <formula1>=List_DecorCategory</formula1>
    </dataValidation>
    <dataValidation type="custom" allowBlank="1" showErrorMessage="1" errorStyle="warning" errorTitle="That looks like text" error="Type the number on its own — no currency symbol and no words. The column adds the symbol for you." sqref="F6:F105">
      <formula1>=OR(F6="",ISNUMBER(F6))</formula1>
    </dataValidation>
    <dataValidation type="list" allowBlank="1" showErrorMessage="1" errorStyle="warning" errorTitle="Not one of the usual values" error="This column normally uses a value from the Condition list on LISTS. You can keep what you typed, or add it to the list so it appears in the dropdown." sqref="G6:G105">
      <formula1>=List_Condition</formula1>
    </dataValidation>
    <dataValidation type="list" allowBlank="1" showErrorMessage="1" errorStyle="warning" errorTitle="Not one of the usual values" error="This column normally uses a value from the Room list on LISTS. You can keep what you typed, or add it to the list so it appears in the dropdown." sqref="H6:H105">
      <formula1>=List_Room</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K6:K105">
      <formula1>=List_YesNo</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L6:L105">
      <formula1>=List_YesNo</formula1>
    </dataValidation>
    <dataValidation type="list" allowBlank="1" showErrorMessage="1" errorStyle="warning" errorTitle="Not one of the usual values" error="This column normally uses a value from the ApprovalStatus list on LISTS. You can keep what you typed, or add it to the list so it appears in the dropdown." sqref="M6:M105">
      <formula1>=List_ApprovalStatus</formula1>
    </dataValidation>
    <dataValidation type="custom" allowBlank="1" showErrorMessage="1" errorStyle="warning" errorTitle="That looks like text" error="Type the number on its own — no currency symbol and no words. The column adds the symbol for you." sqref="N6:N105">
      <formula1>=OR(N6="",ISNUMBER(N6))</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O6:O105">
      <formula1>=List_BudgetCategory</formula1>
    </dataValidation>
    <dataValidation type="custom" allowBlank="1" showErrorMessage="1" errorStyle="warning" errorTitle="That looks like text" error="Type the number on its own — no currency symbol and no words. The column adds the symbol for you." sqref="Q6:Q105">
      <formula1>=OR(Q6="",ISNUMBER(Q6))</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&amp;LDECOR INVENTORY&amp;C&amp;P of &amp;N&amp;RThe Christmas Season Master Command Center™</oddFooter>
  </headerFooter>
  <legacyDrawing r:id="rId7"/>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S6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16" customWidth="1"/>
    <col min="4" max="4" width="36" customWidth="1"/>
    <col min="5" max="5" width="30" customWidth="1"/>
    <col min="6" max="6" width="28" customWidth="1"/>
    <col min="7" max="7" width="17" customWidth="1"/>
    <col min="8" max="10" width="13" customWidth="1"/>
    <col min="11" max="11" width="16" customWidth="1"/>
    <col min="12" max="12" width="11" customWidth="1"/>
    <col min="13" max="13" width="13" customWidth="1"/>
    <col min="14" max="14" width="20" customWidth="1"/>
    <col min="15" max="15" width="14" customWidth="1"/>
    <col min="16" max="16" width="34" customWidth="1"/>
    <col min="17" max="18" width="18" hidden="1" customWidth="1"/>
    <col min="19" max="19" width="2" customWidth="1"/>
  </cols>
  <sheetData>
    <row r="1" ht="21" customHeight="1" spans="1:19" x14ac:dyDescent="0.25">
      <c r="A1" s="62"/>
      <c r="B1" s="63" t="s">
        <v>8</v>
      </c>
      <c r="C1" s="63"/>
      <c r="D1" s="63" t="s">
        <v>9</v>
      </c>
      <c r="E1" s="63" t="s">
        <v>10</v>
      </c>
      <c r="F1" s="63" t="s">
        <v>11</v>
      </c>
      <c r="G1" s="63" t="s">
        <v>12</v>
      </c>
      <c r="H1" s="62"/>
      <c r="I1" s="62"/>
      <c r="J1" s="62"/>
      <c r="K1" s="62"/>
      <c r="L1" s="62"/>
      <c r="M1" s="62"/>
      <c r="N1" s="62"/>
      <c r="O1" s="62"/>
      <c r="P1" s="62"/>
      <c r="Q1" s="62"/>
      <c r="R1" s="62"/>
      <c r="S1" s="62"/>
    </row>
    <row r="2" ht="34" customHeight="1" spans="1:19" x14ac:dyDescent="0.25">
      <c r="A2" s="64"/>
      <c r="B2" s="65" t="s">
        <v>523</v>
      </c>
      <c r="C2" s="64"/>
      <c r="D2" s="64"/>
      <c r="E2" s="64"/>
      <c r="F2" s="64"/>
      <c r="G2" s="64"/>
      <c r="H2" s="64"/>
      <c r="I2" s="64"/>
      <c r="J2" s="64"/>
      <c r="K2" s="64"/>
      <c r="L2" s="64"/>
      <c r="M2" s="64"/>
      <c r="N2" s="64"/>
      <c r="O2" s="64"/>
      <c r="P2" s="64"/>
      <c r="Q2" s="64"/>
      <c r="R2" s="64"/>
      <c r="S2" s="64"/>
    </row>
    <row r="3" ht="18" customHeight="1" spans="1:19" x14ac:dyDescent="0.25">
      <c r="A3" s="64"/>
      <c r="B3" s="66" t="s">
        <v>524</v>
      </c>
      <c r="C3" s="64"/>
      <c r="D3" s="64"/>
      <c r="E3" s="64"/>
      <c r="F3" s="64"/>
      <c r="G3" s="64"/>
      <c r="H3" s="64"/>
      <c r="I3" s="64"/>
      <c r="J3" s="64"/>
      <c r="K3" s="64"/>
      <c r="L3" s="64"/>
      <c r="M3" s="64"/>
      <c r="N3" s="64"/>
      <c r="O3" s="64"/>
      <c r="P3" s="64"/>
      <c r="Q3" s="64"/>
      <c r="R3" s="64"/>
      <c r="S3" s="64"/>
    </row>
    <row r="4" ht="17" customHeight="1" spans="1:19" x14ac:dyDescent="0.25">
      <c r="A4" s="64"/>
      <c r="B4" s="67" t="s">
        <v>160</v>
      </c>
      <c r="C4" s="64"/>
      <c r="D4" s="64"/>
      <c r="E4" s="64"/>
      <c r="F4" s="64"/>
      <c r="G4" s="64"/>
      <c r="H4" s="64"/>
      <c r="I4" s="64"/>
      <c r="J4" s="64"/>
      <c r="K4" s="64"/>
      <c r="L4" s="64"/>
      <c r="M4" s="64"/>
      <c r="N4" s="64"/>
      <c r="O4" s="64"/>
      <c r="P4" s="64"/>
      <c r="Q4" s="64"/>
      <c r="R4" s="64"/>
      <c r="S4" s="64"/>
    </row>
    <row r="5" ht="32" customHeight="1" spans="1:19" x14ac:dyDescent="0.25">
      <c r="A5" s="73"/>
      <c r="B5" s="74" t="s">
        <v>525</v>
      </c>
      <c r="C5" s="74" t="s">
        <v>526</v>
      </c>
      <c r="D5" s="74" t="s">
        <v>527</v>
      </c>
      <c r="E5" s="74" t="s">
        <v>528</v>
      </c>
      <c r="F5" s="74" t="s">
        <v>529</v>
      </c>
      <c r="G5" s="74" t="s">
        <v>300</v>
      </c>
      <c r="H5" s="74" t="s">
        <v>309</v>
      </c>
      <c r="I5" s="74" t="s">
        <v>310</v>
      </c>
      <c r="J5" s="74" t="s">
        <v>530</v>
      </c>
      <c r="K5" s="74" t="s">
        <v>176</v>
      </c>
      <c r="L5" s="74" t="s">
        <v>531</v>
      </c>
      <c r="M5" s="74" t="s">
        <v>532</v>
      </c>
      <c r="N5" s="74" t="s">
        <v>533</v>
      </c>
      <c r="O5" s="74" t="s">
        <v>422</v>
      </c>
      <c r="P5" s="74" t="s">
        <v>179</v>
      </c>
      <c r="Q5" s="74" t="s">
        <v>180</v>
      </c>
      <c r="R5" s="74" t="s">
        <v>323</v>
      </c>
      <c r="S5" s="73"/>
    </row>
    <row r="6" ht="17" customHeight="1" spans="1:19" x14ac:dyDescent="0.25">
      <c r="A6" s="75"/>
      <c r="B6" s="76" t="s">
        <v>534</v>
      </c>
      <c r="C6" s="76" t="s">
        <v>518</v>
      </c>
      <c r="D6" s="77" t="s">
        <v>535</v>
      </c>
      <c r="E6" s="77" t="s">
        <v>513</v>
      </c>
      <c r="F6" s="77" t="s">
        <v>536</v>
      </c>
      <c r="G6" s="76" t="s">
        <v>277</v>
      </c>
      <c r="H6" s="84">
        <v>0</v>
      </c>
      <c r="I6" s="84"/>
      <c r="J6" s="81">
        <v>46357</v>
      </c>
      <c r="K6" s="76" t="s">
        <v>184</v>
      </c>
      <c r="L6" s="76" t="s">
        <v>194</v>
      </c>
      <c r="M6" s="81">
        <v>46393</v>
      </c>
      <c r="N6" s="76" t="s">
        <v>537</v>
      </c>
      <c r="O6" s="78">
        <f>IF($B6="","",IF($L6="Yes","COMPLETE",IF($J6="","NO DATE",IF($J6&lt;TODAY(),"OVERDUE",IF($J6-TODAY()&lt;=7,"THIS WEEK","SCHEDULED")))))</f>
      </c>
      <c r="P6" s="77" t="s">
        <v>538</v>
      </c>
      <c r="Q6" s="78">
        <f>IF($B6="",0,IF(COUNTIF('DECORATING PLAN'!$B$6:$B$65,$B6)&gt;1,1,0))</f>
      </c>
      <c r="R6" s="78">
        <f>IF(OR(N($H6)&gt;0,N($I6)&gt;0),IF($G6="",1,IF(COUNTIF('MASTER BUDGET'!$D$6:$D$25,$G6)=0,1,0)),0)</f>
      </c>
      <c r="S6" s="75"/>
    </row>
    <row r="7" ht="17" customHeight="1" spans="1:19" x14ac:dyDescent="0.25">
      <c r="A7" s="75"/>
      <c r="B7" s="76" t="s">
        <v>539</v>
      </c>
      <c r="C7" s="76" t="s">
        <v>503</v>
      </c>
      <c r="D7" s="77" t="s">
        <v>540</v>
      </c>
      <c r="E7" s="77" t="s">
        <v>498</v>
      </c>
      <c r="F7" s="77"/>
      <c r="G7" s="76" t="s">
        <v>277</v>
      </c>
      <c r="H7" s="84">
        <v>90</v>
      </c>
      <c r="I7" s="84"/>
      <c r="J7" s="81">
        <v>46376</v>
      </c>
      <c r="K7" s="76" t="s">
        <v>184</v>
      </c>
      <c r="L7" s="76" t="s">
        <v>194</v>
      </c>
      <c r="M7" s="81">
        <v>46393</v>
      </c>
      <c r="N7" s="76" t="s">
        <v>504</v>
      </c>
      <c r="O7" s="78">
        <f>IF($B7="","",IF($L7="Yes","COMPLETE",IF($J7="","NO DATE",IF($J7&lt;TODAY(),"OVERDUE",IF($J7-TODAY()&lt;=7,"THIS WEEK","SCHEDULED")))))</f>
      </c>
      <c r="P7" s="77" t="s">
        <v>186</v>
      </c>
      <c r="Q7" s="78">
        <f>IF($B7="",0,IF(COUNTIF('DECORATING PLAN'!$B$6:$B$65,$B7)&gt;1,1,0))</f>
      </c>
      <c r="R7" s="78">
        <f>IF(OR(N($H7)&gt;0,N($I7)&gt;0),IF($G7="",1,IF(COUNTIF('MASTER BUDGET'!$D$6:$D$25,$G7)=0,1,0)),0)</f>
      </c>
      <c r="S7" s="75"/>
    </row>
    <row r="8" ht="17" customHeight="1" spans="1:19" x14ac:dyDescent="0.25">
      <c r="A8" s="75"/>
      <c r="B8" s="76" t="s">
        <v>541</v>
      </c>
      <c r="C8" s="76" t="s">
        <v>511</v>
      </c>
      <c r="D8" s="77" t="s">
        <v>542</v>
      </c>
      <c r="E8" s="77" t="s">
        <v>506</v>
      </c>
      <c r="F8" s="77"/>
      <c r="G8" s="76" t="s">
        <v>277</v>
      </c>
      <c r="H8" s="84">
        <v>0</v>
      </c>
      <c r="I8" s="84"/>
      <c r="J8" s="81">
        <v>46362</v>
      </c>
      <c r="K8" s="76" t="s">
        <v>543</v>
      </c>
      <c r="L8" s="76" t="s">
        <v>194</v>
      </c>
      <c r="M8" s="81">
        <v>46393</v>
      </c>
      <c r="N8" s="76" t="s">
        <v>512</v>
      </c>
      <c r="O8" s="78">
        <f>IF($B8="","",IF($L8="Yes","COMPLETE",IF($J8="","NO DATE",IF($J8&lt;TODAY(),"OVERDUE",IF($J8-TODAY()&lt;=7,"THIS WEEK","SCHEDULED")))))</f>
      </c>
      <c r="P8" s="77" t="s">
        <v>186</v>
      </c>
      <c r="Q8" s="78">
        <f>IF($B8="",0,IF(COUNTIF('DECORATING PLAN'!$B$6:$B$65,$B8)&gt;1,1,0))</f>
      </c>
      <c r="R8" s="78">
        <f>IF(OR(N($H8)&gt;0,N($I8)&gt;0),IF($G8="",1,IF(COUNTIF('MASTER BUDGET'!$D$6:$D$25,$G8)=0,1,0)),0)</f>
      </c>
      <c r="S8" s="75"/>
    </row>
    <row r="9" ht="17" customHeight="1" spans="1:19" x14ac:dyDescent="0.25">
      <c r="A9" s="75"/>
      <c r="B9" s="79"/>
      <c r="C9" s="79"/>
      <c r="D9" s="80"/>
      <c r="E9" s="80"/>
      <c r="F9" s="80"/>
      <c r="G9" s="79"/>
      <c r="H9" s="86"/>
      <c r="I9" s="86"/>
      <c r="J9" s="82"/>
      <c r="K9" s="79"/>
      <c r="L9" s="79"/>
      <c r="M9" s="82"/>
      <c r="N9" s="79"/>
      <c r="O9" s="78">
        <f>IF($B9="","",IF($L9="Yes","COMPLETE",IF($J9="","NO DATE",IF($J9&lt;TODAY(),"OVERDUE",IF($J9-TODAY()&lt;=7,"THIS WEEK","SCHEDULED")))))</f>
      </c>
      <c r="P9" s="80"/>
      <c r="Q9" s="78">
        <f>IF($B9="",0,IF(COUNTIF('DECORATING PLAN'!$B$6:$B$65,$B9)&gt;1,1,0))</f>
      </c>
      <c r="R9" s="78">
        <f>IF(OR(N($H9)&gt;0,N($I9)&gt;0),IF($G9="",1,IF(COUNTIF('MASTER BUDGET'!$D$6:$D$25,$G9)=0,1,0)),0)</f>
      </c>
      <c r="S9" s="75"/>
    </row>
    <row r="10" ht="17" customHeight="1" spans="1:19" x14ac:dyDescent="0.25">
      <c r="A10" s="75"/>
      <c r="B10" s="79"/>
      <c r="C10" s="79"/>
      <c r="D10" s="80"/>
      <c r="E10" s="80"/>
      <c r="F10" s="80"/>
      <c r="G10" s="79"/>
      <c r="H10" s="86"/>
      <c r="I10" s="86"/>
      <c r="J10" s="82"/>
      <c r="K10" s="79"/>
      <c r="L10" s="79"/>
      <c r="M10" s="82"/>
      <c r="N10" s="79"/>
      <c r="O10" s="78">
        <f>IF($B10="","",IF($L10="Yes","COMPLETE",IF($J10="","NO DATE",IF($J10&lt;TODAY(),"OVERDUE",IF($J10-TODAY()&lt;=7,"THIS WEEK","SCHEDULED")))))</f>
      </c>
      <c r="P10" s="80"/>
      <c r="Q10" s="78">
        <f>IF($B10="",0,IF(COUNTIF('DECORATING PLAN'!$B$6:$B$65,$B10)&gt;1,1,0))</f>
      </c>
      <c r="R10" s="78">
        <f>IF(OR(N($H10)&gt;0,N($I10)&gt;0),IF($G10="",1,IF(COUNTIF('MASTER BUDGET'!$D$6:$D$25,$G10)=0,1,0)),0)</f>
      </c>
      <c r="S10" s="75"/>
    </row>
    <row r="11" ht="17" customHeight="1" spans="1:19" x14ac:dyDescent="0.25">
      <c r="A11" s="75"/>
      <c r="B11" s="79"/>
      <c r="C11" s="79"/>
      <c r="D11" s="80"/>
      <c r="E11" s="80"/>
      <c r="F11" s="80"/>
      <c r="G11" s="79"/>
      <c r="H11" s="86"/>
      <c r="I11" s="86"/>
      <c r="J11" s="82"/>
      <c r="K11" s="79"/>
      <c r="L11" s="79"/>
      <c r="M11" s="82"/>
      <c r="N11" s="79"/>
      <c r="O11" s="78">
        <f>IF($B11="","",IF($L11="Yes","COMPLETE",IF($J11="","NO DATE",IF($J11&lt;TODAY(),"OVERDUE",IF($J11-TODAY()&lt;=7,"THIS WEEK","SCHEDULED")))))</f>
      </c>
      <c r="P11" s="80"/>
      <c r="Q11" s="78">
        <f>IF($B11="",0,IF(COUNTIF('DECORATING PLAN'!$B$6:$B$65,$B11)&gt;1,1,0))</f>
      </c>
      <c r="R11" s="78">
        <f>IF(OR(N($H11)&gt;0,N($I11)&gt;0),IF($G11="",1,IF(COUNTIF('MASTER BUDGET'!$D$6:$D$25,$G11)=0,1,0)),0)</f>
      </c>
      <c r="S11" s="75"/>
    </row>
    <row r="12" ht="17" customHeight="1" spans="1:19" x14ac:dyDescent="0.25">
      <c r="A12" s="75"/>
      <c r="B12" s="79"/>
      <c r="C12" s="79"/>
      <c r="D12" s="80"/>
      <c r="E12" s="80"/>
      <c r="F12" s="80"/>
      <c r="G12" s="79"/>
      <c r="H12" s="86"/>
      <c r="I12" s="86"/>
      <c r="J12" s="82"/>
      <c r="K12" s="79"/>
      <c r="L12" s="79"/>
      <c r="M12" s="82"/>
      <c r="N12" s="79"/>
      <c r="O12" s="78">
        <f>IF($B12="","",IF($L12="Yes","COMPLETE",IF($J12="","NO DATE",IF($J12&lt;TODAY(),"OVERDUE",IF($J12-TODAY()&lt;=7,"THIS WEEK","SCHEDULED")))))</f>
      </c>
      <c r="P12" s="80"/>
      <c r="Q12" s="78">
        <f>IF($B12="",0,IF(COUNTIF('DECORATING PLAN'!$B$6:$B$65,$B12)&gt;1,1,0))</f>
      </c>
      <c r="R12" s="78">
        <f>IF(OR(N($H12)&gt;0,N($I12)&gt;0),IF($G12="",1,IF(COUNTIF('MASTER BUDGET'!$D$6:$D$25,$G12)=0,1,0)),0)</f>
      </c>
      <c r="S12" s="75"/>
    </row>
    <row r="13" ht="17" customHeight="1" spans="1:19" x14ac:dyDescent="0.25">
      <c r="A13" s="75"/>
      <c r="B13" s="79"/>
      <c r="C13" s="79"/>
      <c r="D13" s="80"/>
      <c r="E13" s="80"/>
      <c r="F13" s="80"/>
      <c r="G13" s="79"/>
      <c r="H13" s="86"/>
      <c r="I13" s="86"/>
      <c r="J13" s="82"/>
      <c r="K13" s="79"/>
      <c r="L13" s="79"/>
      <c r="M13" s="82"/>
      <c r="N13" s="79"/>
      <c r="O13" s="78">
        <f>IF($B13="","",IF($L13="Yes","COMPLETE",IF($J13="","NO DATE",IF($J13&lt;TODAY(),"OVERDUE",IF($J13-TODAY()&lt;=7,"THIS WEEK","SCHEDULED")))))</f>
      </c>
      <c r="P13" s="80"/>
      <c r="Q13" s="78">
        <f>IF($B13="",0,IF(COUNTIF('DECORATING PLAN'!$B$6:$B$65,$B13)&gt;1,1,0))</f>
      </c>
      <c r="R13" s="78">
        <f>IF(OR(N($H13)&gt;0,N($I13)&gt;0),IF($G13="",1,IF(COUNTIF('MASTER BUDGET'!$D$6:$D$25,$G13)=0,1,0)),0)</f>
      </c>
      <c r="S13" s="75"/>
    </row>
    <row r="14" ht="17" customHeight="1" spans="1:19" x14ac:dyDescent="0.25">
      <c r="A14" s="75"/>
      <c r="B14" s="79"/>
      <c r="C14" s="79"/>
      <c r="D14" s="80"/>
      <c r="E14" s="80"/>
      <c r="F14" s="80"/>
      <c r="G14" s="79"/>
      <c r="H14" s="86"/>
      <c r="I14" s="86"/>
      <c r="J14" s="82"/>
      <c r="K14" s="79"/>
      <c r="L14" s="79"/>
      <c r="M14" s="82"/>
      <c r="N14" s="79"/>
      <c r="O14" s="78">
        <f>IF($B14="","",IF($L14="Yes","COMPLETE",IF($J14="","NO DATE",IF($J14&lt;TODAY(),"OVERDUE",IF($J14-TODAY()&lt;=7,"THIS WEEK","SCHEDULED")))))</f>
      </c>
      <c r="P14" s="80"/>
      <c r="Q14" s="78">
        <f>IF($B14="",0,IF(COUNTIF('DECORATING PLAN'!$B$6:$B$65,$B14)&gt;1,1,0))</f>
      </c>
      <c r="R14" s="78">
        <f>IF(OR(N($H14)&gt;0,N($I14)&gt;0),IF($G14="",1,IF(COUNTIF('MASTER BUDGET'!$D$6:$D$25,$G14)=0,1,0)),0)</f>
      </c>
      <c r="S14" s="75"/>
    </row>
    <row r="15" ht="17" customHeight="1" spans="1:19" x14ac:dyDescent="0.25">
      <c r="A15" s="75"/>
      <c r="B15" s="79"/>
      <c r="C15" s="79"/>
      <c r="D15" s="80"/>
      <c r="E15" s="80"/>
      <c r="F15" s="80"/>
      <c r="G15" s="79"/>
      <c r="H15" s="86"/>
      <c r="I15" s="86"/>
      <c r="J15" s="82"/>
      <c r="K15" s="79"/>
      <c r="L15" s="79"/>
      <c r="M15" s="82"/>
      <c r="N15" s="79"/>
      <c r="O15" s="78">
        <f>IF($B15="","",IF($L15="Yes","COMPLETE",IF($J15="","NO DATE",IF($J15&lt;TODAY(),"OVERDUE",IF($J15-TODAY()&lt;=7,"THIS WEEK","SCHEDULED")))))</f>
      </c>
      <c r="P15" s="80"/>
      <c r="Q15" s="78">
        <f>IF($B15="",0,IF(COUNTIF('DECORATING PLAN'!$B$6:$B$65,$B15)&gt;1,1,0))</f>
      </c>
      <c r="R15" s="78">
        <f>IF(OR(N($H15)&gt;0,N($I15)&gt;0),IF($G15="",1,IF(COUNTIF('MASTER BUDGET'!$D$6:$D$25,$G15)=0,1,0)),0)</f>
      </c>
      <c r="S15" s="75"/>
    </row>
    <row r="16" ht="17" customHeight="1" spans="1:19" x14ac:dyDescent="0.25">
      <c r="A16" s="75"/>
      <c r="B16" s="79"/>
      <c r="C16" s="79"/>
      <c r="D16" s="80"/>
      <c r="E16" s="80"/>
      <c r="F16" s="80"/>
      <c r="G16" s="79"/>
      <c r="H16" s="86"/>
      <c r="I16" s="86"/>
      <c r="J16" s="82"/>
      <c r="K16" s="79"/>
      <c r="L16" s="79"/>
      <c r="M16" s="82"/>
      <c r="N16" s="79"/>
      <c r="O16" s="78">
        <f>IF($B16="","",IF($L16="Yes","COMPLETE",IF($J16="","NO DATE",IF($J16&lt;TODAY(),"OVERDUE",IF($J16-TODAY()&lt;=7,"THIS WEEK","SCHEDULED")))))</f>
      </c>
      <c r="P16" s="80"/>
      <c r="Q16" s="78">
        <f>IF($B16="",0,IF(COUNTIF('DECORATING PLAN'!$B$6:$B$65,$B16)&gt;1,1,0))</f>
      </c>
      <c r="R16" s="78">
        <f>IF(OR(N($H16)&gt;0,N($I16)&gt;0),IF($G16="",1,IF(COUNTIF('MASTER BUDGET'!$D$6:$D$25,$G16)=0,1,0)),0)</f>
      </c>
      <c r="S16" s="75"/>
    </row>
    <row r="17" ht="17" customHeight="1" spans="1:19" x14ac:dyDescent="0.25">
      <c r="A17" s="75"/>
      <c r="B17" s="79"/>
      <c r="C17" s="79"/>
      <c r="D17" s="80"/>
      <c r="E17" s="80"/>
      <c r="F17" s="80"/>
      <c r="G17" s="79"/>
      <c r="H17" s="86"/>
      <c r="I17" s="86"/>
      <c r="J17" s="82"/>
      <c r="K17" s="79"/>
      <c r="L17" s="79"/>
      <c r="M17" s="82"/>
      <c r="N17" s="79"/>
      <c r="O17" s="78">
        <f>IF($B17="","",IF($L17="Yes","COMPLETE",IF($J17="","NO DATE",IF($J17&lt;TODAY(),"OVERDUE",IF($J17-TODAY()&lt;=7,"THIS WEEK","SCHEDULED")))))</f>
      </c>
      <c r="P17" s="80"/>
      <c r="Q17" s="78">
        <f>IF($B17="",0,IF(COUNTIF('DECORATING PLAN'!$B$6:$B$65,$B17)&gt;1,1,0))</f>
      </c>
      <c r="R17" s="78">
        <f>IF(OR(N($H17)&gt;0,N($I17)&gt;0),IF($G17="",1,IF(COUNTIF('MASTER BUDGET'!$D$6:$D$25,$G17)=0,1,0)),0)</f>
      </c>
      <c r="S17" s="75"/>
    </row>
    <row r="18" ht="17" customHeight="1" spans="1:19" x14ac:dyDescent="0.25">
      <c r="A18" s="75"/>
      <c r="B18" s="79"/>
      <c r="C18" s="79"/>
      <c r="D18" s="80"/>
      <c r="E18" s="80"/>
      <c r="F18" s="80"/>
      <c r="G18" s="79"/>
      <c r="H18" s="86"/>
      <c r="I18" s="86"/>
      <c r="J18" s="82"/>
      <c r="K18" s="79"/>
      <c r="L18" s="79"/>
      <c r="M18" s="82"/>
      <c r="N18" s="79"/>
      <c r="O18" s="78">
        <f>IF($B18="","",IF($L18="Yes","COMPLETE",IF($J18="","NO DATE",IF($J18&lt;TODAY(),"OVERDUE",IF($J18-TODAY()&lt;=7,"THIS WEEK","SCHEDULED")))))</f>
      </c>
      <c r="P18" s="80"/>
      <c r="Q18" s="78">
        <f>IF($B18="",0,IF(COUNTIF('DECORATING PLAN'!$B$6:$B$65,$B18)&gt;1,1,0))</f>
      </c>
      <c r="R18" s="78">
        <f>IF(OR(N($H18)&gt;0,N($I18)&gt;0),IF($G18="",1,IF(COUNTIF('MASTER BUDGET'!$D$6:$D$25,$G18)=0,1,0)),0)</f>
      </c>
      <c r="S18" s="75"/>
    </row>
    <row r="19" ht="17" customHeight="1" spans="1:19" x14ac:dyDescent="0.25">
      <c r="A19" s="75"/>
      <c r="B19" s="79"/>
      <c r="C19" s="79"/>
      <c r="D19" s="80"/>
      <c r="E19" s="80"/>
      <c r="F19" s="80"/>
      <c r="G19" s="79"/>
      <c r="H19" s="86"/>
      <c r="I19" s="86"/>
      <c r="J19" s="82"/>
      <c r="K19" s="79"/>
      <c r="L19" s="79"/>
      <c r="M19" s="82"/>
      <c r="N19" s="79"/>
      <c r="O19" s="78">
        <f>IF($B19="","",IF($L19="Yes","COMPLETE",IF($J19="","NO DATE",IF($J19&lt;TODAY(),"OVERDUE",IF($J19-TODAY()&lt;=7,"THIS WEEK","SCHEDULED")))))</f>
      </c>
      <c r="P19" s="80"/>
      <c r="Q19" s="78">
        <f>IF($B19="",0,IF(COUNTIF('DECORATING PLAN'!$B$6:$B$65,$B19)&gt;1,1,0))</f>
      </c>
      <c r="R19" s="78">
        <f>IF(OR(N($H19)&gt;0,N($I19)&gt;0),IF($G19="",1,IF(COUNTIF('MASTER BUDGET'!$D$6:$D$25,$G19)=0,1,0)),0)</f>
      </c>
      <c r="S19" s="75"/>
    </row>
    <row r="20" ht="17" customHeight="1" spans="1:19" x14ac:dyDescent="0.25">
      <c r="A20" s="75"/>
      <c r="B20" s="79"/>
      <c r="C20" s="79"/>
      <c r="D20" s="80"/>
      <c r="E20" s="80"/>
      <c r="F20" s="80"/>
      <c r="G20" s="79"/>
      <c r="H20" s="86"/>
      <c r="I20" s="86"/>
      <c r="J20" s="82"/>
      <c r="K20" s="79"/>
      <c r="L20" s="79"/>
      <c r="M20" s="82"/>
      <c r="N20" s="79"/>
      <c r="O20" s="78">
        <f>IF($B20="","",IF($L20="Yes","COMPLETE",IF($J20="","NO DATE",IF($J20&lt;TODAY(),"OVERDUE",IF($J20-TODAY()&lt;=7,"THIS WEEK","SCHEDULED")))))</f>
      </c>
      <c r="P20" s="80"/>
      <c r="Q20" s="78">
        <f>IF($B20="",0,IF(COUNTIF('DECORATING PLAN'!$B$6:$B$65,$B20)&gt;1,1,0))</f>
      </c>
      <c r="R20" s="78">
        <f>IF(OR(N($H20)&gt;0,N($I20)&gt;0),IF($G20="",1,IF(COUNTIF('MASTER BUDGET'!$D$6:$D$25,$G20)=0,1,0)),0)</f>
      </c>
      <c r="S20" s="75"/>
    </row>
    <row r="21" ht="17" customHeight="1" spans="1:19" x14ac:dyDescent="0.25">
      <c r="A21" s="75"/>
      <c r="B21" s="79"/>
      <c r="C21" s="79"/>
      <c r="D21" s="80"/>
      <c r="E21" s="80"/>
      <c r="F21" s="80"/>
      <c r="G21" s="79"/>
      <c r="H21" s="86"/>
      <c r="I21" s="86"/>
      <c r="J21" s="82"/>
      <c r="K21" s="79"/>
      <c r="L21" s="79"/>
      <c r="M21" s="82"/>
      <c r="N21" s="79"/>
      <c r="O21" s="78">
        <f>IF($B21="","",IF($L21="Yes","COMPLETE",IF($J21="","NO DATE",IF($J21&lt;TODAY(),"OVERDUE",IF($J21-TODAY()&lt;=7,"THIS WEEK","SCHEDULED")))))</f>
      </c>
      <c r="P21" s="80"/>
      <c r="Q21" s="78">
        <f>IF($B21="",0,IF(COUNTIF('DECORATING PLAN'!$B$6:$B$65,$B21)&gt;1,1,0))</f>
      </c>
      <c r="R21" s="78">
        <f>IF(OR(N($H21)&gt;0,N($I21)&gt;0),IF($G21="",1,IF(COUNTIF('MASTER BUDGET'!$D$6:$D$25,$G21)=0,1,0)),0)</f>
      </c>
      <c r="S21" s="75"/>
    </row>
    <row r="22" ht="17" customHeight="1" spans="1:19" x14ac:dyDescent="0.25">
      <c r="A22" s="75"/>
      <c r="B22" s="79"/>
      <c r="C22" s="79"/>
      <c r="D22" s="80"/>
      <c r="E22" s="80"/>
      <c r="F22" s="80"/>
      <c r="G22" s="79"/>
      <c r="H22" s="86"/>
      <c r="I22" s="86"/>
      <c r="J22" s="82"/>
      <c r="K22" s="79"/>
      <c r="L22" s="79"/>
      <c r="M22" s="82"/>
      <c r="N22" s="79"/>
      <c r="O22" s="78">
        <f>IF($B22="","",IF($L22="Yes","COMPLETE",IF($J22="","NO DATE",IF($J22&lt;TODAY(),"OVERDUE",IF($J22-TODAY()&lt;=7,"THIS WEEK","SCHEDULED")))))</f>
      </c>
      <c r="P22" s="80"/>
      <c r="Q22" s="78">
        <f>IF($B22="",0,IF(COUNTIF('DECORATING PLAN'!$B$6:$B$65,$B22)&gt;1,1,0))</f>
      </c>
      <c r="R22" s="78">
        <f>IF(OR(N($H22)&gt;0,N($I22)&gt;0),IF($G22="",1,IF(COUNTIF('MASTER BUDGET'!$D$6:$D$25,$G22)=0,1,0)),0)</f>
      </c>
      <c r="S22" s="75"/>
    </row>
    <row r="23" ht="17" customHeight="1" spans="1:19" x14ac:dyDescent="0.25">
      <c r="A23" s="75"/>
      <c r="B23" s="79"/>
      <c r="C23" s="79"/>
      <c r="D23" s="80"/>
      <c r="E23" s="80"/>
      <c r="F23" s="80"/>
      <c r="G23" s="79"/>
      <c r="H23" s="86"/>
      <c r="I23" s="86"/>
      <c r="J23" s="82"/>
      <c r="K23" s="79"/>
      <c r="L23" s="79"/>
      <c r="M23" s="82"/>
      <c r="N23" s="79"/>
      <c r="O23" s="78">
        <f>IF($B23="","",IF($L23="Yes","COMPLETE",IF($J23="","NO DATE",IF($J23&lt;TODAY(),"OVERDUE",IF($J23-TODAY()&lt;=7,"THIS WEEK","SCHEDULED")))))</f>
      </c>
      <c r="P23" s="80"/>
      <c r="Q23" s="78">
        <f>IF($B23="",0,IF(COUNTIF('DECORATING PLAN'!$B$6:$B$65,$B23)&gt;1,1,0))</f>
      </c>
      <c r="R23" s="78">
        <f>IF(OR(N($H23)&gt;0,N($I23)&gt;0),IF($G23="",1,IF(COUNTIF('MASTER BUDGET'!$D$6:$D$25,$G23)=0,1,0)),0)</f>
      </c>
      <c r="S23" s="75"/>
    </row>
    <row r="24" ht="17" customHeight="1" spans="1:19" x14ac:dyDescent="0.25">
      <c r="A24" s="75"/>
      <c r="B24" s="79"/>
      <c r="C24" s="79"/>
      <c r="D24" s="80"/>
      <c r="E24" s="80"/>
      <c r="F24" s="80"/>
      <c r="G24" s="79"/>
      <c r="H24" s="86"/>
      <c r="I24" s="86"/>
      <c r="J24" s="82"/>
      <c r="K24" s="79"/>
      <c r="L24" s="79"/>
      <c r="M24" s="82"/>
      <c r="N24" s="79"/>
      <c r="O24" s="78">
        <f>IF($B24="","",IF($L24="Yes","COMPLETE",IF($J24="","NO DATE",IF($J24&lt;TODAY(),"OVERDUE",IF($J24-TODAY()&lt;=7,"THIS WEEK","SCHEDULED")))))</f>
      </c>
      <c r="P24" s="80"/>
      <c r="Q24" s="78">
        <f>IF($B24="",0,IF(COUNTIF('DECORATING PLAN'!$B$6:$B$65,$B24)&gt;1,1,0))</f>
      </c>
      <c r="R24" s="78">
        <f>IF(OR(N($H24)&gt;0,N($I24)&gt;0),IF($G24="",1,IF(COUNTIF('MASTER BUDGET'!$D$6:$D$25,$G24)=0,1,0)),0)</f>
      </c>
      <c r="S24" s="75"/>
    </row>
    <row r="25" ht="17" customHeight="1" spans="1:19" x14ac:dyDescent="0.25">
      <c r="A25" s="75"/>
      <c r="B25" s="79"/>
      <c r="C25" s="79"/>
      <c r="D25" s="80"/>
      <c r="E25" s="80"/>
      <c r="F25" s="80"/>
      <c r="G25" s="79"/>
      <c r="H25" s="86"/>
      <c r="I25" s="86"/>
      <c r="J25" s="82"/>
      <c r="K25" s="79"/>
      <c r="L25" s="79"/>
      <c r="M25" s="82"/>
      <c r="N25" s="79"/>
      <c r="O25" s="78">
        <f>IF($B25="","",IF($L25="Yes","COMPLETE",IF($J25="","NO DATE",IF($J25&lt;TODAY(),"OVERDUE",IF($J25-TODAY()&lt;=7,"THIS WEEK","SCHEDULED")))))</f>
      </c>
      <c r="P25" s="80"/>
      <c r="Q25" s="78">
        <f>IF($B25="",0,IF(COUNTIF('DECORATING PLAN'!$B$6:$B$65,$B25)&gt;1,1,0))</f>
      </c>
      <c r="R25" s="78">
        <f>IF(OR(N($H25)&gt;0,N($I25)&gt;0),IF($G25="",1,IF(COUNTIF('MASTER BUDGET'!$D$6:$D$25,$G25)=0,1,0)),0)</f>
      </c>
      <c r="S25" s="75"/>
    </row>
    <row r="26" ht="17" customHeight="1" spans="1:19" x14ac:dyDescent="0.25">
      <c r="A26" s="75"/>
      <c r="B26" s="79"/>
      <c r="C26" s="79"/>
      <c r="D26" s="80"/>
      <c r="E26" s="80"/>
      <c r="F26" s="80"/>
      <c r="G26" s="79"/>
      <c r="H26" s="86"/>
      <c r="I26" s="86"/>
      <c r="J26" s="82"/>
      <c r="K26" s="79"/>
      <c r="L26" s="79"/>
      <c r="M26" s="82"/>
      <c r="N26" s="79"/>
      <c r="O26" s="78">
        <f>IF($B26="","",IF($L26="Yes","COMPLETE",IF($J26="","NO DATE",IF($J26&lt;TODAY(),"OVERDUE",IF($J26-TODAY()&lt;=7,"THIS WEEK","SCHEDULED")))))</f>
      </c>
      <c r="P26" s="80"/>
      <c r="Q26" s="78">
        <f>IF($B26="",0,IF(COUNTIF('DECORATING PLAN'!$B$6:$B$65,$B26)&gt;1,1,0))</f>
      </c>
      <c r="R26" s="78">
        <f>IF(OR(N($H26)&gt;0,N($I26)&gt;0),IF($G26="",1,IF(COUNTIF('MASTER BUDGET'!$D$6:$D$25,$G26)=0,1,0)),0)</f>
      </c>
      <c r="S26" s="75"/>
    </row>
    <row r="27" ht="17" customHeight="1" spans="1:19" x14ac:dyDescent="0.25">
      <c r="A27" s="75"/>
      <c r="B27" s="79"/>
      <c r="C27" s="79"/>
      <c r="D27" s="80"/>
      <c r="E27" s="80"/>
      <c r="F27" s="80"/>
      <c r="G27" s="79"/>
      <c r="H27" s="86"/>
      <c r="I27" s="86"/>
      <c r="J27" s="82"/>
      <c r="K27" s="79"/>
      <c r="L27" s="79"/>
      <c r="M27" s="82"/>
      <c r="N27" s="79"/>
      <c r="O27" s="78">
        <f>IF($B27="","",IF($L27="Yes","COMPLETE",IF($J27="","NO DATE",IF($J27&lt;TODAY(),"OVERDUE",IF($J27-TODAY()&lt;=7,"THIS WEEK","SCHEDULED")))))</f>
      </c>
      <c r="P27" s="80"/>
      <c r="Q27" s="78">
        <f>IF($B27="",0,IF(COUNTIF('DECORATING PLAN'!$B$6:$B$65,$B27)&gt;1,1,0))</f>
      </c>
      <c r="R27" s="78">
        <f>IF(OR(N($H27)&gt;0,N($I27)&gt;0),IF($G27="",1,IF(COUNTIF('MASTER BUDGET'!$D$6:$D$25,$G27)=0,1,0)),0)</f>
      </c>
      <c r="S27" s="75"/>
    </row>
    <row r="28" ht="17" customHeight="1" spans="1:19" x14ac:dyDescent="0.25">
      <c r="A28" s="75"/>
      <c r="B28" s="79"/>
      <c r="C28" s="79"/>
      <c r="D28" s="80"/>
      <c r="E28" s="80"/>
      <c r="F28" s="80"/>
      <c r="G28" s="79"/>
      <c r="H28" s="86"/>
      <c r="I28" s="86"/>
      <c r="J28" s="82"/>
      <c r="K28" s="79"/>
      <c r="L28" s="79"/>
      <c r="M28" s="82"/>
      <c r="N28" s="79"/>
      <c r="O28" s="78">
        <f>IF($B28="","",IF($L28="Yes","COMPLETE",IF($J28="","NO DATE",IF($J28&lt;TODAY(),"OVERDUE",IF($J28-TODAY()&lt;=7,"THIS WEEK","SCHEDULED")))))</f>
      </c>
      <c r="P28" s="80"/>
      <c r="Q28" s="78">
        <f>IF($B28="",0,IF(COUNTIF('DECORATING PLAN'!$B$6:$B$65,$B28)&gt;1,1,0))</f>
      </c>
      <c r="R28" s="78">
        <f>IF(OR(N($H28)&gt;0,N($I28)&gt;0),IF($G28="",1,IF(COUNTIF('MASTER BUDGET'!$D$6:$D$25,$G28)=0,1,0)),0)</f>
      </c>
      <c r="S28" s="75"/>
    </row>
    <row r="29" ht="17" customHeight="1" spans="1:19" x14ac:dyDescent="0.25">
      <c r="A29" s="75"/>
      <c r="B29" s="79"/>
      <c r="C29" s="79"/>
      <c r="D29" s="80"/>
      <c r="E29" s="80"/>
      <c r="F29" s="80"/>
      <c r="G29" s="79"/>
      <c r="H29" s="86"/>
      <c r="I29" s="86"/>
      <c r="J29" s="82"/>
      <c r="K29" s="79"/>
      <c r="L29" s="79"/>
      <c r="M29" s="82"/>
      <c r="N29" s="79"/>
      <c r="O29" s="78">
        <f>IF($B29="","",IF($L29="Yes","COMPLETE",IF($J29="","NO DATE",IF($J29&lt;TODAY(),"OVERDUE",IF($J29-TODAY()&lt;=7,"THIS WEEK","SCHEDULED")))))</f>
      </c>
      <c r="P29" s="80"/>
      <c r="Q29" s="78">
        <f>IF($B29="",0,IF(COUNTIF('DECORATING PLAN'!$B$6:$B$65,$B29)&gt;1,1,0))</f>
      </c>
      <c r="R29" s="78">
        <f>IF(OR(N($H29)&gt;0,N($I29)&gt;0),IF($G29="",1,IF(COUNTIF('MASTER BUDGET'!$D$6:$D$25,$G29)=0,1,0)),0)</f>
      </c>
      <c r="S29" s="75"/>
    </row>
    <row r="30" ht="17" customHeight="1" spans="1:19" x14ac:dyDescent="0.25">
      <c r="A30" s="75"/>
      <c r="B30" s="79"/>
      <c r="C30" s="79"/>
      <c r="D30" s="80"/>
      <c r="E30" s="80"/>
      <c r="F30" s="80"/>
      <c r="G30" s="79"/>
      <c r="H30" s="86"/>
      <c r="I30" s="86"/>
      <c r="J30" s="82"/>
      <c r="K30" s="79"/>
      <c r="L30" s="79"/>
      <c r="M30" s="82"/>
      <c r="N30" s="79"/>
      <c r="O30" s="78">
        <f>IF($B30="","",IF($L30="Yes","COMPLETE",IF($J30="","NO DATE",IF($J30&lt;TODAY(),"OVERDUE",IF($J30-TODAY()&lt;=7,"THIS WEEK","SCHEDULED")))))</f>
      </c>
      <c r="P30" s="80"/>
      <c r="Q30" s="78">
        <f>IF($B30="",0,IF(COUNTIF('DECORATING PLAN'!$B$6:$B$65,$B30)&gt;1,1,0))</f>
      </c>
      <c r="R30" s="78">
        <f>IF(OR(N($H30)&gt;0,N($I30)&gt;0),IF($G30="",1,IF(COUNTIF('MASTER BUDGET'!$D$6:$D$25,$G30)=0,1,0)),0)</f>
      </c>
      <c r="S30" s="75"/>
    </row>
    <row r="31" ht="17" customHeight="1" spans="1:19" x14ac:dyDescent="0.25">
      <c r="A31" s="75"/>
      <c r="B31" s="79"/>
      <c r="C31" s="79"/>
      <c r="D31" s="80"/>
      <c r="E31" s="80"/>
      <c r="F31" s="80"/>
      <c r="G31" s="79"/>
      <c r="H31" s="86"/>
      <c r="I31" s="86"/>
      <c r="J31" s="82"/>
      <c r="K31" s="79"/>
      <c r="L31" s="79"/>
      <c r="M31" s="82"/>
      <c r="N31" s="79"/>
      <c r="O31" s="78">
        <f>IF($B31="","",IF($L31="Yes","COMPLETE",IF($J31="","NO DATE",IF($J31&lt;TODAY(),"OVERDUE",IF($J31-TODAY()&lt;=7,"THIS WEEK","SCHEDULED")))))</f>
      </c>
      <c r="P31" s="80"/>
      <c r="Q31" s="78">
        <f>IF($B31="",0,IF(COUNTIF('DECORATING PLAN'!$B$6:$B$65,$B31)&gt;1,1,0))</f>
      </c>
      <c r="R31" s="78">
        <f>IF(OR(N($H31)&gt;0,N($I31)&gt;0),IF($G31="",1,IF(COUNTIF('MASTER BUDGET'!$D$6:$D$25,$G31)=0,1,0)),0)</f>
      </c>
      <c r="S31" s="75"/>
    </row>
    <row r="32" ht="17" customHeight="1" spans="1:19" x14ac:dyDescent="0.25">
      <c r="A32" s="75"/>
      <c r="B32" s="79"/>
      <c r="C32" s="79"/>
      <c r="D32" s="80"/>
      <c r="E32" s="80"/>
      <c r="F32" s="80"/>
      <c r="G32" s="79"/>
      <c r="H32" s="86"/>
      <c r="I32" s="86"/>
      <c r="J32" s="82"/>
      <c r="K32" s="79"/>
      <c r="L32" s="79"/>
      <c r="M32" s="82"/>
      <c r="N32" s="79"/>
      <c r="O32" s="78">
        <f>IF($B32="","",IF($L32="Yes","COMPLETE",IF($J32="","NO DATE",IF($J32&lt;TODAY(),"OVERDUE",IF($J32-TODAY()&lt;=7,"THIS WEEK","SCHEDULED")))))</f>
      </c>
      <c r="P32" s="80"/>
      <c r="Q32" s="78">
        <f>IF($B32="",0,IF(COUNTIF('DECORATING PLAN'!$B$6:$B$65,$B32)&gt;1,1,0))</f>
      </c>
      <c r="R32" s="78">
        <f>IF(OR(N($H32)&gt;0,N($I32)&gt;0),IF($G32="",1,IF(COUNTIF('MASTER BUDGET'!$D$6:$D$25,$G32)=0,1,0)),0)</f>
      </c>
      <c r="S32" s="75"/>
    </row>
    <row r="33" ht="17" customHeight="1" spans="1:19" x14ac:dyDescent="0.25">
      <c r="A33" s="75"/>
      <c r="B33" s="79"/>
      <c r="C33" s="79"/>
      <c r="D33" s="80"/>
      <c r="E33" s="80"/>
      <c r="F33" s="80"/>
      <c r="G33" s="79"/>
      <c r="H33" s="86"/>
      <c r="I33" s="86"/>
      <c r="J33" s="82"/>
      <c r="K33" s="79"/>
      <c r="L33" s="79"/>
      <c r="M33" s="82"/>
      <c r="N33" s="79"/>
      <c r="O33" s="78">
        <f>IF($B33="","",IF($L33="Yes","COMPLETE",IF($J33="","NO DATE",IF($J33&lt;TODAY(),"OVERDUE",IF($J33-TODAY()&lt;=7,"THIS WEEK","SCHEDULED")))))</f>
      </c>
      <c r="P33" s="80"/>
      <c r="Q33" s="78">
        <f>IF($B33="",0,IF(COUNTIF('DECORATING PLAN'!$B$6:$B$65,$B33)&gt;1,1,0))</f>
      </c>
      <c r="R33" s="78">
        <f>IF(OR(N($H33)&gt;0,N($I33)&gt;0),IF($G33="",1,IF(COUNTIF('MASTER BUDGET'!$D$6:$D$25,$G33)=0,1,0)),0)</f>
      </c>
      <c r="S33" s="75"/>
    </row>
    <row r="34" ht="17" customHeight="1" spans="1:19" x14ac:dyDescent="0.25">
      <c r="A34" s="75"/>
      <c r="B34" s="79"/>
      <c r="C34" s="79"/>
      <c r="D34" s="80"/>
      <c r="E34" s="80"/>
      <c r="F34" s="80"/>
      <c r="G34" s="79"/>
      <c r="H34" s="86"/>
      <c r="I34" s="86"/>
      <c r="J34" s="82"/>
      <c r="K34" s="79"/>
      <c r="L34" s="79"/>
      <c r="M34" s="82"/>
      <c r="N34" s="79"/>
      <c r="O34" s="78">
        <f>IF($B34="","",IF($L34="Yes","COMPLETE",IF($J34="","NO DATE",IF($J34&lt;TODAY(),"OVERDUE",IF($J34-TODAY()&lt;=7,"THIS WEEK","SCHEDULED")))))</f>
      </c>
      <c r="P34" s="80"/>
      <c r="Q34" s="78">
        <f>IF($B34="",0,IF(COUNTIF('DECORATING PLAN'!$B$6:$B$65,$B34)&gt;1,1,0))</f>
      </c>
      <c r="R34" s="78">
        <f>IF(OR(N($H34)&gt;0,N($I34)&gt;0),IF($G34="",1,IF(COUNTIF('MASTER BUDGET'!$D$6:$D$25,$G34)=0,1,0)),0)</f>
      </c>
      <c r="S34" s="75"/>
    </row>
    <row r="35" ht="17" customHeight="1" spans="1:19" x14ac:dyDescent="0.25">
      <c r="A35" s="75"/>
      <c r="B35" s="79"/>
      <c r="C35" s="79"/>
      <c r="D35" s="80"/>
      <c r="E35" s="80"/>
      <c r="F35" s="80"/>
      <c r="G35" s="79"/>
      <c r="H35" s="86"/>
      <c r="I35" s="86"/>
      <c r="J35" s="82"/>
      <c r="K35" s="79"/>
      <c r="L35" s="79"/>
      <c r="M35" s="82"/>
      <c r="N35" s="79"/>
      <c r="O35" s="78">
        <f>IF($B35="","",IF($L35="Yes","COMPLETE",IF($J35="","NO DATE",IF($J35&lt;TODAY(),"OVERDUE",IF($J35-TODAY()&lt;=7,"THIS WEEK","SCHEDULED")))))</f>
      </c>
      <c r="P35" s="80"/>
      <c r="Q35" s="78">
        <f>IF($B35="",0,IF(COUNTIF('DECORATING PLAN'!$B$6:$B$65,$B35)&gt;1,1,0))</f>
      </c>
      <c r="R35" s="78">
        <f>IF(OR(N($H35)&gt;0,N($I35)&gt;0),IF($G35="",1,IF(COUNTIF('MASTER BUDGET'!$D$6:$D$25,$G35)=0,1,0)),0)</f>
      </c>
      <c r="S35" s="75"/>
    </row>
    <row r="36" ht="17" customHeight="1" spans="1:19" x14ac:dyDescent="0.25">
      <c r="A36" s="75"/>
      <c r="B36" s="79"/>
      <c r="C36" s="79"/>
      <c r="D36" s="80"/>
      <c r="E36" s="80"/>
      <c r="F36" s="80"/>
      <c r="G36" s="79"/>
      <c r="H36" s="86"/>
      <c r="I36" s="86"/>
      <c r="J36" s="82"/>
      <c r="K36" s="79"/>
      <c r="L36" s="79"/>
      <c r="M36" s="82"/>
      <c r="N36" s="79"/>
      <c r="O36" s="78">
        <f>IF($B36="","",IF($L36="Yes","COMPLETE",IF($J36="","NO DATE",IF($J36&lt;TODAY(),"OVERDUE",IF($J36-TODAY()&lt;=7,"THIS WEEK","SCHEDULED")))))</f>
      </c>
      <c r="P36" s="80"/>
      <c r="Q36" s="78">
        <f>IF($B36="",0,IF(COUNTIF('DECORATING PLAN'!$B$6:$B$65,$B36)&gt;1,1,0))</f>
      </c>
      <c r="R36" s="78">
        <f>IF(OR(N($H36)&gt;0,N($I36)&gt;0),IF($G36="",1,IF(COUNTIF('MASTER BUDGET'!$D$6:$D$25,$G36)=0,1,0)),0)</f>
      </c>
      <c r="S36" s="75"/>
    </row>
    <row r="37" ht="17" customHeight="1" spans="1:19" x14ac:dyDescent="0.25">
      <c r="A37" s="75"/>
      <c r="B37" s="79"/>
      <c r="C37" s="79"/>
      <c r="D37" s="80"/>
      <c r="E37" s="80"/>
      <c r="F37" s="80"/>
      <c r="G37" s="79"/>
      <c r="H37" s="86"/>
      <c r="I37" s="86"/>
      <c r="J37" s="82"/>
      <c r="K37" s="79"/>
      <c r="L37" s="79"/>
      <c r="M37" s="82"/>
      <c r="N37" s="79"/>
      <c r="O37" s="78">
        <f>IF($B37="","",IF($L37="Yes","COMPLETE",IF($J37="","NO DATE",IF($J37&lt;TODAY(),"OVERDUE",IF($J37-TODAY()&lt;=7,"THIS WEEK","SCHEDULED")))))</f>
      </c>
      <c r="P37" s="80"/>
      <c r="Q37" s="78">
        <f>IF($B37="",0,IF(COUNTIF('DECORATING PLAN'!$B$6:$B$65,$B37)&gt;1,1,0))</f>
      </c>
      <c r="R37" s="78">
        <f>IF(OR(N($H37)&gt;0,N($I37)&gt;0),IF($G37="",1,IF(COUNTIF('MASTER BUDGET'!$D$6:$D$25,$G37)=0,1,0)),0)</f>
      </c>
      <c r="S37" s="75"/>
    </row>
    <row r="38" ht="17" customHeight="1" spans="1:19" x14ac:dyDescent="0.25">
      <c r="A38" s="75"/>
      <c r="B38" s="79"/>
      <c r="C38" s="79"/>
      <c r="D38" s="80"/>
      <c r="E38" s="80"/>
      <c r="F38" s="80"/>
      <c r="G38" s="79"/>
      <c r="H38" s="86"/>
      <c r="I38" s="86"/>
      <c r="J38" s="82"/>
      <c r="K38" s="79"/>
      <c r="L38" s="79"/>
      <c r="M38" s="82"/>
      <c r="N38" s="79"/>
      <c r="O38" s="78">
        <f>IF($B38="","",IF($L38="Yes","COMPLETE",IF($J38="","NO DATE",IF($J38&lt;TODAY(),"OVERDUE",IF($J38-TODAY()&lt;=7,"THIS WEEK","SCHEDULED")))))</f>
      </c>
      <c r="P38" s="80"/>
      <c r="Q38" s="78">
        <f>IF($B38="",0,IF(COUNTIF('DECORATING PLAN'!$B$6:$B$65,$B38)&gt;1,1,0))</f>
      </c>
      <c r="R38" s="78">
        <f>IF(OR(N($H38)&gt;0,N($I38)&gt;0),IF($G38="",1,IF(COUNTIF('MASTER BUDGET'!$D$6:$D$25,$G38)=0,1,0)),0)</f>
      </c>
      <c r="S38" s="75"/>
    </row>
    <row r="39" ht="17" customHeight="1" spans="1:19" x14ac:dyDescent="0.25">
      <c r="A39" s="75"/>
      <c r="B39" s="79"/>
      <c r="C39" s="79"/>
      <c r="D39" s="80"/>
      <c r="E39" s="80"/>
      <c r="F39" s="80"/>
      <c r="G39" s="79"/>
      <c r="H39" s="86"/>
      <c r="I39" s="86"/>
      <c r="J39" s="82"/>
      <c r="K39" s="79"/>
      <c r="L39" s="79"/>
      <c r="M39" s="82"/>
      <c r="N39" s="79"/>
      <c r="O39" s="78">
        <f>IF($B39="","",IF($L39="Yes","COMPLETE",IF($J39="","NO DATE",IF($J39&lt;TODAY(),"OVERDUE",IF($J39-TODAY()&lt;=7,"THIS WEEK","SCHEDULED")))))</f>
      </c>
      <c r="P39" s="80"/>
      <c r="Q39" s="78">
        <f>IF($B39="",0,IF(COUNTIF('DECORATING PLAN'!$B$6:$B$65,$B39)&gt;1,1,0))</f>
      </c>
      <c r="R39" s="78">
        <f>IF(OR(N($H39)&gt;0,N($I39)&gt;0),IF($G39="",1,IF(COUNTIF('MASTER BUDGET'!$D$6:$D$25,$G39)=0,1,0)),0)</f>
      </c>
      <c r="S39" s="75"/>
    </row>
    <row r="40" ht="17" customHeight="1" spans="1:19" x14ac:dyDescent="0.25">
      <c r="A40" s="75"/>
      <c r="B40" s="79"/>
      <c r="C40" s="79"/>
      <c r="D40" s="80"/>
      <c r="E40" s="80"/>
      <c r="F40" s="80"/>
      <c r="G40" s="79"/>
      <c r="H40" s="86"/>
      <c r="I40" s="86"/>
      <c r="J40" s="82"/>
      <c r="K40" s="79"/>
      <c r="L40" s="79"/>
      <c r="M40" s="82"/>
      <c r="N40" s="79"/>
      <c r="O40" s="78">
        <f>IF($B40="","",IF($L40="Yes","COMPLETE",IF($J40="","NO DATE",IF($J40&lt;TODAY(),"OVERDUE",IF($J40-TODAY()&lt;=7,"THIS WEEK","SCHEDULED")))))</f>
      </c>
      <c r="P40" s="80"/>
      <c r="Q40" s="78">
        <f>IF($B40="",0,IF(COUNTIF('DECORATING PLAN'!$B$6:$B$65,$B40)&gt;1,1,0))</f>
      </c>
      <c r="R40" s="78">
        <f>IF(OR(N($H40)&gt;0,N($I40)&gt;0),IF($G40="",1,IF(COUNTIF('MASTER BUDGET'!$D$6:$D$25,$G40)=0,1,0)),0)</f>
      </c>
      <c r="S40" s="75"/>
    </row>
    <row r="41" ht="17" customHeight="1" spans="1:19" x14ac:dyDescent="0.25">
      <c r="A41" s="75"/>
      <c r="B41" s="79"/>
      <c r="C41" s="79"/>
      <c r="D41" s="80"/>
      <c r="E41" s="80"/>
      <c r="F41" s="80"/>
      <c r="G41" s="79"/>
      <c r="H41" s="86"/>
      <c r="I41" s="86"/>
      <c r="J41" s="82"/>
      <c r="K41" s="79"/>
      <c r="L41" s="79"/>
      <c r="M41" s="82"/>
      <c r="N41" s="79"/>
      <c r="O41" s="78">
        <f>IF($B41="","",IF($L41="Yes","COMPLETE",IF($J41="","NO DATE",IF($J41&lt;TODAY(),"OVERDUE",IF($J41-TODAY()&lt;=7,"THIS WEEK","SCHEDULED")))))</f>
      </c>
      <c r="P41" s="80"/>
      <c r="Q41" s="78">
        <f>IF($B41="",0,IF(COUNTIF('DECORATING PLAN'!$B$6:$B$65,$B41)&gt;1,1,0))</f>
      </c>
      <c r="R41" s="78">
        <f>IF(OR(N($H41)&gt;0,N($I41)&gt;0),IF($G41="",1,IF(COUNTIF('MASTER BUDGET'!$D$6:$D$25,$G41)=0,1,0)),0)</f>
      </c>
      <c r="S41" s="75"/>
    </row>
    <row r="42" ht="17" customHeight="1" spans="1:19" x14ac:dyDescent="0.25">
      <c r="A42" s="75"/>
      <c r="B42" s="79"/>
      <c r="C42" s="79"/>
      <c r="D42" s="80"/>
      <c r="E42" s="80"/>
      <c r="F42" s="80"/>
      <c r="G42" s="79"/>
      <c r="H42" s="86"/>
      <c r="I42" s="86"/>
      <c r="J42" s="82"/>
      <c r="K42" s="79"/>
      <c r="L42" s="79"/>
      <c r="M42" s="82"/>
      <c r="N42" s="79"/>
      <c r="O42" s="78">
        <f>IF($B42="","",IF($L42="Yes","COMPLETE",IF($J42="","NO DATE",IF($J42&lt;TODAY(),"OVERDUE",IF($J42-TODAY()&lt;=7,"THIS WEEK","SCHEDULED")))))</f>
      </c>
      <c r="P42" s="80"/>
      <c r="Q42" s="78">
        <f>IF($B42="",0,IF(COUNTIF('DECORATING PLAN'!$B$6:$B$65,$B42)&gt;1,1,0))</f>
      </c>
      <c r="R42" s="78">
        <f>IF(OR(N($H42)&gt;0,N($I42)&gt;0),IF($G42="",1,IF(COUNTIF('MASTER BUDGET'!$D$6:$D$25,$G42)=0,1,0)),0)</f>
      </c>
      <c r="S42" s="75"/>
    </row>
    <row r="43" ht="17" customHeight="1" spans="1:19" x14ac:dyDescent="0.25">
      <c r="A43" s="75"/>
      <c r="B43" s="79"/>
      <c r="C43" s="79"/>
      <c r="D43" s="80"/>
      <c r="E43" s="80"/>
      <c r="F43" s="80"/>
      <c r="G43" s="79"/>
      <c r="H43" s="86"/>
      <c r="I43" s="86"/>
      <c r="J43" s="82"/>
      <c r="K43" s="79"/>
      <c r="L43" s="79"/>
      <c r="M43" s="82"/>
      <c r="N43" s="79"/>
      <c r="O43" s="78">
        <f>IF($B43="","",IF($L43="Yes","COMPLETE",IF($J43="","NO DATE",IF($J43&lt;TODAY(),"OVERDUE",IF($J43-TODAY()&lt;=7,"THIS WEEK","SCHEDULED")))))</f>
      </c>
      <c r="P43" s="80"/>
      <c r="Q43" s="78">
        <f>IF($B43="",0,IF(COUNTIF('DECORATING PLAN'!$B$6:$B$65,$B43)&gt;1,1,0))</f>
      </c>
      <c r="R43" s="78">
        <f>IF(OR(N($H43)&gt;0,N($I43)&gt;0),IF($G43="",1,IF(COUNTIF('MASTER BUDGET'!$D$6:$D$25,$G43)=0,1,0)),0)</f>
      </c>
      <c r="S43" s="75"/>
    </row>
    <row r="44" ht="17" customHeight="1" spans="1:19" x14ac:dyDescent="0.25">
      <c r="A44" s="75"/>
      <c r="B44" s="79"/>
      <c r="C44" s="79"/>
      <c r="D44" s="80"/>
      <c r="E44" s="80"/>
      <c r="F44" s="80"/>
      <c r="G44" s="79"/>
      <c r="H44" s="86"/>
      <c r="I44" s="86"/>
      <c r="J44" s="82"/>
      <c r="K44" s="79"/>
      <c r="L44" s="79"/>
      <c r="M44" s="82"/>
      <c r="N44" s="79"/>
      <c r="O44" s="78">
        <f>IF($B44="","",IF($L44="Yes","COMPLETE",IF($J44="","NO DATE",IF($J44&lt;TODAY(),"OVERDUE",IF($J44-TODAY()&lt;=7,"THIS WEEK","SCHEDULED")))))</f>
      </c>
      <c r="P44" s="80"/>
      <c r="Q44" s="78">
        <f>IF($B44="",0,IF(COUNTIF('DECORATING PLAN'!$B$6:$B$65,$B44)&gt;1,1,0))</f>
      </c>
      <c r="R44" s="78">
        <f>IF(OR(N($H44)&gt;0,N($I44)&gt;0),IF($G44="",1,IF(COUNTIF('MASTER BUDGET'!$D$6:$D$25,$G44)=0,1,0)),0)</f>
      </c>
      <c r="S44" s="75"/>
    </row>
    <row r="45" ht="17" customHeight="1" spans="1:19" x14ac:dyDescent="0.25">
      <c r="A45" s="75"/>
      <c r="B45" s="79"/>
      <c r="C45" s="79"/>
      <c r="D45" s="80"/>
      <c r="E45" s="80"/>
      <c r="F45" s="80"/>
      <c r="G45" s="79"/>
      <c r="H45" s="86"/>
      <c r="I45" s="86"/>
      <c r="J45" s="82"/>
      <c r="K45" s="79"/>
      <c r="L45" s="79"/>
      <c r="M45" s="82"/>
      <c r="N45" s="79"/>
      <c r="O45" s="78">
        <f>IF($B45="","",IF($L45="Yes","COMPLETE",IF($J45="","NO DATE",IF($J45&lt;TODAY(),"OVERDUE",IF($J45-TODAY()&lt;=7,"THIS WEEK","SCHEDULED")))))</f>
      </c>
      <c r="P45" s="80"/>
      <c r="Q45" s="78">
        <f>IF($B45="",0,IF(COUNTIF('DECORATING PLAN'!$B$6:$B$65,$B45)&gt;1,1,0))</f>
      </c>
      <c r="R45" s="78">
        <f>IF(OR(N($H45)&gt;0,N($I45)&gt;0),IF($G45="",1,IF(COUNTIF('MASTER BUDGET'!$D$6:$D$25,$G45)=0,1,0)),0)</f>
      </c>
      <c r="S45" s="75"/>
    </row>
    <row r="46" ht="17" customHeight="1" spans="1:19" x14ac:dyDescent="0.25">
      <c r="A46" s="75"/>
      <c r="B46" s="79"/>
      <c r="C46" s="79"/>
      <c r="D46" s="80"/>
      <c r="E46" s="80"/>
      <c r="F46" s="80"/>
      <c r="G46" s="79"/>
      <c r="H46" s="86"/>
      <c r="I46" s="86"/>
      <c r="J46" s="82"/>
      <c r="K46" s="79"/>
      <c r="L46" s="79"/>
      <c r="M46" s="82"/>
      <c r="N46" s="79"/>
      <c r="O46" s="78">
        <f>IF($B46="","",IF($L46="Yes","COMPLETE",IF($J46="","NO DATE",IF($J46&lt;TODAY(),"OVERDUE",IF($J46-TODAY()&lt;=7,"THIS WEEK","SCHEDULED")))))</f>
      </c>
      <c r="P46" s="80"/>
      <c r="Q46" s="78">
        <f>IF($B46="",0,IF(COUNTIF('DECORATING PLAN'!$B$6:$B$65,$B46)&gt;1,1,0))</f>
      </c>
      <c r="R46" s="78">
        <f>IF(OR(N($H46)&gt;0,N($I46)&gt;0),IF($G46="",1,IF(COUNTIF('MASTER BUDGET'!$D$6:$D$25,$G46)=0,1,0)),0)</f>
      </c>
      <c r="S46" s="75"/>
    </row>
    <row r="47" ht="17" customHeight="1" spans="1:19" x14ac:dyDescent="0.25">
      <c r="A47" s="75"/>
      <c r="B47" s="79"/>
      <c r="C47" s="79"/>
      <c r="D47" s="80"/>
      <c r="E47" s="80"/>
      <c r="F47" s="80"/>
      <c r="G47" s="79"/>
      <c r="H47" s="86"/>
      <c r="I47" s="86"/>
      <c r="J47" s="82"/>
      <c r="K47" s="79"/>
      <c r="L47" s="79"/>
      <c r="M47" s="82"/>
      <c r="N47" s="79"/>
      <c r="O47" s="78">
        <f>IF($B47="","",IF($L47="Yes","COMPLETE",IF($J47="","NO DATE",IF($J47&lt;TODAY(),"OVERDUE",IF($J47-TODAY()&lt;=7,"THIS WEEK","SCHEDULED")))))</f>
      </c>
      <c r="P47" s="80"/>
      <c r="Q47" s="78">
        <f>IF($B47="",0,IF(COUNTIF('DECORATING PLAN'!$B$6:$B$65,$B47)&gt;1,1,0))</f>
      </c>
      <c r="R47" s="78">
        <f>IF(OR(N($H47)&gt;0,N($I47)&gt;0),IF($G47="",1,IF(COUNTIF('MASTER BUDGET'!$D$6:$D$25,$G47)=0,1,0)),0)</f>
      </c>
      <c r="S47" s="75"/>
    </row>
    <row r="48" ht="17" customHeight="1" spans="1:19" x14ac:dyDescent="0.25">
      <c r="A48" s="75"/>
      <c r="B48" s="79"/>
      <c r="C48" s="79"/>
      <c r="D48" s="80"/>
      <c r="E48" s="80"/>
      <c r="F48" s="80"/>
      <c r="G48" s="79"/>
      <c r="H48" s="86"/>
      <c r="I48" s="86"/>
      <c r="J48" s="82"/>
      <c r="K48" s="79"/>
      <c r="L48" s="79"/>
      <c r="M48" s="82"/>
      <c r="N48" s="79"/>
      <c r="O48" s="78">
        <f>IF($B48="","",IF($L48="Yes","COMPLETE",IF($J48="","NO DATE",IF($J48&lt;TODAY(),"OVERDUE",IF($J48-TODAY()&lt;=7,"THIS WEEK","SCHEDULED")))))</f>
      </c>
      <c r="P48" s="80"/>
      <c r="Q48" s="78">
        <f>IF($B48="",0,IF(COUNTIF('DECORATING PLAN'!$B$6:$B$65,$B48)&gt;1,1,0))</f>
      </c>
      <c r="R48" s="78">
        <f>IF(OR(N($H48)&gt;0,N($I48)&gt;0),IF($G48="",1,IF(COUNTIF('MASTER BUDGET'!$D$6:$D$25,$G48)=0,1,0)),0)</f>
      </c>
      <c r="S48" s="75"/>
    </row>
    <row r="49" ht="17" customHeight="1" spans="1:19" x14ac:dyDescent="0.25">
      <c r="A49" s="75"/>
      <c r="B49" s="79"/>
      <c r="C49" s="79"/>
      <c r="D49" s="80"/>
      <c r="E49" s="80"/>
      <c r="F49" s="80"/>
      <c r="G49" s="79"/>
      <c r="H49" s="86"/>
      <c r="I49" s="86"/>
      <c r="J49" s="82"/>
      <c r="K49" s="79"/>
      <c r="L49" s="79"/>
      <c r="M49" s="82"/>
      <c r="N49" s="79"/>
      <c r="O49" s="78">
        <f>IF($B49="","",IF($L49="Yes","COMPLETE",IF($J49="","NO DATE",IF($J49&lt;TODAY(),"OVERDUE",IF($J49-TODAY()&lt;=7,"THIS WEEK","SCHEDULED")))))</f>
      </c>
      <c r="P49" s="80"/>
      <c r="Q49" s="78">
        <f>IF($B49="",0,IF(COUNTIF('DECORATING PLAN'!$B$6:$B$65,$B49)&gt;1,1,0))</f>
      </c>
      <c r="R49" s="78">
        <f>IF(OR(N($H49)&gt;0,N($I49)&gt;0),IF($G49="",1,IF(COUNTIF('MASTER BUDGET'!$D$6:$D$25,$G49)=0,1,0)),0)</f>
      </c>
      <c r="S49" s="75"/>
    </row>
    <row r="50" ht="17" customHeight="1" spans="1:19" x14ac:dyDescent="0.25">
      <c r="A50" s="75"/>
      <c r="B50" s="79"/>
      <c r="C50" s="79"/>
      <c r="D50" s="80"/>
      <c r="E50" s="80"/>
      <c r="F50" s="80"/>
      <c r="G50" s="79"/>
      <c r="H50" s="86"/>
      <c r="I50" s="86"/>
      <c r="J50" s="82"/>
      <c r="K50" s="79"/>
      <c r="L50" s="79"/>
      <c r="M50" s="82"/>
      <c r="N50" s="79"/>
      <c r="O50" s="78">
        <f>IF($B50="","",IF($L50="Yes","COMPLETE",IF($J50="","NO DATE",IF($J50&lt;TODAY(),"OVERDUE",IF($J50-TODAY()&lt;=7,"THIS WEEK","SCHEDULED")))))</f>
      </c>
      <c r="P50" s="80"/>
      <c r="Q50" s="78">
        <f>IF($B50="",0,IF(COUNTIF('DECORATING PLAN'!$B$6:$B$65,$B50)&gt;1,1,0))</f>
      </c>
      <c r="R50" s="78">
        <f>IF(OR(N($H50)&gt;0,N($I50)&gt;0),IF($G50="",1,IF(COUNTIF('MASTER BUDGET'!$D$6:$D$25,$G50)=0,1,0)),0)</f>
      </c>
      <c r="S50" s="75"/>
    </row>
    <row r="51" ht="17" customHeight="1" spans="1:19" x14ac:dyDescent="0.25">
      <c r="A51" s="75"/>
      <c r="B51" s="79"/>
      <c r="C51" s="79"/>
      <c r="D51" s="80"/>
      <c r="E51" s="80"/>
      <c r="F51" s="80"/>
      <c r="G51" s="79"/>
      <c r="H51" s="86"/>
      <c r="I51" s="86"/>
      <c r="J51" s="82"/>
      <c r="K51" s="79"/>
      <c r="L51" s="79"/>
      <c r="M51" s="82"/>
      <c r="N51" s="79"/>
      <c r="O51" s="78">
        <f>IF($B51="","",IF($L51="Yes","COMPLETE",IF($J51="","NO DATE",IF($J51&lt;TODAY(),"OVERDUE",IF($J51-TODAY()&lt;=7,"THIS WEEK","SCHEDULED")))))</f>
      </c>
      <c r="P51" s="80"/>
      <c r="Q51" s="78">
        <f>IF($B51="",0,IF(COUNTIF('DECORATING PLAN'!$B$6:$B$65,$B51)&gt;1,1,0))</f>
      </c>
      <c r="R51" s="78">
        <f>IF(OR(N($H51)&gt;0,N($I51)&gt;0),IF($G51="",1,IF(COUNTIF('MASTER BUDGET'!$D$6:$D$25,$G51)=0,1,0)),0)</f>
      </c>
      <c r="S51" s="75"/>
    </row>
    <row r="52" ht="17" customHeight="1" spans="1:19" x14ac:dyDescent="0.25">
      <c r="A52" s="75"/>
      <c r="B52" s="79"/>
      <c r="C52" s="79"/>
      <c r="D52" s="80"/>
      <c r="E52" s="80"/>
      <c r="F52" s="80"/>
      <c r="G52" s="79"/>
      <c r="H52" s="86"/>
      <c r="I52" s="86"/>
      <c r="J52" s="82"/>
      <c r="K52" s="79"/>
      <c r="L52" s="79"/>
      <c r="M52" s="82"/>
      <c r="N52" s="79"/>
      <c r="O52" s="78">
        <f>IF($B52="","",IF($L52="Yes","COMPLETE",IF($J52="","NO DATE",IF($J52&lt;TODAY(),"OVERDUE",IF($J52-TODAY()&lt;=7,"THIS WEEK","SCHEDULED")))))</f>
      </c>
      <c r="P52" s="80"/>
      <c r="Q52" s="78">
        <f>IF($B52="",0,IF(COUNTIF('DECORATING PLAN'!$B$6:$B$65,$B52)&gt;1,1,0))</f>
      </c>
      <c r="R52" s="78">
        <f>IF(OR(N($H52)&gt;0,N($I52)&gt;0),IF($G52="",1,IF(COUNTIF('MASTER BUDGET'!$D$6:$D$25,$G52)=0,1,0)),0)</f>
      </c>
      <c r="S52" s="75"/>
    </row>
    <row r="53" ht="17" customHeight="1" spans="1:19" x14ac:dyDescent="0.25">
      <c r="A53" s="75"/>
      <c r="B53" s="79"/>
      <c r="C53" s="79"/>
      <c r="D53" s="80"/>
      <c r="E53" s="80"/>
      <c r="F53" s="80"/>
      <c r="G53" s="79"/>
      <c r="H53" s="86"/>
      <c r="I53" s="86"/>
      <c r="J53" s="82"/>
      <c r="K53" s="79"/>
      <c r="L53" s="79"/>
      <c r="M53" s="82"/>
      <c r="N53" s="79"/>
      <c r="O53" s="78">
        <f>IF($B53="","",IF($L53="Yes","COMPLETE",IF($J53="","NO DATE",IF($J53&lt;TODAY(),"OVERDUE",IF($J53-TODAY()&lt;=7,"THIS WEEK","SCHEDULED")))))</f>
      </c>
      <c r="P53" s="80"/>
      <c r="Q53" s="78">
        <f>IF($B53="",0,IF(COUNTIF('DECORATING PLAN'!$B$6:$B$65,$B53)&gt;1,1,0))</f>
      </c>
      <c r="R53" s="78">
        <f>IF(OR(N($H53)&gt;0,N($I53)&gt;0),IF($G53="",1,IF(COUNTIF('MASTER BUDGET'!$D$6:$D$25,$G53)=0,1,0)),0)</f>
      </c>
      <c r="S53" s="75"/>
    </row>
    <row r="54" ht="17" customHeight="1" spans="1:19" x14ac:dyDescent="0.25">
      <c r="A54" s="75"/>
      <c r="B54" s="79"/>
      <c r="C54" s="79"/>
      <c r="D54" s="80"/>
      <c r="E54" s="80"/>
      <c r="F54" s="80"/>
      <c r="G54" s="79"/>
      <c r="H54" s="86"/>
      <c r="I54" s="86"/>
      <c r="J54" s="82"/>
      <c r="K54" s="79"/>
      <c r="L54" s="79"/>
      <c r="M54" s="82"/>
      <c r="N54" s="79"/>
      <c r="O54" s="78">
        <f>IF($B54="","",IF($L54="Yes","COMPLETE",IF($J54="","NO DATE",IF($J54&lt;TODAY(),"OVERDUE",IF($J54-TODAY()&lt;=7,"THIS WEEK","SCHEDULED")))))</f>
      </c>
      <c r="P54" s="80"/>
      <c r="Q54" s="78">
        <f>IF($B54="",0,IF(COUNTIF('DECORATING PLAN'!$B$6:$B$65,$B54)&gt;1,1,0))</f>
      </c>
      <c r="R54" s="78">
        <f>IF(OR(N($H54)&gt;0,N($I54)&gt;0),IF($G54="",1,IF(COUNTIF('MASTER BUDGET'!$D$6:$D$25,$G54)=0,1,0)),0)</f>
      </c>
      <c r="S54" s="75"/>
    </row>
    <row r="55" ht="17" customHeight="1" spans="1:19" x14ac:dyDescent="0.25">
      <c r="A55" s="75"/>
      <c r="B55" s="79"/>
      <c r="C55" s="79"/>
      <c r="D55" s="80"/>
      <c r="E55" s="80"/>
      <c r="F55" s="80"/>
      <c r="G55" s="79"/>
      <c r="H55" s="86"/>
      <c r="I55" s="86"/>
      <c r="J55" s="82"/>
      <c r="K55" s="79"/>
      <c r="L55" s="79"/>
      <c r="M55" s="82"/>
      <c r="N55" s="79"/>
      <c r="O55" s="78">
        <f>IF($B55="","",IF($L55="Yes","COMPLETE",IF($J55="","NO DATE",IF($J55&lt;TODAY(),"OVERDUE",IF($J55-TODAY()&lt;=7,"THIS WEEK","SCHEDULED")))))</f>
      </c>
      <c r="P55" s="80"/>
      <c r="Q55" s="78">
        <f>IF($B55="",0,IF(COUNTIF('DECORATING PLAN'!$B$6:$B$65,$B55)&gt;1,1,0))</f>
      </c>
      <c r="R55" s="78">
        <f>IF(OR(N($H55)&gt;0,N($I55)&gt;0),IF($G55="",1,IF(COUNTIF('MASTER BUDGET'!$D$6:$D$25,$G55)=0,1,0)),0)</f>
      </c>
      <c r="S55" s="75"/>
    </row>
    <row r="56" ht="17" customHeight="1" spans="1:19" x14ac:dyDescent="0.25">
      <c r="A56" s="75"/>
      <c r="B56" s="79"/>
      <c r="C56" s="79"/>
      <c r="D56" s="80"/>
      <c r="E56" s="80"/>
      <c r="F56" s="80"/>
      <c r="G56" s="79"/>
      <c r="H56" s="86"/>
      <c r="I56" s="86"/>
      <c r="J56" s="82"/>
      <c r="K56" s="79"/>
      <c r="L56" s="79"/>
      <c r="M56" s="82"/>
      <c r="N56" s="79"/>
      <c r="O56" s="78">
        <f>IF($B56="","",IF($L56="Yes","COMPLETE",IF($J56="","NO DATE",IF($J56&lt;TODAY(),"OVERDUE",IF($J56-TODAY()&lt;=7,"THIS WEEK","SCHEDULED")))))</f>
      </c>
      <c r="P56" s="80"/>
      <c r="Q56" s="78">
        <f>IF($B56="",0,IF(COUNTIF('DECORATING PLAN'!$B$6:$B$65,$B56)&gt;1,1,0))</f>
      </c>
      <c r="R56" s="78">
        <f>IF(OR(N($H56)&gt;0,N($I56)&gt;0),IF($G56="",1,IF(COUNTIF('MASTER BUDGET'!$D$6:$D$25,$G56)=0,1,0)),0)</f>
      </c>
      <c r="S56" s="75"/>
    </row>
    <row r="57" ht="17" customHeight="1" spans="1:19" x14ac:dyDescent="0.25">
      <c r="A57" s="75"/>
      <c r="B57" s="79"/>
      <c r="C57" s="79"/>
      <c r="D57" s="80"/>
      <c r="E57" s="80"/>
      <c r="F57" s="80"/>
      <c r="G57" s="79"/>
      <c r="H57" s="86"/>
      <c r="I57" s="86"/>
      <c r="J57" s="82"/>
      <c r="K57" s="79"/>
      <c r="L57" s="79"/>
      <c r="M57" s="82"/>
      <c r="N57" s="79"/>
      <c r="O57" s="78">
        <f>IF($B57="","",IF($L57="Yes","COMPLETE",IF($J57="","NO DATE",IF($J57&lt;TODAY(),"OVERDUE",IF($J57-TODAY()&lt;=7,"THIS WEEK","SCHEDULED")))))</f>
      </c>
      <c r="P57" s="80"/>
      <c r="Q57" s="78">
        <f>IF($B57="",0,IF(COUNTIF('DECORATING PLAN'!$B$6:$B$65,$B57)&gt;1,1,0))</f>
      </c>
      <c r="R57" s="78">
        <f>IF(OR(N($H57)&gt;0,N($I57)&gt;0),IF($G57="",1,IF(COUNTIF('MASTER BUDGET'!$D$6:$D$25,$G57)=0,1,0)),0)</f>
      </c>
      <c r="S57" s="75"/>
    </row>
    <row r="58" ht="17" customHeight="1" spans="1:19" x14ac:dyDescent="0.25">
      <c r="A58" s="75"/>
      <c r="B58" s="79"/>
      <c r="C58" s="79"/>
      <c r="D58" s="80"/>
      <c r="E58" s="80"/>
      <c r="F58" s="80"/>
      <c r="G58" s="79"/>
      <c r="H58" s="86"/>
      <c r="I58" s="86"/>
      <c r="J58" s="82"/>
      <c r="K58" s="79"/>
      <c r="L58" s="79"/>
      <c r="M58" s="82"/>
      <c r="N58" s="79"/>
      <c r="O58" s="78">
        <f>IF($B58="","",IF($L58="Yes","COMPLETE",IF($J58="","NO DATE",IF($J58&lt;TODAY(),"OVERDUE",IF($J58-TODAY()&lt;=7,"THIS WEEK","SCHEDULED")))))</f>
      </c>
      <c r="P58" s="80"/>
      <c r="Q58" s="78">
        <f>IF($B58="",0,IF(COUNTIF('DECORATING PLAN'!$B$6:$B$65,$B58)&gt;1,1,0))</f>
      </c>
      <c r="R58" s="78">
        <f>IF(OR(N($H58)&gt;0,N($I58)&gt;0),IF($G58="",1,IF(COUNTIF('MASTER BUDGET'!$D$6:$D$25,$G58)=0,1,0)),0)</f>
      </c>
      <c r="S58" s="75"/>
    </row>
    <row r="59" ht="17" customHeight="1" spans="1:19" x14ac:dyDescent="0.25">
      <c r="A59" s="75"/>
      <c r="B59" s="79"/>
      <c r="C59" s="79"/>
      <c r="D59" s="80"/>
      <c r="E59" s="80"/>
      <c r="F59" s="80"/>
      <c r="G59" s="79"/>
      <c r="H59" s="86"/>
      <c r="I59" s="86"/>
      <c r="J59" s="82"/>
      <c r="K59" s="79"/>
      <c r="L59" s="79"/>
      <c r="M59" s="82"/>
      <c r="N59" s="79"/>
      <c r="O59" s="78">
        <f>IF($B59="","",IF($L59="Yes","COMPLETE",IF($J59="","NO DATE",IF($J59&lt;TODAY(),"OVERDUE",IF($J59-TODAY()&lt;=7,"THIS WEEK","SCHEDULED")))))</f>
      </c>
      <c r="P59" s="80"/>
      <c r="Q59" s="78">
        <f>IF($B59="",0,IF(COUNTIF('DECORATING PLAN'!$B$6:$B$65,$B59)&gt;1,1,0))</f>
      </c>
      <c r="R59" s="78">
        <f>IF(OR(N($H59)&gt;0,N($I59)&gt;0),IF($G59="",1,IF(COUNTIF('MASTER BUDGET'!$D$6:$D$25,$G59)=0,1,0)),0)</f>
      </c>
      <c r="S59" s="75"/>
    </row>
    <row r="60" ht="17" customHeight="1" spans="1:19" x14ac:dyDescent="0.25">
      <c r="A60" s="75"/>
      <c r="B60" s="79"/>
      <c r="C60" s="79"/>
      <c r="D60" s="80"/>
      <c r="E60" s="80"/>
      <c r="F60" s="80"/>
      <c r="G60" s="79"/>
      <c r="H60" s="86"/>
      <c r="I60" s="86"/>
      <c r="J60" s="82"/>
      <c r="K60" s="79"/>
      <c r="L60" s="79"/>
      <c r="M60" s="82"/>
      <c r="N60" s="79"/>
      <c r="O60" s="78">
        <f>IF($B60="","",IF($L60="Yes","COMPLETE",IF($J60="","NO DATE",IF($J60&lt;TODAY(),"OVERDUE",IF($J60-TODAY()&lt;=7,"THIS WEEK","SCHEDULED")))))</f>
      </c>
      <c r="P60" s="80"/>
      <c r="Q60" s="78">
        <f>IF($B60="",0,IF(COUNTIF('DECORATING PLAN'!$B$6:$B$65,$B60)&gt;1,1,0))</f>
      </c>
      <c r="R60" s="78">
        <f>IF(OR(N($H60)&gt;0,N($I60)&gt;0),IF($G60="",1,IF(COUNTIF('MASTER BUDGET'!$D$6:$D$25,$G60)=0,1,0)),0)</f>
      </c>
      <c r="S60" s="75"/>
    </row>
    <row r="61" ht="17" customHeight="1" spans="1:19" x14ac:dyDescent="0.25">
      <c r="A61" s="75"/>
      <c r="B61" s="79"/>
      <c r="C61" s="79"/>
      <c r="D61" s="80"/>
      <c r="E61" s="80"/>
      <c r="F61" s="80"/>
      <c r="G61" s="79"/>
      <c r="H61" s="86"/>
      <c r="I61" s="86"/>
      <c r="J61" s="82"/>
      <c r="K61" s="79"/>
      <c r="L61" s="79"/>
      <c r="M61" s="82"/>
      <c r="N61" s="79"/>
      <c r="O61" s="78">
        <f>IF($B61="","",IF($L61="Yes","COMPLETE",IF($J61="","NO DATE",IF($J61&lt;TODAY(),"OVERDUE",IF($J61-TODAY()&lt;=7,"THIS WEEK","SCHEDULED")))))</f>
      </c>
      <c r="P61" s="80"/>
      <c r="Q61" s="78">
        <f>IF($B61="",0,IF(COUNTIF('DECORATING PLAN'!$B$6:$B$65,$B61)&gt;1,1,0))</f>
      </c>
      <c r="R61" s="78">
        <f>IF(OR(N($H61)&gt;0,N($I61)&gt;0),IF($G61="",1,IF(COUNTIF('MASTER BUDGET'!$D$6:$D$25,$G61)=0,1,0)),0)</f>
      </c>
      <c r="S61" s="75"/>
    </row>
    <row r="62" ht="17" customHeight="1" spans="1:19" x14ac:dyDescent="0.25">
      <c r="A62" s="75"/>
      <c r="B62" s="79"/>
      <c r="C62" s="79"/>
      <c r="D62" s="80"/>
      <c r="E62" s="80"/>
      <c r="F62" s="80"/>
      <c r="G62" s="79"/>
      <c r="H62" s="86"/>
      <c r="I62" s="86"/>
      <c r="J62" s="82"/>
      <c r="K62" s="79"/>
      <c r="L62" s="79"/>
      <c r="M62" s="82"/>
      <c r="N62" s="79"/>
      <c r="O62" s="78">
        <f>IF($B62="","",IF($L62="Yes","COMPLETE",IF($J62="","NO DATE",IF($J62&lt;TODAY(),"OVERDUE",IF($J62-TODAY()&lt;=7,"THIS WEEK","SCHEDULED")))))</f>
      </c>
      <c r="P62" s="80"/>
      <c r="Q62" s="78">
        <f>IF($B62="",0,IF(COUNTIF('DECORATING PLAN'!$B$6:$B$65,$B62)&gt;1,1,0))</f>
      </c>
      <c r="R62" s="78">
        <f>IF(OR(N($H62)&gt;0,N($I62)&gt;0),IF($G62="",1,IF(COUNTIF('MASTER BUDGET'!$D$6:$D$25,$G62)=0,1,0)),0)</f>
      </c>
      <c r="S62" s="75"/>
    </row>
    <row r="63" ht="17" customHeight="1" spans="1:19" x14ac:dyDescent="0.25">
      <c r="A63" s="75"/>
      <c r="B63" s="79"/>
      <c r="C63" s="79"/>
      <c r="D63" s="80"/>
      <c r="E63" s="80"/>
      <c r="F63" s="80"/>
      <c r="G63" s="79"/>
      <c r="H63" s="86"/>
      <c r="I63" s="86"/>
      <c r="J63" s="82"/>
      <c r="K63" s="79"/>
      <c r="L63" s="79"/>
      <c r="M63" s="82"/>
      <c r="N63" s="79"/>
      <c r="O63" s="78">
        <f>IF($B63="","",IF($L63="Yes","COMPLETE",IF($J63="","NO DATE",IF($J63&lt;TODAY(),"OVERDUE",IF($J63-TODAY()&lt;=7,"THIS WEEK","SCHEDULED")))))</f>
      </c>
      <c r="P63" s="80"/>
      <c r="Q63" s="78">
        <f>IF($B63="",0,IF(COUNTIF('DECORATING PLAN'!$B$6:$B$65,$B63)&gt;1,1,0))</f>
      </c>
      <c r="R63" s="78">
        <f>IF(OR(N($H63)&gt;0,N($I63)&gt;0),IF($G63="",1,IF(COUNTIF('MASTER BUDGET'!$D$6:$D$25,$G63)=0,1,0)),0)</f>
      </c>
      <c r="S63" s="75"/>
    </row>
    <row r="64" ht="17" customHeight="1" spans="1:19" x14ac:dyDescent="0.25">
      <c r="A64" s="75"/>
      <c r="B64" s="79"/>
      <c r="C64" s="79"/>
      <c r="D64" s="80"/>
      <c r="E64" s="80"/>
      <c r="F64" s="80"/>
      <c r="G64" s="79"/>
      <c r="H64" s="86"/>
      <c r="I64" s="86"/>
      <c r="J64" s="82"/>
      <c r="K64" s="79"/>
      <c r="L64" s="79"/>
      <c r="M64" s="82"/>
      <c r="N64" s="79"/>
      <c r="O64" s="78">
        <f>IF($B64="","",IF($L64="Yes","COMPLETE",IF($J64="","NO DATE",IF($J64&lt;TODAY(),"OVERDUE",IF($J64-TODAY()&lt;=7,"THIS WEEK","SCHEDULED")))))</f>
      </c>
      <c r="P64" s="80"/>
      <c r="Q64" s="78">
        <f>IF($B64="",0,IF(COUNTIF('DECORATING PLAN'!$B$6:$B$65,$B64)&gt;1,1,0))</f>
      </c>
      <c r="R64" s="78">
        <f>IF(OR(N($H64)&gt;0,N($I64)&gt;0),IF($G64="",1,IF(COUNTIF('MASTER BUDGET'!$D$6:$D$25,$G64)=0,1,0)),0)</f>
      </c>
      <c r="S64" s="75"/>
    </row>
    <row r="65" ht="17" customHeight="1" spans="1:19" x14ac:dyDescent="0.25">
      <c r="A65" s="75"/>
      <c r="B65" s="79"/>
      <c r="C65" s="79"/>
      <c r="D65" s="80"/>
      <c r="E65" s="80"/>
      <c r="F65" s="80"/>
      <c r="G65" s="79"/>
      <c r="H65" s="86"/>
      <c r="I65" s="86"/>
      <c r="J65" s="82"/>
      <c r="K65" s="79"/>
      <c r="L65" s="79"/>
      <c r="M65" s="82"/>
      <c r="N65" s="79"/>
      <c r="O65" s="78">
        <f>IF($B65="","",IF($L65="Yes","COMPLETE",IF($J65="","NO DATE",IF($J65&lt;TODAY(),"OVERDUE",IF($J65-TODAY()&lt;=7,"THIS WEEK","SCHEDULED")))))</f>
      </c>
      <c r="P65" s="80"/>
      <c r="Q65" s="78">
        <f>IF($B65="",0,IF(COUNTIF('DECORATING PLAN'!$B$6:$B$65,$B65)&gt;1,1,0))</f>
      </c>
      <c r="R65" s="78">
        <f>IF(OR(N($H65)&gt;0,N($I65)&gt;0),IF($G65="",1,IF(COUNTIF('MASTER BUDGET'!$D$6:$D$25,$G65)=0,1,0)),0)</f>
      </c>
      <c r="S65" s="75"/>
    </row>
  </sheetData>
  <autoFilter ref="B5:R65"/>
  <mergeCells count="1">
    <mergeCell ref="B1:C1"/>
  </mergeCells>
  <conditionalFormatting sqref="O6:O65">
    <cfRule type="containsText" dxfId="307" priority="1">
      <formula>NOT(ISERROR(SEARCH("OVER BUDGET",O6)))</formula>
    </cfRule>
  </conditionalFormatting>
  <conditionalFormatting sqref="O6:O65">
    <cfRule type="containsText" dxfId="308" priority="2">
      <formula>NOT(ISERROR(SEARCH("OVERDUE",O6)))</formula>
    </cfRule>
  </conditionalFormatting>
  <conditionalFormatting sqref="O6:O65">
    <cfRule type="containsText" dxfId="309" priority="3">
      <formula>NOT(ISERROR(SEARCH("LATE",O6)))</formula>
    </cfRule>
  </conditionalFormatting>
  <conditionalFormatting sqref="O6:O65">
    <cfRule type="containsText" dxfId="310" priority="4">
      <formula>NOT(ISERROR(SEARCH("WINDOW CLOSED",O6)))</formula>
    </cfRule>
  </conditionalFormatting>
  <conditionalFormatting sqref="O6:O65">
    <cfRule type="containsText" dxfId="311" priority="5">
      <formula>NOT(ISERROR(SEARCH("BALANCE OVERDUE",O6)))</formula>
    </cfRule>
  </conditionalFormatting>
  <conditionalFormatting sqref="O6:O65">
    <cfRule type="containsText" dxfId="312" priority="6">
      <formula>NOT(ISERROR(SEARCH("PREP OVERDUE",O6)))</formula>
    </cfRule>
  </conditionalFormatting>
  <conditionalFormatting sqref="O6:O65">
    <cfRule type="containsText" dxfId="313" priority="7">
      <formula>NOT(ISERROR(SEARCH("CHECK DUPLICATE",O6)))</formula>
    </cfRule>
  </conditionalFormatting>
  <conditionalFormatting sqref="O6:O65">
    <cfRule type="containsText" dxfId="314" priority="8">
      <formula>NOT(ISERROR(SEARCH("MISSING DATE",O6)))</formula>
    </cfRule>
  </conditionalFormatting>
  <conditionalFormatting sqref="O6:O65">
    <cfRule type="containsText" dxfId="315" priority="9">
      <formula>NOT(ISERROR(SEARCH("NOT FOUND",O6)))</formula>
    </cfRule>
  </conditionalFormatting>
  <conditionalFormatting sqref="O6:O65">
    <cfRule type="containsText" dxfId="316" priority="10">
      <formula>NOT(ISERROR(SEARCH("NEAR LIMIT",O6)))</formula>
    </cfRule>
  </conditionalFormatting>
  <conditionalFormatting sqref="O6:O65">
    <cfRule type="containsText" dxfId="317" priority="11">
      <formula>NOT(ISERROR(SEARCH("THIS WEEK",O6)))</formula>
    </cfRule>
  </conditionalFormatting>
  <conditionalFormatting sqref="O6:O65">
    <cfRule type="containsText" dxfId="318" priority="12">
      <formula>NOT(ISERROR(SEARCH("CLOSING SOON",O6)))</formula>
    </cfRule>
  </conditionalFormatting>
  <conditionalFormatting sqref="O6:O65">
    <cfRule type="containsText" dxfId="319" priority="13">
      <formula>NOT(ISERROR(SEARCH("NO TRACKING",O6)))</formula>
    </cfRule>
  </conditionalFormatting>
  <conditionalFormatting sqref="O6:O65">
    <cfRule type="containsText" dxfId="320" priority="14">
      <formula>NOT(ISERROR(SEARCH("LOW",O6)))</formula>
    </cfRule>
  </conditionalFormatting>
  <conditionalFormatting sqref="O6:O65">
    <cfRule type="containsText" dxfId="321" priority="15">
      <formula>NOT(ISERROR(SEARCH("AWAITING REFUND",O6)))</formula>
    </cfRule>
  </conditionalFormatting>
  <conditionalFormatting sqref="O6:O65">
    <cfRule type="containsText" dxfId="322" priority="16">
      <formula>NOT(ISERROR(SEARCH("BALANCE DUE SOON",O6)))</formula>
    </cfRule>
  </conditionalFormatting>
  <conditionalFormatting sqref="O6:O65">
    <cfRule type="containsText" dxfId="323" priority="17">
      <formula>NOT(ISERROR(SEARCH("TO BUY",O6)))</formula>
    </cfRule>
  </conditionalFormatting>
  <conditionalFormatting sqref="O6:O65">
    <cfRule type="containsText" dxfId="324" priority="18">
      <formula>NOT(ISERROR(SEARCH("NO DATE",O6)))</formula>
    </cfRule>
  </conditionalFormatting>
  <conditionalFormatting sqref="O6:O65">
    <cfRule type="containsText" dxfId="325" priority="19">
      <formula>NOT(ISERROR(SEARCH("NO COUNT",O6)))</formula>
    </cfRule>
  </conditionalFormatting>
  <conditionalFormatting sqref="O6:O65">
    <cfRule type="containsText" dxfId="326" priority="20">
      <formula>NOT(ISERROR(SEARCH("ON TRACK",O6)))</formula>
    </cfRule>
  </conditionalFormatting>
  <conditionalFormatting sqref="O6:O65">
    <cfRule type="containsText" dxfId="327" priority="21">
      <formula>NOT(ISERROR(SEARCH("COMPLETE",O6)))</formula>
    </cfRule>
  </conditionalFormatting>
  <conditionalFormatting sqref="O6:O65">
    <cfRule type="containsText" dxfId="328" priority="22">
      <formula>NOT(ISERROR(SEARCH("DONE",O6)))</formula>
    </cfRule>
  </conditionalFormatting>
  <conditionalFormatting sqref="O6:O65">
    <cfRule type="containsText" dxfId="329" priority="23">
      <formula>NOT(ISERROR(SEARCH("ARRIVED",O6)))</formula>
    </cfRule>
  </conditionalFormatting>
  <conditionalFormatting sqref="O6:O65">
    <cfRule type="containsText" dxfId="330" priority="24">
      <formula>NOT(ISERROR(SEARCH("SETTLED",O6)))</formula>
    </cfRule>
  </conditionalFormatting>
  <conditionalFormatting sqref="O6:O65">
    <cfRule type="containsText" dxfId="331" priority="25">
      <formula>NOT(ISERROR(SEARCH("AT BUDGET",O6)))</formula>
    </cfRule>
  </conditionalFormatting>
  <conditionalFormatting sqref="O6:O65">
    <cfRule type="containsText" dxfId="332" priority="26">
      <formula>NOT(ISERROR(SEARCH("IN STOCK",O6)))</formula>
    </cfRule>
  </conditionalFormatting>
  <conditionalFormatting sqref="O6:O65">
    <cfRule type="containsText" dxfId="333" priority="27">
      <formula>NOT(ISERROR(SEARCH("BOUGHT",O6)))</formula>
    </cfRule>
  </conditionalFormatting>
  <conditionalFormatting sqref="O6:O65">
    <cfRule type="containsText" dxfId="334" priority="28">
      <formula>NOT(ISERROR(SEARCH("READY",O6)))</formula>
    </cfRule>
  </conditionalFormatting>
  <conditionalFormatting sqref="O6:O65">
    <cfRule type="containsText" dxfId="335" priority="29">
      <formula>NOT(ISERROR(SEARCH("NOT SET",O6)))</formula>
    </cfRule>
  </conditionalFormatting>
  <conditionalFormatting sqref="O6:O65">
    <cfRule type="containsText" dxfId="336" priority="30">
      <formula>NOT(ISERROR(SEARCH("NOT STARTED",O6)))</formula>
    </cfRule>
  </conditionalFormatting>
  <conditionalFormatting sqref="O6:O65">
    <cfRule type="containsText" dxfId="337" priority="31">
      <formula>NOT(ISERROR(SEARCH("SCHEDULED",O6)))</formula>
    </cfRule>
  </conditionalFormatting>
  <conditionalFormatting sqref="O6:O65">
    <cfRule type="containsText" dxfId="338" priority="32">
      <formula>NOT(ISERROR(SEARCH("CLOSED",O6)))</formula>
    </cfRule>
  </conditionalFormatting>
  <conditionalFormatting sqref="O6:O65">
    <cfRule type="containsText" dxfId="339" priority="33">
      <formula>NOT(ISERROR(SEARCH("IN THE PANTRY",O6)))</formula>
    </cfRule>
  </conditionalFormatting>
  <conditionalFormatting sqref="O6:O65">
    <cfRule type="containsText" dxfId="340" priority="34">
      <formula>NOT(ISERROR(SEARCH("BALANCE OPEN",O6)))</formula>
    </cfRule>
  </conditionalFormatting>
  <dataValidations count="7">
    <dataValidation type="list" allowBlank="1" showErrorMessage="1" errorStyle="warning" errorTitle="Not one of the usual values" error="This column normally uses a value from the Room list on LISTS. You can keep what you typed, or add it to the list so it appears in the dropdown." sqref="C6:C65">
      <formula1>=List_Room</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G6:G65">
      <formula1>=List_BudgetCategory</formula1>
    </dataValidation>
    <dataValidation type="custom" allowBlank="1" showErrorMessage="1" errorStyle="warning" errorTitle="That looks like text" error="Type the number on its own — no currency symbol and no words. The column adds the symbol for you." sqref="H6:H65">
      <formula1>=OR(H6="",ISNUMBER(H6))</formula1>
    </dataValidation>
    <dataValidation type="custom" allowBlank="1" showErrorMessage="1" errorStyle="warning" errorTitle="That looks like text" error="Type the number on its own — no currency symbol and no words. The column adds the symbol for you." sqref="I6:I65">
      <formula1>=OR(I6="",ISNUMBER(I6))</formula1>
    </dataValidation>
    <dataValidation type="custom" allowBlank="1" showErrorMessage="1" errorStyle="warning" errorTitle="That is not a date yet" error="Type a real date, so the workbook can count days with it. &quot;Before Christmas&quot; cannot be sorted." sqref="J6:J65">
      <formula1>=OR(J6="",ISNUMBER(J6))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L6:L65">
      <formula1>=List_YesNo</formula1>
    </dataValidation>
    <dataValidation type="custom" allowBlank="1" showErrorMessage="1" errorStyle="warning" errorTitle="That is not a date yet" error="Type a real date, so the workbook can count days with it. &quot;Before Christmas&quot; cannot be sorted." sqref="M6:M65">
      <formula1>=OR(M6="",ISNUMBER(M6))</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&amp;LDECORATING PLAN&amp;C&amp;P of &amp;N&amp;RThe Christmas Season Master Command Center™</oddFooter>
  </headerFooter>
  <legacyDrawing r:id="rId7"/>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AA6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3" width="11" customWidth="1"/>
    <col min="4" max="4" width="20" customWidth="1"/>
    <col min="5" max="5" width="10" customWidth="1"/>
    <col min="6" max="6" width="32" customWidth="1"/>
    <col min="7" max="8" width="20" customWidth="1"/>
    <col min="9" max="9" width="18" customWidth="1"/>
    <col min="10" max="10" width="20" customWidth="1"/>
    <col min="11" max="11" width="18" customWidth="1"/>
    <col min="12" max="12" width="34" customWidth="1"/>
    <col min="13" max="14" width="20" customWidth="1"/>
    <col min="15" max="15" width="15" customWidth="1"/>
    <col min="16" max="16" width="10" customWidth="1"/>
    <col min="17" max="17" width="17" customWidth="1"/>
    <col min="18" max="19" width="13" customWidth="1"/>
    <col min="20" max="20" width="16" customWidth="1"/>
    <col min="21" max="22" width="11" customWidth="1"/>
    <col min="23" max="23" width="34" customWidth="1"/>
    <col min="24" max="26" width="18" hidden="1" customWidth="1"/>
    <col min="27" max="27" width="2" customWidth="1"/>
  </cols>
  <sheetData>
    <row r="1" ht="21" customHeight="1" spans="1:27" x14ac:dyDescent="0.25">
      <c r="A1" s="62"/>
      <c r="B1" s="63" t="s">
        <v>8</v>
      </c>
      <c r="C1" s="63"/>
      <c r="D1" s="63" t="s">
        <v>9</v>
      </c>
      <c r="E1" s="63" t="s">
        <v>10</v>
      </c>
      <c r="F1" s="63"/>
      <c r="G1" s="63" t="s">
        <v>11</v>
      </c>
      <c r="H1" s="63" t="s">
        <v>12</v>
      </c>
      <c r="I1" s="62"/>
      <c r="J1" s="62"/>
      <c r="K1" s="62"/>
      <c r="L1" s="62"/>
      <c r="M1" s="62"/>
      <c r="N1" s="62"/>
      <c r="O1" s="62"/>
      <c r="P1" s="62"/>
      <c r="Q1" s="62"/>
      <c r="R1" s="62"/>
      <c r="S1" s="62"/>
      <c r="T1" s="62"/>
      <c r="U1" s="62"/>
      <c r="V1" s="62"/>
      <c r="W1" s="62"/>
      <c r="X1" s="62"/>
      <c r="Y1" s="62"/>
      <c r="Z1" s="62"/>
      <c r="AA1" s="62"/>
    </row>
    <row r="2" ht="34" customHeight="1" spans="1:27" x14ac:dyDescent="0.25">
      <c r="A2" s="64"/>
      <c r="B2" s="65" t="s">
        <v>544</v>
      </c>
      <c r="C2" s="64"/>
      <c r="D2" s="64"/>
      <c r="E2" s="64"/>
      <c r="F2" s="64"/>
      <c r="G2" s="64"/>
      <c r="H2" s="64"/>
      <c r="I2" s="64"/>
      <c r="J2" s="64"/>
      <c r="K2" s="64"/>
      <c r="L2" s="64"/>
      <c r="M2" s="64"/>
      <c r="N2" s="64"/>
      <c r="O2" s="64"/>
      <c r="P2" s="64"/>
      <c r="Q2" s="64"/>
      <c r="R2" s="64"/>
      <c r="S2" s="64"/>
      <c r="T2" s="64"/>
      <c r="U2" s="64"/>
      <c r="V2" s="64"/>
      <c r="W2" s="64"/>
      <c r="X2" s="64"/>
      <c r="Y2" s="64"/>
      <c r="Z2" s="64"/>
      <c r="AA2" s="64"/>
    </row>
    <row r="3" ht="18" customHeight="1" spans="1:27" x14ac:dyDescent="0.25">
      <c r="A3" s="64"/>
      <c r="B3" s="66" t="s">
        <v>545</v>
      </c>
      <c r="C3" s="64"/>
      <c r="D3" s="64"/>
      <c r="E3" s="64"/>
      <c r="F3" s="64"/>
      <c r="G3" s="64"/>
      <c r="H3" s="64"/>
      <c r="I3" s="64"/>
      <c r="J3" s="64"/>
      <c r="K3" s="64"/>
      <c r="L3" s="64"/>
      <c r="M3" s="64"/>
      <c r="N3" s="64"/>
      <c r="O3" s="64"/>
      <c r="P3" s="64"/>
      <c r="Q3" s="64"/>
      <c r="R3" s="64"/>
      <c r="S3" s="64"/>
      <c r="T3" s="64"/>
      <c r="U3" s="64"/>
      <c r="V3" s="64"/>
      <c r="W3" s="64"/>
      <c r="X3" s="64"/>
      <c r="Y3" s="64"/>
      <c r="Z3" s="64"/>
      <c r="AA3" s="64"/>
    </row>
    <row r="4" ht="17" customHeight="1" spans="1:27" x14ac:dyDescent="0.25">
      <c r="A4" s="64"/>
      <c r="B4" s="67" t="s">
        <v>160</v>
      </c>
      <c r="C4" s="64"/>
      <c r="D4" s="64"/>
      <c r="E4" s="64"/>
      <c r="F4" s="64"/>
      <c r="G4" s="64"/>
      <c r="H4" s="64"/>
      <c r="I4" s="64"/>
      <c r="J4" s="64"/>
      <c r="K4" s="64"/>
      <c r="L4" s="64"/>
      <c r="M4" s="64"/>
      <c r="N4" s="64"/>
      <c r="O4" s="64"/>
      <c r="P4" s="64"/>
      <c r="Q4" s="64"/>
      <c r="R4" s="64"/>
      <c r="S4" s="64"/>
      <c r="T4" s="64"/>
      <c r="U4" s="64"/>
      <c r="V4" s="64"/>
      <c r="W4" s="64"/>
      <c r="X4" s="64"/>
      <c r="Y4" s="64"/>
      <c r="Z4" s="64"/>
      <c r="AA4" s="64"/>
    </row>
    <row r="5" ht="32" customHeight="1" spans="1:27" x14ac:dyDescent="0.25">
      <c r="A5" s="73"/>
      <c r="B5" s="74" t="s">
        <v>546</v>
      </c>
      <c r="C5" s="74" t="s">
        <v>448</v>
      </c>
      <c r="D5" s="74" t="s">
        <v>547</v>
      </c>
      <c r="E5" s="74" t="s">
        <v>548</v>
      </c>
      <c r="F5" s="74" t="s">
        <v>549</v>
      </c>
      <c r="G5" s="74" t="s">
        <v>550</v>
      </c>
      <c r="H5" s="74" t="s">
        <v>551</v>
      </c>
      <c r="I5" s="74" t="s">
        <v>552</v>
      </c>
      <c r="J5" s="74" t="s">
        <v>553</v>
      </c>
      <c r="K5" s="74" t="s">
        <v>554</v>
      </c>
      <c r="L5" s="74" t="s">
        <v>555</v>
      </c>
      <c r="M5" s="74" t="s">
        <v>500</v>
      </c>
      <c r="N5" s="74" t="s">
        <v>556</v>
      </c>
      <c r="O5" s="74" t="s">
        <v>557</v>
      </c>
      <c r="P5" s="74" t="s">
        <v>304</v>
      </c>
      <c r="Q5" s="74" t="s">
        <v>300</v>
      </c>
      <c r="R5" s="74" t="s">
        <v>309</v>
      </c>
      <c r="S5" s="74" t="s">
        <v>310</v>
      </c>
      <c r="T5" s="74" t="s">
        <v>558</v>
      </c>
      <c r="U5" s="74" t="s">
        <v>559</v>
      </c>
      <c r="V5" s="74" t="s">
        <v>560</v>
      </c>
      <c r="W5" s="74" t="s">
        <v>179</v>
      </c>
      <c r="X5" s="74" t="s">
        <v>180</v>
      </c>
      <c r="Y5" s="74" t="s">
        <v>323</v>
      </c>
      <c r="Z5" s="74" t="s">
        <v>458</v>
      </c>
      <c r="AA5" s="73"/>
    </row>
    <row r="6" ht="17" customHeight="1" spans="1:27" x14ac:dyDescent="0.25">
      <c r="A6" s="75"/>
      <c r="B6" s="76" t="s">
        <v>561</v>
      </c>
      <c r="C6" s="76" t="s">
        <v>429</v>
      </c>
      <c r="D6" s="76" t="s">
        <v>562</v>
      </c>
      <c r="E6" s="89">
        <v>12</v>
      </c>
      <c r="F6" s="77" t="s">
        <v>167</v>
      </c>
      <c r="G6" s="76" t="s">
        <v>563</v>
      </c>
      <c r="H6" s="76" t="s">
        <v>564</v>
      </c>
      <c r="I6" s="76" t="s">
        <v>565</v>
      </c>
      <c r="J6" s="76" t="s">
        <v>566</v>
      </c>
      <c r="K6" s="76" t="s">
        <v>567</v>
      </c>
      <c r="L6" s="77" t="s">
        <v>568</v>
      </c>
      <c r="M6" s="76" t="s">
        <v>569</v>
      </c>
      <c r="N6" s="76"/>
      <c r="O6" s="76" t="s">
        <v>570</v>
      </c>
      <c r="P6" s="89">
        <v>1</v>
      </c>
      <c r="Q6" s="76" t="s">
        <v>291</v>
      </c>
      <c r="R6" s="84">
        <v>240</v>
      </c>
      <c r="S6" s="84"/>
      <c r="T6" s="76" t="s">
        <v>184</v>
      </c>
      <c r="U6" s="94" t="s">
        <v>571</v>
      </c>
      <c r="V6" s="76" t="s">
        <v>194</v>
      </c>
      <c r="W6" s="77" t="s">
        <v>186</v>
      </c>
      <c r="X6" s="78">
        <f>IF($B6="",0,IF(COUNTIF('TABLESCAPE + FLORALS'!$B$6:$B$65,$B6)&gt;1,1,0))</f>
      </c>
      <c r="Y6" s="78">
        <f>IF(OR(N($R6)&gt;0,N($S6)&gt;0),IF($Q6="",1,IF(COUNTIF('MASTER BUDGET'!$D$6:$D$25,$Q6)=0,1,0)),0)</f>
      </c>
      <c r="Z6" s="78">
        <f>IF($C6="",0,IF(COUNTIF('CHRISTMAS CALENDAR'!$B$6:$B$205,$C6)=0,1,0))</f>
      </c>
      <c r="AA6" s="75"/>
    </row>
    <row r="7" ht="17" customHeight="1" spans="1:27" x14ac:dyDescent="0.25">
      <c r="A7" s="75"/>
      <c r="B7" s="76" t="s">
        <v>572</v>
      </c>
      <c r="C7" s="76"/>
      <c r="D7" s="76" t="s">
        <v>573</v>
      </c>
      <c r="E7" s="89">
        <v>6</v>
      </c>
      <c r="F7" s="77" t="s">
        <v>574</v>
      </c>
      <c r="G7" s="76" t="s">
        <v>575</v>
      </c>
      <c r="H7" s="76" t="s">
        <v>576</v>
      </c>
      <c r="I7" s="76"/>
      <c r="J7" s="76"/>
      <c r="K7" s="76"/>
      <c r="L7" s="77"/>
      <c r="M7" s="76"/>
      <c r="N7" s="76"/>
      <c r="O7" s="76" t="s">
        <v>570</v>
      </c>
      <c r="P7" s="89">
        <v>1</v>
      </c>
      <c r="Q7" s="76" t="s">
        <v>291</v>
      </c>
      <c r="R7" s="84">
        <v>0</v>
      </c>
      <c r="S7" s="84"/>
      <c r="T7" s="76" t="s">
        <v>184</v>
      </c>
      <c r="U7" s="94"/>
      <c r="V7" s="76" t="s">
        <v>194</v>
      </c>
      <c r="W7" s="77" t="s">
        <v>186</v>
      </c>
      <c r="X7" s="78">
        <f>IF($B7="",0,IF(COUNTIF('TABLESCAPE + FLORALS'!$B$6:$B$65,$B7)&gt;1,1,0))</f>
      </c>
      <c r="Y7" s="78">
        <f>IF(OR(N($R7)&gt;0,N($S7)&gt;0),IF($Q7="",1,IF(COUNTIF('MASTER BUDGET'!$D$6:$D$25,$Q7)=0,1,0)),0)</f>
      </c>
      <c r="Z7" s="78">
        <f>IF($C7="",0,IF(COUNTIF('CHRISTMAS CALENDAR'!$B$6:$B$205,$C7)=0,1,0))</f>
      </c>
      <c r="AA7" s="75"/>
    </row>
    <row r="8" ht="17" customHeight="1" spans="1:27" x14ac:dyDescent="0.25">
      <c r="A8" s="75"/>
      <c r="B8" s="76" t="s">
        <v>577</v>
      </c>
      <c r="C8" s="76"/>
      <c r="D8" s="76" t="s">
        <v>578</v>
      </c>
      <c r="E8" s="89">
        <v>20</v>
      </c>
      <c r="F8" s="77" t="s">
        <v>579</v>
      </c>
      <c r="G8" s="76"/>
      <c r="H8" s="76"/>
      <c r="I8" s="76"/>
      <c r="J8" s="76" t="s">
        <v>580</v>
      </c>
      <c r="K8" s="76"/>
      <c r="L8" s="77"/>
      <c r="M8" s="76"/>
      <c r="N8" s="76" t="s">
        <v>581</v>
      </c>
      <c r="O8" s="76" t="s">
        <v>582</v>
      </c>
      <c r="P8" s="89">
        <v>24</v>
      </c>
      <c r="Q8" s="76" t="s">
        <v>283</v>
      </c>
      <c r="R8" s="84">
        <v>96</v>
      </c>
      <c r="S8" s="84"/>
      <c r="T8" s="76" t="s">
        <v>543</v>
      </c>
      <c r="U8" s="94" t="s">
        <v>583</v>
      </c>
      <c r="V8" s="76" t="s">
        <v>194</v>
      </c>
      <c r="W8" s="77" t="s">
        <v>186</v>
      </c>
      <c r="X8" s="78">
        <f>IF($B8="",0,IF(COUNTIF('TABLESCAPE + FLORALS'!$B$6:$B$65,$B8)&gt;1,1,0))</f>
      </c>
      <c r="Y8" s="78">
        <f>IF(OR(N($R8)&gt;0,N($S8)&gt;0),IF($Q8="",1,IF(COUNTIF('MASTER BUDGET'!$D$6:$D$25,$Q8)=0,1,0)),0)</f>
      </c>
      <c r="Z8" s="78">
        <f>IF($C8="",0,IF(COUNTIF('CHRISTMAS CALENDAR'!$B$6:$B$205,$C8)=0,1,0))</f>
      </c>
      <c r="AA8" s="75"/>
    </row>
    <row r="9" ht="17" customHeight="1" spans="1:27" x14ac:dyDescent="0.25">
      <c r="A9" s="75"/>
      <c r="B9" s="79"/>
      <c r="C9" s="79"/>
      <c r="D9" s="79"/>
      <c r="E9" s="90"/>
      <c r="F9" s="80"/>
      <c r="G9" s="79"/>
      <c r="H9" s="79"/>
      <c r="I9" s="79"/>
      <c r="J9" s="79"/>
      <c r="K9" s="79"/>
      <c r="L9" s="80"/>
      <c r="M9" s="79"/>
      <c r="N9" s="79"/>
      <c r="O9" s="79"/>
      <c r="P9" s="90"/>
      <c r="Q9" s="79"/>
      <c r="R9" s="86"/>
      <c r="S9" s="86"/>
      <c r="T9" s="79"/>
      <c r="U9" s="96"/>
      <c r="V9" s="79"/>
      <c r="W9" s="80"/>
      <c r="X9" s="78">
        <f>IF($B9="",0,IF(COUNTIF('TABLESCAPE + FLORALS'!$B$6:$B$65,$B9)&gt;1,1,0))</f>
      </c>
      <c r="Y9" s="78">
        <f>IF(OR(N($R9)&gt;0,N($S9)&gt;0),IF($Q9="",1,IF(COUNTIF('MASTER BUDGET'!$D$6:$D$25,$Q9)=0,1,0)),0)</f>
      </c>
      <c r="Z9" s="78">
        <f>IF($C9="",0,IF(COUNTIF('CHRISTMAS CALENDAR'!$B$6:$B$205,$C9)=0,1,0))</f>
      </c>
      <c r="AA9" s="75"/>
    </row>
    <row r="10" ht="17" customHeight="1" spans="1:27" x14ac:dyDescent="0.25">
      <c r="A10" s="75"/>
      <c r="B10" s="79"/>
      <c r="C10" s="79"/>
      <c r="D10" s="79"/>
      <c r="E10" s="90"/>
      <c r="F10" s="80"/>
      <c r="G10" s="79"/>
      <c r="H10" s="79"/>
      <c r="I10" s="79"/>
      <c r="J10" s="79"/>
      <c r="K10" s="79"/>
      <c r="L10" s="80"/>
      <c r="M10" s="79"/>
      <c r="N10" s="79"/>
      <c r="O10" s="79"/>
      <c r="P10" s="90"/>
      <c r="Q10" s="79"/>
      <c r="R10" s="86"/>
      <c r="S10" s="86"/>
      <c r="T10" s="79"/>
      <c r="U10" s="96"/>
      <c r="V10" s="79"/>
      <c r="W10" s="80"/>
      <c r="X10" s="78">
        <f>IF($B10="",0,IF(COUNTIF('TABLESCAPE + FLORALS'!$B$6:$B$65,$B10)&gt;1,1,0))</f>
      </c>
      <c r="Y10" s="78">
        <f>IF(OR(N($R10)&gt;0,N($S10)&gt;0),IF($Q10="",1,IF(COUNTIF('MASTER BUDGET'!$D$6:$D$25,$Q10)=0,1,0)),0)</f>
      </c>
      <c r="Z10" s="78">
        <f>IF($C10="",0,IF(COUNTIF('CHRISTMAS CALENDAR'!$B$6:$B$205,$C10)=0,1,0))</f>
      </c>
      <c r="AA10" s="75"/>
    </row>
    <row r="11" ht="17" customHeight="1" spans="1:27" x14ac:dyDescent="0.25">
      <c r="A11" s="75"/>
      <c r="B11" s="79"/>
      <c r="C11" s="79"/>
      <c r="D11" s="79"/>
      <c r="E11" s="90"/>
      <c r="F11" s="80"/>
      <c r="G11" s="79"/>
      <c r="H11" s="79"/>
      <c r="I11" s="79"/>
      <c r="J11" s="79"/>
      <c r="K11" s="79"/>
      <c r="L11" s="80"/>
      <c r="M11" s="79"/>
      <c r="N11" s="79"/>
      <c r="O11" s="79"/>
      <c r="P11" s="90"/>
      <c r="Q11" s="79"/>
      <c r="R11" s="86"/>
      <c r="S11" s="86"/>
      <c r="T11" s="79"/>
      <c r="U11" s="96"/>
      <c r="V11" s="79"/>
      <c r="W11" s="80"/>
      <c r="X11" s="78">
        <f>IF($B11="",0,IF(COUNTIF('TABLESCAPE + FLORALS'!$B$6:$B$65,$B11)&gt;1,1,0))</f>
      </c>
      <c r="Y11" s="78">
        <f>IF(OR(N($R11)&gt;0,N($S11)&gt;0),IF($Q11="",1,IF(COUNTIF('MASTER BUDGET'!$D$6:$D$25,$Q11)=0,1,0)),0)</f>
      </c>
      <c r="Z11" s="78">
        <f>IF($C11="",0,IF(COUNTIF('CHRISTMAS CALENDAR'!$B$6:$B$205,$C11)=0,1,0))</f>
      </c>
      <c r="AA11" s="75"/>
    </row>
    <row r="12" ht="17" customHeight="1" spans="1:27" x14ac:dyDescent="0.25">
      <c r="A12" s="75"/>
      <c r="B12" s="79"/>
      <c r="C12" s="79"/>
      <c r="D12" s="79"/>
      <c r="E12" s="90"/>
      <c r="F12" s="80"/>
      <c r="G12" s="79"/>
      <c r="H12" s="79"/>
      <c r="I12" s="79"/>
      <c r="J12" s="79"/>
      <c r="K12" s="79"/>
      <c r="L12" s="80"/>
      <c r="M12" s="79"/>
      <c r="N12" s="79"/>
      <c r="O12" s="79"/>
      <c r="P12" s="90"/>
      <c r="Q12" s="79"/>
      <c r="R12" s="86"/>
      <c r="S12" s="86"/>
      <c r="T12" s="79"/>
      <c r="U12" s="96"/>
      <c r="V12" s="79"/>
      <c r="W12" s="80"/>
      <c r="X12" s="78">
        <f>IF($B12="",0,IF(COUNTIF('TABLESCAPE + FLORALS'!$B$6:$B$65,$B12)&gt;1,1,0))</f>
      </c>
      <c r="Y12" s="78">
        <f>IF(OR(N($R12)&gt;0,N($S12)&gt;0),IF($Q12="",1,IF(COUNTIF('MASTER BUDGET'!$D$6:$D$25,$Q12)=0,1,0)),0)</f>
      </c>
      <c r="Z12" s="78">
        <f>IF($C12="",0,IF(COUNTIF('CHRISTMAS CALENDAR'!$B$6:$B$205,$C12)=0,1,0))</f>
      </c>
      <c r="AA12" s="75"/>
    </row>
    <row r="13" ht="17" customHeight="1" spans="1:27" x14ac:dyDescent="0.25">
      <c r="A13" s="75"/>
      <c r="B13" s="79"/>
      <c r="C13" s="79"/>
      <c r="D13" s="79"/>
      <c r="E13" s="90"/>
      <c r="F13" s="80"/>
      <c r="G13" s="79"/>
      <c r="H13" s="79"/>
      <c r="I13" s="79"/>
      <c r="J13" s="79"/>
      <c r="K13" s="79"/>
      <c r="L13" s="80"/>
      <c r="M13" s="79"/>
      <c r="N13" s="79"/>
      <c r="O13" s="79"/>
      <c r="P13" s="90"/>
      <c r="Q13" s="79"/>
      <c r="R13" s="86"/>
      <c r="S13" s="86"/>
      <c r="T13" s="79"/>
      <c r="U13" s="96"/>
      <c r="V13" s="79"/>
      <c r="W13" s="80"/>
      <c r="X13" s="78">
        <f>IF($B13="",0,IF(COUNTIF('TABLESCAPE + FLORALS'!$B$6:$B$65,$B13)&gt;1,1,0))</f>
      </c>
      <c r="Y13" s="78">
        <f>IF(OR(N($R13)&gt;0,N($S13)&gt;0),IF($Q13="",1,IF(COUNTIF('MASTER BUDGET'!$D$6:$D$25,$Q13)=0,1,0)),0)</f>
      </c>
      <c r="Z13" s="78">
        <f>IF($C13="",0,IF(COUNTIF('CHRISTMAS CALENDAR'!$B$6:$B$205,$C13)=0,1,0))</f>
      </c>
      <c r="AA13" s="75"/>
    </row>
    <row r="14" ht="17" customHeight="1" spans="1:27" x14ac:dyDescent="0.25">
      <c r="A14" s="75"/>
      <c r="B14" s="79"/>
      <c r="C14" s="79"/>
      <c r="D14" s="79"/>
      <c r="E14" s="90"/>
      <c r="F14" s="80"/>
      <c r="G14" s="79"/>
      <c r="H14" s="79"/>
      <c r="I14" s="79"/>
      <c r="J14" s="79"/>
      <c r="K14" s="79"/>
      <c r="L14" s="80"/>
      <c r="M14" s="79"/>
      <c r="N14" s="79"/>
      <c r="O14" s="79"/>
      <c r="P14" s="90"/>
      <c r="Q14" s="79"/>
      <c r="R14" s="86"/>
      <c r="S14" s="86"/>
      <c r="T14" s="79"/>
      <c r="U14" s="96"/>
      <c r="V14" s="79"/>
      <c r="W14" s="80"/>
      <c r="X14" s="78">
        <f>IF($B14="",0,IF(COUNTIF('TABLESCAPE + FLORALS'!$B$6:$B$65,$B14)&gt;1,1,0))</f>
      </c>
      <c r="Y14" s="78">
        <f>IF(OR(N($R14)&gt;0,N($S14)&gt;0),IF($Q14="",1,IF(COUNTIF('MASTER BUDGET'!$D$6:$D$25,$Q14)=0,1,0)),0)</f>
      </c>
      <c r="Z14" s="78">
        <f>IF($C14="",0,IF(COUNTIF('CHRISTMAS CALENDAR'!$B$6:$B$205,$C14)=0,1,0))</f>
      </c>
      <c r="AA14" s="75"/>
    </row>
    <row r="15" ht="17" customHeight="1" spans="1:27" x14ac:dyDescent="0.25">
      <c r="A15" s="75"/>
      <c r="B15" s="79"/>
      <c r="C15" s="79"/>
      <c r="D15" s="79"/>
      <c r="E15" s="90"/>
      <c r="F15" s="80"/>
      <c r="G15" s="79"/>
      <c r="H15" s="79"/>
      <c r="I15" s="79"/>
      <c r="J15" s="79"/>
      <c r="K15" s="79"/>
      <c r="L15" s="80"/>
      <c r="M15" s="79"/>
      <c r="N15" s="79"/>
      <c r="O15" s="79"/>
      <c r="P15" s="90"/>
      <c r="Q15" s="79"/>
      <c r="R15" s="86"/>
      <c r="S15" s="86"/>
      <c r="T15" s="79"/>
      <c r="U15" s="96"/>
      <c r="V15" s="79"/>
      <c r="W15" s="80"/>
      <c r="X15" s="78">
        <f>IF($B15="",0,IF(COUNTIF('TABLESCAPE + FLORALS'!$B$6:$B$65,$B15)&gt;1,1,0))</f>
      </c>
      <c r="Y15" s="78">
        <f>IF(OR(N($R15)&gt;0,N($S15)&gt;0),IF($Q15="",1,IF(COUNTIF('MASTER BUDGET'!$D$6:$D$25,$Q15)=0,1,0)),0)</f>
      </c>
      <c r="Z15" s="78">
        <f>IF($C15="",0,IF(COUNTIF('CHRISTMAS CALENDAR'!$B$6:$B$205,$C15)=0,1,0))</f>
      </c>
      <c r="AA15" s="75"/>
    </row>
    <row r="16" ht="17" customHeight="1" spans="1:27" x14ac:dyDescent="0.25">
      <c r="A16" s="75"/>
      <c r="B16" s="79"/>
      <c r="C16" s="79"/>
      <c r="D16" s="79"/>
      <c r="E16" s="90"/>
      <c r="F16" s="80"/>
      <c r="G16" s="79"/>
      <c r="H16" s="79"/>
      <c r="I16" s="79"/>
      <c r="J16" s="79"/>
      <c r="K16" s="79"/>
      <c r="L16" s="80"/>
      <c r="M16" s="79"/>
      <c r="N16" s="79"/>
      <c r="O16" s="79"/>
      <c r="P16" s="90"/>
      <c r="Q16" s="79"/>
      <c r="R16" s="86"/>
      <c r="S16" s="86"/>
      <c r="T16" s="79"/>
      <c r="U16" s="96"/>
      <c r="V16" s="79"/>
      <c r="W16" s="80"/>
      <c r="X16" s="78">
        <f>IF($B16="",0,IF(COUNTIF('TABLESCAPE + FLORALS'!$B$6:$B$65,$B16)&gt;1,1,0))</f>
      </c>
      <c r="Y16" s="78">
        <f>IF(OR(N($R16)&gt;0,N($S16)&gt;0),IF($Q16="",1,IF(COUNTIF('MASTER BUDGET'!$D$6:$D$25,$Q16)=0,1,0)),0)</f>
      </c>
      <c r="Z16" s="78">
        <f>IF($C16="",0,IF(COUNTIF('CHRISTMAS CALENDAR'!$B$6:$B$205,$C16)=0,1,0))</f>
      </c>
      <c r="AA16" s="75"/>
    </row>
    <row r="17" ht="17" customHeight="1" spans="1:27" x14ac:dyDescent="0.25">
      <c r="A17" s="75"/>
      <c r="B17" s="79"/>
      <c r="C17" s="79"/>
      <c r="D17" s="79"/>
      <c r="E17" s="90"/>
      <c r="F17" s="80"/>
      <c r="G17" s="79"/>
      <c r="H17" s="79"/>
      <c r="I17" s="79"/>
      <c r="J17" s="79"/>
      <c r="K17" s="79"/>
      <c r="L17" s="80"/>
      <c r="M17" s="79"/>
      <c r="N17" s="79"/>
      <c r="O17" s="79"/>
      <c r="P17" s="90"/>
      <c r="Q17" s="79"/>
      <c r="R17" s="86"/>
      <c r="S17" s="86"/>
      <c r="T17" s="79"/>
      <c r="U17" s="96"/>
      <c r="V17" s="79"/>
      <c r="W17" s="80"/>
      <c r="X17" s="78">
        <f>IF($B17="",0,IF(COUNTIF('TABLESCAPE + FLORALS'!$B$6:$B$65,$B17)&gt;1,1,0))</f>
      </c>
      <c r="Y17" s="78">
        <f>IF(OR(N($R17)&gt;0,N($S17)&gt;0),IF($Q17="",1,IF(COUNTIF('MASTER BUDGET'!$D$6:$D$25,$Q17)=0,1,0)),0)</f>
      </c>
      <c r="Z17" s="78">
        <f>IF($C17="",0,IF(COUNTIF('CHRISTMAS CALENDAR'!$B$6:$B$205,$C17)=0,1,0))</f>
      </c>
      <c r="AA17" s="75"/>
    </row>
    <row r="18" ht="17" customHeight="1" spans="1:27" x14ac:dyDescent="0.25">
      <c r="A18" s="75"/>
      <c r="B18" s="79"/>
      <c r="C18" s="79"/>
      <c r="D18" s="79"/>
      <c r="E18" s="90"/>
      <c r="F18" s="80"/>
      <c r="G18" s="79"/>
      <c r="H18" s="79"/>
      <c r="I18" s="79"/>
      <c r="J18" s="79"/>
      <c r="K18" s="79"/>
      <c r="L18" s="80"/>
      <c r="M18" s="79"/>
      <c r="N18" s="79"/>
      <c r="O18" s="79"/>
      <c r="P18" s="90"/>
      <c r="Q18" s="79"/>
      <c r="R18" s="86"/>
      <c r="S18" s="86"/>
      <c r="T18" s="79"/>
      <c r="U18" s="96"/>
      <c r="V18" s="79"/>
      <c r="W18" s="80"/>
      <c r="X18" s="78">
        <f>IF($B18="",0,IF(COUNTIF('TABLESCAPE + FLORALS'!$B$6:$B$65,$B18)&gt;1,1,0))</f>
      </c>
      <c r="Y18" s="78">
        <f>IF(OR(N($R18)&gt;0,N($S18)&gt;0),IF($Q18="",1,IF(COUNTIF('MASTER BUDGET'!$D$6:$D$25,$Q18)=0,1,0)),0)</f>
      </c>
      <c r="Z18" s="78">
        <f>IF($C18="",0,IF(COUNTIF('CHRISTMAS CALENDAR'!$B$6:$B$205,$C18)=0,1,0))</f>
      </c>
      <c r="AA18" s="75"/>
    </row>
    <row r="19" ht="17" customHeight="1" spans="1:27" x14ac:dyDescent="0.25">
      <c r="A19" s="75"/>
      <c r="B19" s="79"/>
      <c r="C19" s="79"/>
      <c r="D19" s="79"/>
      <c r="E19" s="90"/>
      <c r="F19" s="80"/>
      <c r="G19" s="79"/>
      <c r="H19" s="79"/>
      <c r="I19" s="79"/>
      <c r="J19" s="79"/>
      <c r="K19" s="79"/>
      <c r="L19" s="80"/>
      <c r="M19" s="79"/>
      <c r="N19" s="79"/>
      <c r="O19" s="79"/>
      <c r="P19" s="90"/>
      <c r="Q19" s="79"/>
      <c r="R19" s="86"/>
      <c r="S19" s="86"/>
      <c r="T19" s="79"/>
      <c r="U19" s="96"/>
      <c r="V19" s="79"/>
      <c r="W19" s="80"/>
      <c r="X19" s="78">
        <f>IF($B19="",0,IF(COUNTIF('TABLESCAPE + FLORALS'!$B$6:$B$65,$B19)&gt;1,1,0))</f>
      </c>
      <c r="Y19" s="78">
        <f>IF(OR(N($R19)&gt;0,N($S19)&gt;0),IF($Q19="",1,IF(COUNTIF('MASTER BUDGET'!$D$6:$D$25,$Q19)=0,1,0)),0)</f>
      </c>
      <c r="Z19" s="78">
        <f>IF($C19="",0,IF(COUNTIF('CHRISTMAS CALENDAR'!$B$6:$B$205,$C19)=0,1,0))</f>
      </c>
      <c r="AA19" s="75"/>
    </row>
    <row r="20" ht="17" customHeight="1" spans="1:27" x14ac:dyDescent="0.25">
      <c r="A20" s="75"/>
      <c r="B20" s="79"/>
      <c r="C20" s="79"/>
      <c r="D20" s="79"/>
      <c r="E20" s="90"/>
      <c r="F20" s="80"/>
      <c r="G20" s="79"/>
      <c r="H20" s="79"/>
      <c r="I20" s="79"/>
      <c r="J20" s="79"/>
      <c r="K20" s="79"/>
      <c r="L20" s="80"/>
      <c r="M20" s="79"/>
      <c r="N20" s="79"/>
      <c r="O20" s="79"/>
      <c r="P20" s="90"/>
      <c r="Q20" s="79"/>
      <c r="R20" s="86"/>
      <c r="S20" s="86"/>
      <c r="T20" s="79"/>
      <c r="U20" s="96"/>
      <c r="V20" s="79"/>
      <c r="W20" s="80"/>
      <c r="X20" s="78">
        <f>IF($B20="",0,IF(COUNTIF('TABLESCAPE + FLORALS'!$B$6:$B$65,$B20)&gt;1,1,0))</f>
      </c>
      <c r="Y20" s="78">
        <f>IF(OR(N($R20)&gt;0,N($S20)&gt;0),IF($Q20="",1,IF(COUNTIF('MASTER BUDGET'!$D$6:$D$25,$Q20)=0,1,0)),0)</f>
      </c>
      <c r="Z20" s="78">
        <f>IF($C20="",0,IF(COUNTIF('CHRISTMAS CALENDAR'!$B$6:$B$205,$C20)=0,1,0))</f>
      </c>
      <c r="AA20" s="75"/>
    </row>
    <row r="21" ht="17" customHeight="1" spans="1:27" x14ac:dyDescent="0.25">
      <c r="A21" s="75"/>
      <c r="B21" s="79"/>
      <c r="C21" s="79"/>
      <c r="D21" s="79"/>
      <c r="E21" s="90"/>
      <c r="F21" s="80"/>
      <c r="G21" s="79"/>
      <c r="H21" s="79"/>
      <c r="I21" s="79"/>
      <c r="J21" s="79"/>
      <c r="K21" s="79"/>
      <c r="L21" s="80"/>
      <c r="M21" s="79"/>
      <c r="N21" s="79"/>
      <c r="O21" s="79"/>
      <c r="P21" s="90"/>
      <c r="Q21" s="79"/>
      <c r="R21" s="86"/>
      <c r="S21" s="86"/>
      <c r="T21" s="79"/>
      <c r="U21" s="96"/>
      <c r="V21" s="79"/>
      <c r="W21" s="80"/>
      <c r="X21" s="78">
        <f>IF($B21="",0,IF(COUNTIF('TABLESCAPE + FLORALS'!$B$6:$B$65,$B21)&gt;1,1,0))</f>
      </c>
      <c r="Y21" s="78">
        <f>IF(OR(N($R21)&gt;0,N($S21)&gt;0),IF($Q21="",1,IF(COUNTIF('MASTER BUDGET'!$D$6:$D$25,$Q21)=0,1,0)),0)</f>
      </c>
      <c r="Z21" s="78">
        <f>IF($C21="",0,IF(COUNTIF('CHRISTMAS CALENDAR'!$B$6:$B$205,$C21)=0,1,0))</f>
      </c>
      <c r="AA21" s="75"/>
    </row>
    <row r="22" ht="17" customHeight="1" spans="1:27" x14ac:dyDescent="0.25">
      <c r="A22" s="75"/>
      <c r="B22" s="79"/>
      <c r="C22" s="79"/>
      <c r="D22" s="79"/>
      <c r="E22" s="90"/>
      <c r="F22" s="80"/>
      <c r="G22" s="79"/>
      <c r="H22" s="79"/>
      <c r="I22" s="79"/>
      <c r="J22" s="79"/>
      <c r="K22" s="79"/>
      <c r="L22" s="80"/>
      <c r="M22" s="79"/>
      <c r="N22" s="79"/>
      <c r="O22" s="79"/>
      <c r="P22" s="90"/>
      <c r="Q22" s="79"/>
      <c r="R22" s="86"/>
      <c r="S22" s="86"/>
      <c r="T22" s="79"/>
      <c r="U22" s="96"/>
      <c r="V22" s="79"/>
      <c r="W22" s="80"/>
      <c r="X22" s="78">
        <f>IF($B22="",0,IF(COUNTIF('TABLESCAPE + FLORALS'!$B$6:$B$65,$B22)&gt;1,1,0))</f>
      </c>
      <c r="Y22" s="78">
        <f>IF(OR(N($R22)&gt;0,N($S22)&gt;0),IF($Q22="",1,IF(COUNTIF('MASTER BUDGET'!$D$6:$D$25,$Q22)=0,1,0)),0)</f>
      </c>
      <c r="Z22" s="78">
        <f>IF($C22="",0,IF(COUNTIF('CHRISTMAS CALENDAR'!$B$6:$B$205,$C22)=0,1,0))</f>
      </c>
      <c r="AA22" s="75"/>
    </row>
    <row r="23" ht="17" customHeight="1" spans="1:27" x14ac:dyDescent="0.25">
      <c r="A23" s="75"/>
      <c r="B23" s="79"/>
      <c r="C23" s="79"/>
      <c r="D23" s="79"/>
      <c r="E23" s="90"/>
      <c r="F23" s="80"/>
      <c r="G23" s="79"/>
      <c r="H23" s="79"/>
      <c r="I23" s="79"/>
      <c r="J23" s="79"/>
      <c r="K23" s="79"/>
      <c r="L23" s="80"/>
      <c r="M23" s="79"/>
      <c r="N23" s="79"/>
      <c r="O23" s="79"/>
      <c r="P23" s="90"/>
      <c r="Q23" s="79"/>
      <c r="R23" s="86"/>
      <c r="S23" s="86"/>
      <c r="T23" s="79"/>
      <c r="U23" s="96"/>
      <c r="V23" s="79"/>
      <c r="W23" s="80"/>
      <c r="X23" s="78">
        <f>IF($B23="",0,IF(COUNTIF('TABLESCAPE + FLORALS'!$B$6:$B$65,$B23)&gt;1,1,0))</f>
      </c>
      <c r="Y23" s="78">
        <f>IF(OR(N($R23)&gt;0,N($S23)&gt;0),IF($Q23="",1,IF(COUNTIF('MASTER BUDGET'!$D$6:$D$25,$Q23)=0,1,0)),0)</f>
      </c>
      <c r="Z23" s="78">
        <f>IF($C23="",0,IF(COUNTIF('CHRISTMAS CALENDAR'!$B$6:$B$205,$C23)=0,1,0))</f>
      </c>
      <c r="AA23" s="75"/>
    </row>
    <row r="24" ht="17" customHeight="1" spans="1:27" x14ac:dyDescent="0.25">
      <c r="A24" s="75"/>
      <c r="B24" s="79"/>
      <c r="C24" s="79"/>
      <c r="D24" s="79"/>
      <c r="E24" s="90"/>
      <c r="F24" s="80"/>
      <c r="G24" s="79"/>
      <c r="H24" s="79"/>
      <c r="I24" s="79"/>
      <c r="J24" s="79"/>
      <c r="K24" s="79"/>
      <c r="L24" s="80"/>
      <c r="M24" s="79"/>
      <c r="N24" s="79"/>
      <c r="O24" s="79"/>
      <c r="P24" s="90"/>
      <c r="Q24" s="79"/>
      <c r="R24" s="86"/>
      <c r="S24" s="86"/>
      <c r="T24" s="79"/>
      <c r="U24" s="96"/>
      <c r="V24" s="79"/>
      <c r="W24" s="80"/>
      <c r="X24" s="78">
        <f>IF($B24="",0,IF(COUNTIF('TABLESCAPE + FLORALS'!$B$6:$B$65,$B24)&gt;1,1,0))</f>
      </c>
      <c r="Y24" s="78">
        <f>IF(OR(N($R24)&gt;0,N($S24)&gt;0),IF($Q24="",1,IF(COUNTIF('MASTER BUDGET'!$D$6:$D$25,$Q24)=0,1,0)),0)</f>
      </c>
      <c r="Z24" s="78">
        <f>IF($C24="",0,IF(COUNTIF('CHRISTMAS CALENDAR'!$B$6:$B$205,$C24)=0,1,0))</f>
      </c>
      <c r="AA24" s="75"/>
    </row>
    <row r="25" ht="17" customHeight="1" spans="1:27" x14ac:dyDescent="0.25">
      <c r="A25" s="75"/>
      <c r="B25" s="79"/>
      <c r="C25" s="79"/>
      <c r="D25" s="79"/>
      <c r="E25" s="90"/>
      <c r="F25" s="80"/>
      <c r="G25" s="79"/>
      <c r="H25" s="79"/>
      <c r="I25" s="79"/>
      <c r="J25" s="79"/>
      <c r="K25" s="79"/>
      <c r="L25" s="80"/>
      <c r="M25" s="79"/>
      <c r="N25" s="79"/>
      <c r="O25" s="79"/>
      <c r="P25" s="90"/>
      <c r="Q25" s="79"/>
      <c r="R25" s="86"/>
      <c r="S25" s="86"/>
      <c r="T25" s="79"/>
      <c r="U25" s="96"/>
      <c r="V25" s="79"/>
      <c r="W25" s="80"/>
      <c r="X25" s="78">
        <f>IF($B25="",0,IF(COUNTIF('TABLESCAPE + FLORALS'!$B$6:$B$65,$B25)&gt;1,1,0))</f>
      </c>
      <c r="Y25" s="78">
        <f>IF(OR(N($R25)&gt;0,N($S25)&gt;0),IF($Q25="",1,IF(COUNTIF('MASTER BUDGET'!$D$6:$D$25,$Q25)=0,1,0)),0)</f>
      </c>
      <c r="Z25" s="78">
        <f>IF($C25="",0,IF(COUNTIF('CHRISTMAS CALENDAR'!$B$6:$B$205,$C25)=0,1,0))</f>
      </c>
      <c r="AA25" s="75"/>
    </row>
    <row r="26" ht="17" customHeight="1" spans="1:27" x14ac:dyDescent="0.25">
      <c r="A26" s="75"/>
      <c r="B26" s="79"/>
      <c r="C26" s="79"/>
      <c r="D26" s="79"/>
      <c r="E26" s="90"/>
      <c r="F26" s="80"/>
      <c r="G26" s="79"/>
      <c r="H26" s="79"/>
      <c r="I26" s="79"/>
      <c r="J26" s="79"/>
      <c r="K26" s="79"/>
      <c r="L26" s="80"/>
      <c r="M26" s="79"/>
      <c r="N26" s="79"/>
      <c r="O26" s="79"/>
      <c r="P26" s="90"/>
      <c r="Q26" s="79"/>
      <c r="R26" s="86"/>
      <c r="S26" s="86"/>
      <c r="T26" s="79"/>
      <c r="U26" s="96"/>
      <c r="V26" s="79"/>
      <c r="W26" s="80"/>
      <c r="X26" s="78">
        <f>IF($B26="",0,IF(COUNTIF('TABLESCAPE + FLORALS'!$B$6:$B$65,$B26)&gt;1,1,0))</f>
      </c>
      <c r="Y26" s="78">
        <f>IF(OR(N($R26)&gt;0,N($S26)&gt;0),IF($Q26="",1,IF(COUNTIF('MASTER BUDGET'!$D$6:$D$25,$Q26)=0,1,0)),0)</f>
      </c>
      <c r="Z26" s="78">
        <f>IF($C26="",0,IF(COUNTIF('CHRISTMAS CALENDAR'!$B$6:$B$205,$C26)=0,1,0))</f>
      </c>
      <c r="AA26" s="75"/>
    </row>
    <row r="27" ht="17" customHeight="1" spans="1:27" x14ac:dyDescent="0.25">
      <c r="A27" s="75"/>
      <c r="B27" s="79"/>
      <c r="C27" s="79"/>
      <c r="D27" s="79"/>
      <c r="E27" s="90"/>
      <c r="F27" s="80"/>
      <c r="G27" s="79"/>
      <c r="H27" s="79"/>
      <c r="I27" s="79"/>
      <c r="J27" s="79"/>
      <c r="K27" s="79"/>
      <c r="L27" s="80"/>
      <c r="M27" s="79"/>
      <c r="N27" s="79"/>
      <c r="O27" s="79"/>
      <c r="P27" s="90"/>
      <c r="Q27" s="79"/>
      <c r="R27" s="86"/>
      <c r="S27" s="86"/>
      <c r="T27" s="79"/>
      <c r="U27" s="96"/>
      <c r="V27" s="79"/>
      <c r="W27" s="80"/>
      <c r="X27" s="78">
        <f>IF($B27="",0,IF(COUNTIF('TABLESCAPE + FLORALS'!$B$6:$B$65,$B27)&gt;1,1,0))</f>
      </c>
      <c r="Y27" s="78">
        <f>IF(OR(N($R27)&gt;0,N($S27)&gt;0),IF($Q27="",1,IF(COUNTIF('MASTER BUDGET'!$D$6:$D$25,$Q27)=0,1,0)),0)</f>
      </c>
      <c r="Z27" s="78">
        <f>IF($C27="",0,IF(COUNTIF('CHRISTMAS CALENDAR'!$B$6:$B$205,$C27)=0,1,0))</f>
      </c>
      <c r="AA27" s="75"/>
    </row>
    <row r="28" ht="17" customHeight="1" spans="1:27" x14ac:dyDescent="0.25">
      <c r="A28" s="75"/>
      <c r="B28" s="79"/>
      <c r="C28" s="79"/>
      <c r="D28" s="79"/>
      <c r="E28" s="90"/>
      <c r="F28" s="80"/>
      <c r="G28" s="79"/>
      <c r="H28" s="79"/>
      <c r="I28" s="79"/>
      <c r="J28" s="79"/>
      <c r="K28" s="79"/>
      <c r="L28" s="80"/>
      <c r="M28" s="79"/>
      <c r="N28" s="79"/>
      <c r="O28" s="79"/>
      <c r="P28" s="90"/>
      <c r="Q28" s="79"/>
      <c r="R28" s="86"/>
      <c r="S28" s="86"/>
      <c r="T28" s="79"/>
      <c r="U28" s="96"/>
      <c r="V28" s="79"/>
      <c r="W28" s="80"/>
      <c r="X28" s="78">
        <f>IF($B28="",0,IF(COUNTIF('TABLESCAPE + FLORALS'!$B$6:$B$65,$B28)&gt;1,1,0))</f>
      </c>
      <c r="Y28" s="78">
        <f>IF(OR(N($R28)&gt;0,N($S28)&gt;0),IF($Q28="",1,IF(COUNTIF('MASTER BUDGET'!$D$6:$D$25,$Q28)=0,1,0)),0)</f>
      </c>
      <c r="Z28" s="78">
        <f>IF($C28="",0,IF(COUNTIF('CHRISTMAS CALENDAR'!$B$6:$B$205,$C28)=0,1,0))</f>
      </c>
      <c r="AA28" s="75"/>
    </row>
    <row r="29" ht="17" customHeight="1" spans="1:27" x14ac:dyDescent="0.25">
      <c r="A29" s="75"/>
      <c r="B29" s="79"/>
      <c r="C29" s="79"/>
      <c r="D29" s="79"/>
      <c r="E29" s="90"/>
      <c r="F29" s="80"/>
      <c r="G29" s="79"/>
      <c r="H29" s="79"/>
      <c r="I29" s="79"/>
      <c r="J29" s="79"/>
      <c r="K29" s="79"/>
      <c r="L29" s="80"/>
      <c r="M29" s="79"/>
      <c r="N29" s="79"/>
      <c r="O29" s="79"/>
      <c r="P29" s="90"/>
      <c r="Q29" s="79"/>
      <c r="R29" s="86"/>
      <c r="S29" s="86"/>
      <c r="T29" s="79"/>
      <c r="U29" s="96"/>
      <c r="V29" s="79"/>
      <c r="W29" s="80"/>
      <c r="X29" s="78">
        <f>IF($B29="",0,IF(COUNTIF('TABLESCAPE + FLORALS'!$B$6:$B$65,$B29)&gt;1,1,0))</f>
      </c>
      <c r="Y29" s="78">
        <f>IF(OR(N($R29)&gt;0,N($S29)&gt;0),IF($Q29="",1,IF(COUNTIF('MASTER BUDGET'!$D$6:$D$25,$Q29)=0,1,0)),0)</f>
      </c>
      <c r="Z29" s="78">
        <f>IF($C29="",0,IF(COUNTIF('CHRISTMAS CALENDAR'!$B$6:$B$205,$C29)=0,1,0))</f>
      </c>
      <c r="AA29" s="75"/>
    </row>
    <row r="30" ht="17" customHeight="1" spans="1:27" x14ac:dyDescent="0.25">
      <c r="A30" s="75"/>
      <c r="B30" s="79"/>
      <c r="C30" s="79"/>
      <c r="D30" s="79"/>
      <c r="E30" s="90"/>
      <c r="F30" s="80"/>
      <c r="G30" s="79"/>
      <c r="H30" s="79"/>
      <c r="I30" s="79"/>
      <c r="J30" s="79"/>
      <c r="K30" s="79"/>
      <c r="L30" s="80"/>
      <c r="M30" s="79"/>
      <c r="N30" s="79"/>
      <c r="O30" s="79"/>
      <c r="P30" s="90"/>
      <c r="Q30" s="79"/>
      <c r="R30" s="86"/>
      <c r="S30" s="86"/>
      <c r="T30" s="79"/>
      <c r="U30" s="96"/>
      <c r="V30" s="79"/>
      <c r="W30" s="80"/>
      <c r="X30" s="78">
        <f>IF($B30="",0,IF(COUNTIF('TABLESCAPE + FLORALS'!$B$6:$B$65,$B30)&gt;1,1,0))</f>
      </c>
      <c r="Y30" s="78">
        <f>IF(OR(N($R30)&gt;0,N($S30)&gt;0),IF($Q30="",1,IF(COUNTIF('MASTER BUDGET'!$D$6:$D$25,$Q30)=0,1,0)),0)</f>
      </c>
      <c r="Z30" s="78">
        <f>IF($C30="",0,IF(COUNTIF('CHRISTMAS CALENDAR'!$B$6:$B$205,$C30)=0,1,0))</f>
      </c>
      <c r="AA30" s="75"/>
    </row>
    <row r="31" ht="17" customHeight="1" spans="1:27" x14ac:dyDescent="0.25">
      <c r="A31" s="75"/>
      <c r="B31" s="79"/>
      <c r="C31" s="79"/>
      <c r="D31" s="79"/>
      <c r="E31" s="90"/>
      <c r="F31" s="80"/>
      <c r="G31" s="79"/>
      <c r="H31" s="79"/>
      <c r="I31" s="79"/>
      <c r="J31" s="79"/>
      <c r="K31" s="79"/>
      <c r="L31" s="80"/>
      <c r="M31" s="79"/>
      <c r="N31" s="79"/>
      <c r="O31" s="79"/>
      <c r="P31" s="90"/>
      <c r="Q31" s="79"/>
      <c r="R31" s="86"/>
      <c r="S31" s="86"/>
      <c r="T31" s="79"/>
      <c r="U31" s="96"/>
      <c r="V31" s="79"/>
      <c r="W31" s="80"/>
      <c r="X31" s="78">
        <f>IF($B31="",0,IF(COUNTIF('TABLESCAPE + FLORALS'!$B$6:$B$65,$B31)&gt;1,1,0))</f>
      </c>
      <c r="Y31" s="78">
        <f>IF(OR(N($R31)&gt;0,N($S31)&gt;0),IF($Q31="",1,IF(COUNTIF('MASTER BUDGET'!$D$6:$D$25,$Q31)=0,1,0)),0)</f>
      </c>
      <c r="Z31" s="78">
        <f>IF($C31="",0,IF(COUNTIF('CHRISTMAS CALENDAR'!$B$6:$B$205,$C31)=0,1,0))</f>
      </c>
      <c r="AA31" s="75"/>
    </row>
    <row r="32" ht="17" customHeight="1" spans="1:27" x14ac:dyDescent="0.25">
      <c r="A32" s="75"/>
      <c r="B32" s="79"/>
      <c r="C32" s="79"/>
      <c r="D32" s="79"/>
      <c r="E32" s="90"/>
      <c r="F32" s="80"/>
      <c r="G32" s="79"/>
      <c r="H32" s="79"/>
      <c r="I32" s="79"/>
      <c r="J32" s="79"/>
      <c r="K32" s="79"/>
      <c r="L32" s="80"/>
      <c r="M32" s="79"/>
      <c r="N32" s="79"/>
      <c r="O32" s="79"/>
      <c r="P32" s="90"/>
      <c r="Q32" s="79"/>
      <c r="R32" s="86"/>
      <c r="S32" s="86"/>
      <c r="T32" s="79"/>
      <c r="U32" s="96"/>
      <c r="V32" s="79"/>
      <c r="W32" s="80"/>
      <c r="X32" s="78">
        <f>IF($B32="",0,IF(COUNTIF('TABLESCAPE + FLORALS'!$B$6:$B$65,$B32)&gt;1,1,0))</f>
      </c>
      <c r="Y32" s="78">
        <f>IF(OR(N($R32)&gt;0,N($S32)&gt;0),IF($Q32="",1,IF(COUNTIF('MASTER BUDGET'!$D$6:$D$25,$Q32)=0,1,0)),0)</f>
      </c>
      <c r="Z32" s="78">
        <f>IF($C32="",0,IF(COUNTIF('CHRISTMAS CALENDAR'!$B$6:$B$205,$C32)=0,1,0))</f>
      </c>
      <c r="AA32" s="75"/>
    </row>
    <row r="33" ht="17" customHeight="1" spans="1:27" x14ac:dyDescent="0.25">
      <c r="A33" s="75"/>
      <c r="B33" s="79"/>
      <c r="C33" s="79"/>
      <c r="D33" s="79"/>
      <c r="E33" s="90"/>
      <c r="F33" s="80"/>
      <c r="G33" s="79"/>
      <c r="H33" s="79"/>
      <c r="I33" s="79"/>
      <c r="J33" s="79"/>
      <c r="K33" s="79"/>
      <c r="L33" s="80"/>
      <c r="M33" s="79"/>
      <c r="N33" s="79"/>
      <c r="O33" s="79"/>
      <c r="P33" s="90"/>
      <c r="Q33" s="79"/>
      <c r="R33" s="86"/>
      <c r="S33" s="86"/>
      <c r="T33" s="79"/>
      <c r="U33" s="96"/>
      <c r="V33" s="79"/>
      <c r="W33" s="80"/>
      <c r="X33" s="78">
        <f>IF($B33="",0,IF(COUNTIF('TABLESCAPE + FLORALS'!$B$6:$B$65,$B33)&gt;1,1,0))</f>
      </c>
      <c r="Y33" s="78">
        <f>IF(OR(N($R33)&gt;0,N($S33)&gt;0),IF($Q33="",1,IF(COUNTIF('MASTER BUDGET'!$D$6:$D$25,$Q33)=0,1,0)),0)</f>
      </c>
      <c r="Z33" s="78">
        <f>IF($C33="",0,IF(COUNTIF('CHRISTMAS CALENDAR'!$B$6:$B$205,$C33)=0,1,0))</f>
      </c>
      <c r="AA33" s="75"/>
    </row>
    <row r="34" ht="17" customHeight="1" spans="1:27" x14ac:dyDescent="0.25">
      <c r="A34" s="75"/>
      <c r="B34" s="79"/>
      <c r="C34" s="79"/>
      <c r="D34" s="79"/>
      <c r="E34" s="90"/>
      <c r="F34" s="80"/>
      <c r="G34" s="79"/>
      <c r="H34" s="79"/>
      <c r="I34" s="79"/>
      <c r="J34" s="79"/>
      <c r="K34" s="79"/>
      <c r="L34" s="80"/>
      <c r="M34" s="79"/>
      <c r="N34" s="79"/>
      <c r="O34" s="79"/>
      <c r="P34" s="90"/>
      <c r="Q34" s="79"/>
      <c r="R34" s="86"/>
      <c r="S34" s="86"/>
      <c r="T34" s="79"/>
      <c r="U34" s="96"/>
      <c r="V34" s="79"/>
      <c r="W34" s="80"/>
      <c r="X34" s="78">
        <f>IF($B34="",0,IF(COUNTIF('TABLESCAPE + FLORALS'!$B$6:$B$65,$B34)&gt;1,1,0))</f>
      </c>
      <c r="Y34" s="78">
        <f>IF(OR(N($R34)&gt;0,N($S34)&gt;0),IF($Q34="",1,IF(COUNTIF('MASTER BUDGET'!$D$6:$D$25,$Q34)=0,1,0)),0)</f>
      </c>
      <c r="Z34" s="78">
        <f>IF($C34="",0,IF(COUNTIF('CHRISTMAS CALENDAR'!$B$6:$B$205,$C34)=0,1,0))</f>
      </c>
      <c r="AA34" s="75"/>
    </row>
    <row r="35" ht="17" customHeight="1" spans="1:27" x14ac:dyDescent="0.25">
      <c r="A35" s="75"/>
      <c r="B35" s="79"/>
      <c r="C35" s="79"/>
      <c r="D35" s="79"/>
      <c r="E35" s="90"/>
      <c r="F35" s="80"/>
      <c r="G35" s="79"/>
      <c r="H35" s="79"/>
      <c r="I35" s="79"/>
      <c r="J35" s="79"/>
      <c r="K35" s="79"/>
      <c r="L35" s="80"/>
      <c r="M35" s="79"/>
      <c r="N35" s="79"/>
      <c r="O35" s="79"/>
      <c r="P35" s="90"/>
      <c r="Q35" s="79"/>
      <c r="R35" s="86"/>
      <c r="S35" s="86"/>
      <c r="T35" s="79"/>
      <c r="U35" s="96"/>
      <c r="V35" s="79"/>
      <c r="W35" s="80"/>
      <c r="X35" s="78">
        <f>IF($B35="",0,IF(COUNTIF('TABLESCAPE + FLORALS'!$B$6:$B$65,$B35)&gt;1,1,0))</f>
      </c>
      <c r="Y35" s="78">
        <f>IF(OR(N($R35)&gt;0,N($S35)&gt;0),IF($Q35="",1,IF(COUNTIF('MASTER BUDGET'!$D$6:$D$25,$Q35)=0,1,0)),0)</f>
      </c>
      <c r="Z35" s="78">
        <f>IF($C35="",0,IF(COUNTIF('CHRISTMAS CALENDAR'!$B$6:$B$205,$C35)=0,1,0))</f>
      </c>
      <c r="AA35" s="75"/>
    </row>
    <row r="36" ht="17" customHeight="1" spans="1:27" x14ac:dyDescent="0.25">
      <c r="A36" s="75"/>
      <c r="B36" s="79"/>
      <c r="C36" s="79"/>
      <c r="D36" s="79"/>
      <c r="E36" s="90"/>
      <c r="F36" s="80"/>
      <c r="G36" s="79"/>
      <c r="H36" s="79"/>
      <c r="I36" s="79"/>
      <c r="J36" s="79"/>
      <c r="K36" s="79"/>
      <c r="L36" s="80"/>
      <c r="M36" s="79"/>
      <c r="N36" s="79"/>
      <c r="O36" s="79"/>
      <c r="P36" s="90"/>
      <c r="Q36" s="79"/>
      <c r="R36" s="86"/>
      <c r="S36" s="86"/>
      <c r="T36" s="79"/>
      <c r="U36" s="96"/>
      <c r="V36" s="79"/>
      <c r="W36" s="80"/>
      <c r="X36" s="78">
        <f>IF($B36="",0,IF(COUNTIF('TABLESCAPE + FLORALS'!$B$6:$B$65,$B36)&gt;1,1,0))</f>
      </c>
      <c r="Y36" s="78">
        <f>IF(OR(N($R36)&gt;0,N($S36)&gt;0),IF($Q36="",1,IF(COUNTIF('MASTER BUDGET'!$D$6:$D$25,$Q36)=0,1,0)),0)</f>
      </c>
      <c r="Z36" s="78">
        <f>IF($C36="",0,IF(COUNTIF('CHRISTMAS CALENDAR'!$B$6:$B$205,$C36)=0,1,0))</f>
      </c>
      <c r="AA36" s="75"/>
    </row>
    <row r="37" ht="17" customHeight="1" spans="1:27" x14ac:dyDescent="0.25">
      <c r="A37" s="75"/>
      <c r="B37" s="79"/>
      <c r="C37" s="79"/>
      <c r="D37" s="79"/>
      <c r="E37" s="90"/>
      <c r="F37" s="80"/>
      <c r="G37" s="79"/>
      <c r="H37" s="79"/>
      <c r="I37" s="79"/>
      <c r="J37" s="79"/>
      <c r="K37" s="79"/>
      <c r="L37" s="80"/>
      <c r="M37" s="79"/>
      <c r="N37" s="79"/>
      <c r="O37" s="79"/>
      <c r="P37" s="90"/>
      <c r="Q37" s="79"/>
      <c r="R37" s="86"/>
      <c r="S37" s="86"/>
      <c r="T37" s="79"/>
      <c r="U37" s="96"/>
      <c r="V37" s="79"/>
      <c r="W37" s="80"/>
      <c r="X37" s="78">
        <f>IF($B37="",0,IF(COUNTIF('TABLESCAPE + FLORALS'!$B$6:$B$65,$B37)&gt;1,1,0))</f>
      </c>
      <c r="Y37" s="78">
        <f>IF(OR(N($R37)&gt;0,N($S37)&gt;0),IF($Q37="",1,IF(COUNTIF('MASTER BUDGET'!$D$6:$D$25,$Q37)=0,1,0)),0)</f>
      </c>
      <c r="Z37" s="78">
        <f>IF($C37="",0,IF(COUNTIF('CHRISTMAS CALENDAR'!$B$6:$B$205,$C37)=0,1,0))</f>
      </c>
      <c r="AA37" s="75"/>
    </row>
    <row r="38" ht="17" customHeight="1" spans="1:27" x14ac:dyDescent="0.25">
      <c r="A38" s="75"/>
      <c r="B38" s="79"/>
      <c r="C38" s="79"/>
      <c r="D38" s="79"/>
      <c r="E38" s="90"/>
      <c r="F38" s="80"/>
      <c r="G38" s="79"/>
      <c r="H38" s="79"/>
      <c r="I38" s="79"/>
      <c r="J38" s="79"/>
      <c r="K38" s="79"/>
      <c r="L38" s="80"/>
      <c r="M38" s="79"/>
      <c r="N38" s="79"/>
      <c r="O38" s="79"/>
      <c r="P38" s="90"/>
      <c r="Q38" s="79"/>
      <c r="R38" s="86"/>
      <c r="S38" s="86"/>
      <c r="T38" s="79"/>
      <c r="U38" s="96"/>
      <c r="V38" s="79"/>
      <c r="W38" s="80"/>
      <c r="X38" s="78">
        <f>IF($B38="",0,IF(COUNTIF('TABLESCAPE + FLORALS'!$B$6:$B$65,$B38)&gt;1,1,0))</f>
      </c>
      <c r="Y38" s="78">
        <f>IF(OR(N($R38)&gt;0,N($S38)&gt;0),IF($Q38="",1,IF(COUNTIF('MASTER BUDGET'!$D$6:$D$25,$Q38)=0,1,0)),0)</f>
      </c>
      <c r="Z38" s="78">
        <f>IF($C38="",0,IF(COUNTIF('CHRISTMAS CALENDAR'!$B$6:$B$205,$C38)=0,1,0))</f>
      </c>
      <c r="AA38" s="75"/>
    </row>
    <row r="39" ht="17" customHeight="1" spans="1:27" x14ac:dyDescent="0.25">
      <c r="A39" s="75"/>
      <c r="B39" s="79"/>
      <c r="C39" s="79"/>
      <c r="D39" s="79"/>
      <c r="E39" s="90"/>
      <c r="F39" s="80"/>
      <c r="G39" s="79"/>
      <c r="H39" s="79"/>
      <c r="I39" s="79"/>
      <c r="J39" s="79"/>
      <c r="K39" s="79"/>
      <c r="L39" s="80"/>
      <c r="M39" s="79"/>
      <c r="N39" s="79"/>
      <c r="O39" s="79"/>
      <c r="P39" s="90"/>
      <c r="Q39" s="79"/>
      <c r="R39" s="86"/>
      <c r="S39" s="86"/>
      <c r="T39" s="79"/>
      <c r="U39" s="96"/>
      <c r="V39" s="79"/>
      <c r="W39" s="80"/>
      <c r="X39" s="78">
        <f>IF($B39="",0,IF(COUNTIF('TABLESCAPE + FLORALS'!$B$6:$B$65,$B39)&gt;1,1,0))</f>
      </c>
      <c r="Y39" s="78">
        <f>IF(OR(N($R39)&gt;0,N($S39)&gt;0),IF($Q39="",1,IF(COUNTIF('MASTER BUDGET'!$D$6:$D$25,$Q39)=0,1,0)),0)</f>
      </c>
      <c r="Z39" s="78">
        <f>IF($C39="",0,IF(COUNTIF('CHRISTMAS CALENDAR'!$B$6:$B$205,$C39)=0,1,0))</f>
      </c>
      <c r="AA39" s="75"/>
    </row>
    <row r="40" ht="17" customHeight="1" spans="1:27" x14ac:dyDescent="0.25">
      <c r="A40" s="75"/>
      <c r="B40" s="79"/>
      <c r="C40" s="79"/>
      <c r="D40" s="79"/>
      <c r="E40" s="90"/>
      <c r="F40" s="80"/>
      <c r="G40" s="79"/>
      <c r="H40" s="79"/>
      <c r="I40" s="79"/>
      <c r="J40" s="79"/>
      <c r="K40" s="79"/>
      <c r="L40" s="80"/>
      <c r="M40" s="79"/>
      <c r="N40" s="79"/>
      <c r="O40" s="79"/>
      <c r="P40" s="90"/>
      <c r="Q40" s="79"/>
      <c r="R40" s="86"/>
      <c r="S40" s="86"/>
      <c r="T40" s="79"/>
      <c r="U40" s="96"/>
      <c r="V40" s="79"/>
      <c r="W40" s="80"/>
      <c r="X40" s="78">
        <f>IF($B40="",0,IF(COUNTIF('TABLESCAPE + FLORALS'!$B$6:$B$65,$B40)&gt;1,1,0))</f>
      </c>
      <c r="Y40" s="78">
        <f>IF(OR(N($R40)&gt;0,N($S40)&gt;0),IF($Q40="",1,IF(COUNTIF('MASTER BUDGET'!$D$6:$D$25,$Q40)=0,1,0)),0)</f>
      </c>
      <c r="Z40" s="78">
        <f>IF($C40="",0,IF(COUNTIF('CHRISTMAS CALENDAR'!$B$6:$B$205,$C40)=0,1,0))</f>
      </c>
      <c r="AA40" s="75"/>
    </row>
    <row r="41" ht="17" customHeight="1" spans="1:27" x14ac:dyDescent="0.25">
      <c r="A41" s="75"/>
      <c r="B41" s="79"/>
      <c r="C41" s="79"/>
      <c r="D41" s="79"/>
      <c r="E41" s="90"/>
      <c r="F41" s="80"/>
      <c r="G41" s="79"/>
      <c r="H41" s="79"/>
      <c r="I41" s="79"/>
      <c r="J41" s="79"/>
      <c r="K41" s="79"/>
      <c r="L41" s="80"/>
      <c r="M41" s="79"/>
      <c r="N41" s="79"/>
      <c r="O41" s="79"/>
      <c r="P41" s="90"/>
      <c r="Q41" s="79"/>
      <c r="R41" s="86"/>
      <c r="S41" s="86"/>
      <c r="T41" s="79"/>
      <c r="U41" s="96"/>
      <c r="V41" s="79"/>
      <c r="W41" s="80"/>
      <c r="X41" s="78">
        <f>IF($B41="",0,IF(COUNTIF('TABLESCAPE + FLORALS'!$B$6:$B$65,$B41)&gt;1,1,0))</f>
      </c>
      <c r="Y41" s="78">
        <f>IF(OR(N($R41)&gt;0,N($S41)&gt;0),IF($Q41="",1,IF(COUNTIF('MASTER BUDGET'!$D$6:$D$25,$Q41)=0,1,0)),0)</f>
      </c>
      <c r="Z41" s="78">
        <f>IF($C41="",0,IF(COUNTIF('CHRISTMAS CALENDAR'!$B$6:$B$205,$C41)=0,1,0))</f>
      </c>
      <c r="AA41" s="75"/>
    </row>
    <row r="42" ht="17" customHeight="1" spans="1:27" x14ac:dyDescent="0.25">
      <c r="A42" s="75"/>
      <c r="B42" s="79"/>
      <c r="C42" s="79"/>
      <c r="D42" s="79"/>
      <c r="E42" s="90"/>
      <c r="F42" s="80"/>
      <c r="G42" s="79"/>
      <c r="H42" s="79"/>
      <c r="I42" s="79"/>
      <c r="J42" s="79"/>
      <c r="K42" s="79"/>
      <c r="L42" s="80"/>
      <c r="M42" s="79"/>
      <c r="N42" s="79"/>
      <c r="O42" s="79"/>
      <c r="P42" s="90"/>
      <c r="Q42" s="79"/>
      <c r="R42" s="86"/>
      <c r="S42" s="86"/>
      <c r="T42" s="79"/>
      <c r="U42" s="96"/>
      <c r="V42" s="79"/>
      <c r="W42" s="80"/>
      <c r="X42" s="78">
        <f>IF($B42="",0,IF(COUNTIF('TABLESCAPE + FLORALS'!$B$6:$B$65,$B42)&gt;1,1,0))</f>
      </c>
      <c r="Y42" s="78">
        <f>IF(OR(N($R42)&gt;0,N($S42)&gt;0),IF($Q42="",1,IF(COUNTIF('MASTER BUDGET'!$D$6:$D$25,$Q42)=0,1,0)),0)</f>
      </c>
      <c r="Z42" s="78">
        <f>IF($C42="",0,IF(COUNTIF('CHRISTMAS CALENDAR'!$B$6:$B$205,$C42)=0,1,0))</f>
      </c>
      <c r="AA42" s="75"/>
    </row>
    <row r="43" ht="17" customHeight="1" spans="1:27" x14ac:dyDescent="0.25">
      <c r="A43" s="75"/>
      <c r="B43" s="79"/>
      <c r="C43" s="79"/>
      <c r="D43" s="79"/>
      <c r="E43" s="90"/>
      <c r="F43" s="80"/>
      <c r="G43" s="79"/>
      <c r="H43" s="79"/>
      <c r="I43" s="79"/>
      <c r="J43" s="79"/>
      <c r="K43" s="79"/>
      <c r="L43" s="80"/>
      <c r="M43" s="79"/>
      <c r="N43" s="79"/>
      <c r="O43" s="79"/>
      <c r="P43" s="90"/>
      <c r="Q43" s="79"/>
      <c r="R43" s="86"/>
      <c r="S43" s="86"/>
      <c r="T43" s="79"/>
      <c r="U43" s="96"/>
      <c r="V43" s="79"/>
      <c r="W43" s="80"/>
      <c r="X43" s="78">
        <f>IF($B43="",0,IF(COUNTIF('TABLESCAPE + FLORALS'!$B$6:$B$65,$B43)&gt;1,1,0))</f>
      </c>
      <c r="Y43" s="78">
        <f>IF(OR(N($R43)&gt;0,N($S43)&gt;0),IF($Q43="",1,IF(COUNTIF('MASTER BUDGET'!$D$6:$D$25,$Q43)=0,1,0)),0)</f>
      </c>
      <c r="Z43" s="78">
        <f>IF($C43="",0,IF(COUNTIF('CHRISTMAS CALENDAR'!$B$6:$B$205,$C43)=0,1,0))</f>
      </c>
      <c r="AA43" s="75"/>
    </row>
    <row r="44" ht="17" customHeight="1" spans="1:27" x14ac:dyDescent="0.25">
      <c r="A44" s="75"/>
      <c r="B44" s="79"/>
      <c r="C44" s="79"/>
      <c r="D44" s="79"/>
      <c r="E44" s="90"/>
      <c r="F44" s="80"/>
      <c r="G44" s="79"/>
      <c r="H44" s="79"/>
      <c r="I44" s="79"/>
      <c r="J44" s="79"/>
      <c r="K44" s="79"/>
      <c r="L44" s="80"/>
      <c r="M44" s="79"/>
      <c r="N44" s="79"/>
      <c r="O44" s="79"/>
      <c r="P44" s="90"/>
      <c r="Q44" s="79"/>
      <c r="R44" s="86"/>
      <c r="S44" s="86"/>
      <c r="T44" s="79"/>
      <c r="U44" s="96"/>
      <c r="V44" s="79"/>
      <c r="W44" s="80"/>
      <c r="X44" s="78">
        <f>IF($B44="",0,IF(COUNTIF('TABLESCAPE + FLORALS'!$B$6:$B$65,$B44)&gt;1,1,0))</f>
      </c>
      <c r="Y44" s="78">
        <f>IF(OR(N($R44)&gt;0,N($S44)&gt;0),IF($Q44="",1,IF(COUNTIF('MASTER BUDGET'!$D$6:$D$25,$Q44)=0,1,0)),0)</f>
      </c>
      <c r="Z44" s="78">
        <f>IF($C44="",0,IF(COUNTIF('CHRISTMAS CALENDAR'!$B$6:$B$205,$C44)=0,1,0))</f>
      </c>
      <c r="AA44" s="75"/>
    </row>
    <row r="45" ht="17" customHeight="1" spans="1:27" x14ac:dyDescent="0.25">
      <c r="A45" s="75"/>
      <c r="B45" s="79"/>
      <c r="C45" s="79"/>
      <c r="D45" s="79"/>
      <c r="E45" s="90"/>
      <c r="F45" s="80"/>
      <c r="G45" s="79"/>
      <c r="H45" s="79"/>
      <c r="I45" s="79"/>
      <c r="J45" s="79"/>
      <c r="K45" s="79"/>
      <c r="L45" s="80"/>
      <c r="M45" s="79"/>
      <c r="N45" s="79"/>
      <c r="O45" s="79"/>
      <c r="P45" s="90"/>
      <c r="Q45" s="79"/>
      <c r="R45" s="86"/>
      <c r="S45" s="86"/>
      <c r="T45" s="79"/>
      <c r="U45" s="96"/>
      <c r="V45" s="79"/>
      <c r="W45" s="80"/>
      <c r="X45" s="78">
        <f>IF($B45="",0,IF(COUNTIF('TABLESCAPE + FLORALS'!$B$6:$B$65,$B45)&gt;1,1,0))</f>
      </c>
      <c r="Y45" s="78">
        <f>IF(OR(N($R45)&gt;0,N($S45)&gt;0),IF($Q45="",1,IF(COUNTIF('MASTER BUDGET'!$D$6:$D$25,$Q45)=0,1,0)),0)</f>
      </c>
      <c r="Z45" s="78">
        <f>IF($C45="",0,IF(COUNTIF('CHRISTMAS CALENDAR'!$B$6:$B$205,$C45)=0,1,0))</f>
      </c>
      <c r="AA45" s="75"/>
    </row>
    <row r="46" ht="17" customHeight="1" spans="1:27" x14ac:dyDescent="0.25">
      <c r="A46" s="75"/>
      <c r="B46" s="79"/>
      <c r="C46" s="79"/>
      <c r="D46" s="79"/>
      <c r="E46" s="90"/>
      <c r="F46" s="80"/>
      <c r="G46" s="79"/>
      <c r="H46" s="79"/>
      <c r="I46" s="79"/>
      <c r="J46" s="79"/>
      <c r="K46" s="79"/>
      <c r="L46" s="80"/>
      <c r="M46" s="79"/>
      <c r="N46" s="79"/>
      <c r="O46" s="79"/>
      <c r="P46" s="90"/>
      <c r="Q46" s="79"/>
      <c r="R46" s="86"/>
      <c r="S46" s="86"/>
      <c r="T46" s="79"/>
      <c r="U46" s="96"/>
      <c r="V46" s="79"/>
      <c r="W46" s="80"/>
      <c r="X46" s="78">
        <f>IF($B46="",0,IF(COUNTIF('TABLESCAPE + FLORALS'!$B$6:$B$65,$B46)&gt;1,1,0))</f>
      </c>
      <c r="Y46" s="78">
        <f>IF(OR(N($R46)&gt;0,N($S46)&gt;0),IF($Q46="",1,IF(COUNTIF('MASTER BUDGET'!$D$6:$D$25,$Q46)=0,1,0)),0)</f>
      </c>
      <c r="Z46" s="78">
        <f>IF($C46="",0,IF(COUNTIF('CHRISTMAS CALENDAR'!$B$6:$B$205,$C46)=0,1,0))</f>
      </c>
      <c r="AA46" s="75"/>
    </row>
    <row r="47" ht="17" customHeight="1" spans="1:27" x14ac:dyDescent="0.25">
      <c r="A47" s="75"/>
      <c r="B47" s="79"/>
      <c r="C47" s="79"/>
      <c r="D47" s="79"/>
      <c r="E47" s="90"/>
      <c r="F47" s="80"/>
      <c r="G47" s="79"/>
      <c r="H47" s="79"/>
      <c r="I47" s="79"/>
      <c r="J47" s="79"/>
      <c r="K47" s="79"/>
      <c r="L47" s="80"/>
      <c r="M47" s="79"/>
      <c r="N47" s="79"/>
      <c r="O47" s="79"/>
      <c r="P47" s="90"/>
      <c r="Q47" s="79"/>
      <c r="R47" s="86"/>
      <c r="S47" s="86"/>
      <c r="T47" s="79"/>
      <c r="U47" s="96"/>
      <c r="V47" s="79"/>
      <c r="W47" s="80"/>
      <c r="X47" s="78">
        <f>IF($B47="",0,IF(COUNTIF('TABLESCAPE + FLORALS'!$B$6:$B$65,$B47)&gt;1,1,0))</f>
      </c>
      <c r="Y47" s="78">
        <f>IF(OR(N($R47)&gt;0,N($S47)&gt;0),IF($Q47="",1,IF(COUNTIF('MASTER BUDGET'!$D$6:$D$25,$Q47)=0,1,0)),0)</f>
      </c>
      <c r="Z47" s="78">
        <f>IF($C47="",0,IF(COUNTIF('CHRISTMAS CALENDAR'!$B$6:$B$205,$C47)=0,1,0))</f>
      </c>
      <c r="AA47" s="75"/>
    </row>
    <row r="48" ht="17" customHeight="1" spans="1:27" x14ac:dyDescent="0.25">
      <c r="A48" s="75"/>
      <c r="B48" s="79"/>
      <c r="C48" s="79"/>
      <c r="D48" s="79"/>
      <c r="E48" s="90"/>
      <c r="F48" s="80"/>
      <c r="G48" s="79"/>
      <c r="H48" s="79"/>
      <c r="I48" s="79"/>
      <c r="J48" s="79"/>
      <c r="K48" s="79"/>
      <c r="L48" s="80"/>
      <c r="M48" s="79"/>
      <c r="N48" s="79"/>
      <c r="O48" s="79"/>
      <c r="P48" s="90"/>
      <c r="Q48" s="79"/>
      <c r="R48" s="86"/>
      <c r="S48" s="86"/>
      <c r="T48" s="79"/>
      <c r="U48" s="96"/>
      <c r="V48" s="79"/>
      <c r="W48" s="80"/>
      <c r="X48" s="78">
        <f>IF($B48="",0,IF(COUNTIF('TABLESCAPE + FLORALS'!$B$6:$B$65,$B48)&gt;1,1,0))</f>
      </c>
      <c r="Y48" s="78">
        <f>IF(OR(N($R48)&gt;0,N($S48)&gt;0),IF($Q48="",1,IF(COUNTIF('MASTER BUDGET'!$D$6:$D$25,$Q48)=0,1,0)),0)</f>
      </c>
      <c r="Z48" s="78">
        <f>IF($C48="",0,IF(COUNTIF('CHRISTMAS CALENDAR'!$B$6:$B$205,$C48)=0,1,0))</f>
      </c>
      <c r="AA48" s="75"/>
    </row>
    <row r="49" ht="17" customHeight="1" spans="1:27" x14ac:dyDescent="0.25">
      <c r="A49" s="75"/>
      <c r="B49" s="79"/>
      <c r="C49" s="79"/>
      <c r="D49" s="79"/>
      <c r="E49" s="90"/>
      <c r="F49" s="80"/>
      <c r="G49" s="79"/>
      <c r="H49" s="79"/>
      <c r="I49" s="79"/>
      <c r="J49" s="79"/>
      <c r="K49" s="79"/>
      <c r="L49" s="80"/>
      <c r="M49" s="79"/>
      <c r="N49" s="79"/>
      <c r="O49" s="79"/>
      <c r="P49" s="90"/>
      <c r="Q49" s="79"/>
      <c r="R49" s="86"/>
      <c r="S49" s="86"/>
      <c r="T49" s="79"/>
      <c r="U49" s="96"/>
      <c r="V49" s="79"/>
      <c r="W49" s="80"/>
      <c r="X49" s="78">
        <f>IF($B49="",0,IF(COUNTIF('TABLESCAPE + FLORALS'!$B$6:$B$65,$B49)&gt;1,1,0))</f>
      </c>
      <c r="Y49" s="78">
        <f>IF(OR(N($R49)&gt;0,N($S49)&gt;0),IF($Q49="",1,IF(COUNTIF('MASTER BUDGET'!$D$6:$D$25,$Q49)=0,1,0)),0)</f>
      </c>
      <c r="Z49" s="78">
        <f>IF($C49="",0,IF(COUNTIF('CHRISTMAS CALENDAR'!$B$6:$B$205,$C49)=0,1,0))</f>
      </c>
      <c r="AA49" s="75"/>
    </row>
    <row r="50" ht="17" customHeight="1" spans="1:27" x14ac:dyDescent="0.25">
      <c r="A50" s="75"/>
      <c r="B50" s="79"/>
      <c r="C50" s="79"/>
      <c r="D50" s="79"/>
      <c r="E50" s="90"/>
      <c r="F50" s="80"/>
      <c r="G50" s="79"/>
      <c r="H50" s="79"/>
      <c r="I50" s="79"/>
      <c r="J50" s="79"/>
      <c r="K50" s="79"/>
      <c r="L50" s="80"/>
      <c r="M50" s="79"/>
      <c r="N50" s="79"/>
      <c r="O50" s="79"/>
      <c r="P50" s="90"/>
      <c r="Q50" s="79"/>
      <c r="R50" s="86"/>
      <c r="S50" s="86"/>
      <c r="T50" s="79"/>
      <c r="U50" s="96"/>
      <c r="V50" s="79"/>
      <c r="W50" s="80"/>
      <c r="X50" s="78">
        <f>IF($B50="",0,IF(COUNTIF('TABLESCAPE + FLORALS'!$B$6:$B$65,$B50)&gt;1,1,0))</f>
      </c>
      <c r="Y50" s="78">
        <f>IF(OR(N($R50)&gt;0,N($S50)&gt;0),IF($Q50="",1,IF(COUNTIF('MASTER BUDGET'!$D$6:$D$25,$Q50)=0,1,0)),0)</f>
      </c>
      <c r="Z50" s="78">
        <f>IF($C50="",0,IF(COUNTIF('CHRISTMAS CALENDAR'!$B$6:$B$205,$C50)=0,1,0))</f>
      </c>
      <c r="AA50" s="75"/>
    </row>
    <row r="51" ht="17" customHeight="1" spans="1:27" x14ac:dyDescent="0.25">
      <c r="A51" s="75"/>
      <c r="B51" s="79"/>
      <c r="C51" s="79"/>
      <c r="D51" s="79"/>
      <c r="E51" s="90"/>
      <c r="F51" s="80"/>
      <c r="G51" s="79"/>
      <c r="H51" s="79"/>
      <c r="I51" s="79"/>
      <c r="J51" s="79"/>
      <c r="K51" s="79"/>
      <c r="L51" s="80"/>
      <c r="M51" s="79"/>
      <c r="N51" s="79"/>
      <c r="O51" s="79"/>
      <c r="P51" s="90"/>
      <c r="Q51" s="79"/>
      <c r="R51" s="86"/>
      <c r="S51" s="86"/>
      <c r="T51" s="79"/>
      <c r="U51" s="96"/>
      <c r="V51" s="79"/>
      <c r="W51" s="80"/>
      <c r="X51" s="78">
        <f>IF($B51="",0,IF(COUNTIF('TABLESCAPE + FLORALS'!$B$6:$B$65,$B51)&gt;1,1,0))</f>
      </c>
      <c r="Y51" s="78">
        <f>IF(OR(N($R51)&gt;0,N($S51)&gt;0),IF($Q51="",1,IF(COUNTIF('MASTER BUDGET'!$D$6:$D$25,$Q51)=0,1,0)),0)</f>
      </c>
      <c r="Z51" s="78">
        <f>IF($C51="",0,IF(COUNTIF('CHRISTMAS CALENDAR'!$B$6:$B$205,$C51)=0,1,0))</f>
      </c>
      <c r="AA51" s="75"/>
    </row>
    <row r="52" ht="17" customHeight="1" spans="1:27" x14ac:dyDescent="0.25">
      <c r="A52" s="75"/>
      <c r="B52" s="79"/>
      <c r="C52" s="79"/>
      <c r="D52" s="79"/>
      <c r="E52" s="90"/>
      <c r="F52" s="80"/>
      <c r="G52" s="79"/>
      <c r="H52" s="79"/>
      <c r="I52" s="79"/>
      <c r="J52" s="79"/>
      <c r="K52" s="79"/>
      <c r="L52" s="80"/>
      <c r="M52" s="79"/>
      <c r="N52" s="79"/>
      <c r="O52" s="79"/>
      <c r="P52" s="90"/>
      <c r="Q52" s="79"/>
      <c r="R52" s="86"/>
      <c r="S52" s="86"/>
      <c r="T52" s="79"/>
      <c r="U52" s="96"/>
      <c r="V52" s="79"/>
      <c r="W52" s="80"/>
      <c r="X52" s="78">
        <f>IF($B52="",0,IF(COUNTIF('TABLESCAPE + FLORALS'!$B$6:$B$65,$B52)&gt;1,1,0))</f>
      </c>
      <c r="Y52" s="78">
        <f>IF(OR(N($R52)&gt;0,N($S52)&gt;0),IF($Q52="",1,IF(COUNTIF('MASTER BUDGET'!$D$6:$D$25,$Q52)=0,1,0)),0)</f>
      </c>
      <c r="Z52" s="78">
        <f>IF($C52="",0,IF(COUNTIF('CHRISTMAS CALENDAR'!$B$6:$B$205,$C52)=0,1,0))</f>
      </c>
      <c r="AA52" s="75"/>
    </row>
    <row r="53" ht="17" customHeight="1" spans="1:27" x14ac:dyDescent="0.25">
      <c r="A53" s="75"/>
      <c r="B53" s="79"/>
      <c r="C53" s="79"/>
      <c r="D53" s="79"/>
      <c r="E53" s="90"/>
      <c r="F53" s="80"/>
      <c r="G53" s="79"/>
      <c r="H53" s="79"/>
      <c r="I53" s="79"/>
      <c r="J53" s="79"/>
      <c r="K53" s="79"/>
      <c r="L53" s="80"/>
      <c r="M53" s="79"/>
      <c r="N53" s="79"/>
      <c r="O53" s="79"/>
      <c r="P53" s="90"/>
      <c r="Q53" s="79"/>
      <c r="R53" s="86"/>
      <c r="S53" s="86"/>
      <c r="T53" s="79"/>
      <c r="U53" s="96"/>
      <c r="V53" s="79"/>
      <c r="W53" s="80"/>
      <c r="X53" s="78">
        <f>IF($B53="",0,IF(COUNTIF('TABLESCAPE + FLORALS'!$B$6:$B$65,$B53)&gt;1,1,0))</f>
      </c>
      <c r="Y53" s="78">
        <f>IF(OR(N($R53)&gt;0,N($S53)&gt;0),IF($Q53="",1,IF(COUNTIF('MASTER BUDGET'!$D$6:$D$25,$Q53)=0,1,0)),0)</f>
      </c>
      <c r="Z53" s="78">
        <f>IF($C53="",0,IF(COUNTIF('CHRISTMAS CALENDAR'!$B$6:$B$205,$C53)=0,1,0))</f>
      </c>
      <c r="AA53" s="75"/>
    </row>
    <row r="54" ht="17" customHeight="1" spans="1:27" x14ac:dyDescent="0.25">
      <c r="A54" s="75"/>
      <c r="B54" s="79"/>
      <c r="C54" s="79"/>
      <c r="D54" s="79"/>
      <c r="E54" s="90"/>
      <c r="F54" s="80"/>
      <c r="G54" s="79"/>
      <c r="H54" s="79"/>
      <c r="I54" s="79"/>
      <c r="J54" s="79"/>
      <c r="K54" s="79"/>
      <c r="L54" s="80"/>
      <c r="M54" s="79"/>
      <c r="N54" s="79"/>
      <c r="O54" s="79"/>
      <c r="P54" s="90"/>
      <c r="Q54" s="79"/>
      <c r="R54" s="86"/>
      <c r="S54" s="86"/>
      <c r="T54" s="79"/>
      <c r="U54" s="96"/>
      <c r="V54" s="79"/>
      <c r="W54" s="80"/>
      <c r="X54" s="78">
        <f>IF($B54="",0,IF(COUNTIF('TABLESCAPE + FLORALS'!$B$6:$B$65,$B54)&gt;1,1,0))</f>
      </c>
      <c r="Y54" s="78">
        <f>IF(OR(N($R54)&gt;0,N($S54)&gt;0),IF($Q54="",1,IF(COUNTIF('MASTER BUDGET'!$D$6:$D$25,$Q54)=0,1,0)),0)</f>
      </c>
      <c r="Z54" s="78">
        <f>IF($C54="",0,IF(COUNTIF('CHRISTMAS CALENDAR'!$B$6:$B$205,$C54)=0,1,0))</f>
      </c>
      <c r="AA54" s="75"/>
    </row>
    <row r="55" ht="17" customHeight="1" spans="1:27" x14ac:dyDescent="0.25">
      <c r="A55" s="75"/>
      <c r="B55" s="79"/>
      <c r="C55" s="79"/>
      <c r="D55" s="79"/>
      <c r="E55" s="90"/>
      <c r="F55" s="80"/>
      <c r="G55" s="79"/>
      <c r="H55" s="79"/>
      <c r="I55" s="79"/>
      <c r="J55" s="79"/>
      <c r="K55" s="79"/>
      <c r="L55" s="80"/>
      <c r="M55" s="79"/>
      <c r="N55" s="79"/>
      <c r="O55" s="79"/>
      <c r="P55" s="90"/>
      <c r="Q55" s="79"/>
      <c r="R55" s="86"/>
      <c r="S55" s="86"/>
      <c r="T55" s="79"/>
      <c r="U55" s="96"/>
      <c r="V55" s="79"/>
      <c r="W55" s="80"/>
      <c r="X55" s="78">
        <f>IF($B55="",0,IF(COUNTIF('TABLESCAPE + FLORALS'!$B$6:$B$65,$B55)&gt;1,1,0))</f>
      </c>
      <c r="Y55" s="78">
        <f>IF(OR(N($R55)&gt;0,N($S55)&gt;0),IF($Q55="",1,IF(COUNTIF('MASTER BUDGET'!$D$6:$D$25,$Q55)=0,1,0)),0)</f>
      </c>
      <c r="Z55" s="78">
        <f>IF($C55="",0,IF(COUNTIF('CHRISTMAS CALENDAR'!$B$6:$B$205,$C55)=0,1,0))</f>
      </c>
      <c r="AA55" s="75"/>
    </row>
    <row r="56" ht="17" customHeight="1" spans="1:27" x14ac:dyDescent="0.25">
      <c r="A56" s="75"/>
      <c r="B56" s="79"/>
      <c r="C56" s="79"/>
      <c r="D56" s="79"/>
      <c r="E56" s="90"/>
      <c r="F56" s="80"/>
      <c r="G56" s="79"/>
      <c r="H56" s="79"/>
      <c r="I56" s="79"/>
      <c r="J56" s="79"/>
      <c r="K56" s="79"/>
      <c r="L56" s="80"/>
      <c r="M56" s="79"/>
      <c r="N56" s="79"/>
      <c r="O56" s="79"/>
      <c r="P56" s="90"/>
      <c r="Q56" s="79"/>
      <c r="R56" s="86"/>
      <c r="S56" s="86"/>
      <c r="T56" s="79"/>
      <c r="U56" s="96"/>
      <c r="V56" s="79"/>
      <c r="W56" s="80"/>
      <c r="X56" s="78">
        <f>IF($B56="",0,IF(COUNTIF('TABLESCAPE + FLORALS'!$B$6:$B$65,$B56)&gt;1,1,0))</f>
      </c>
      <c r="Y56" s="78">
        <f>IF(OR(N($R56)&gt;0,N($S56)&gt;0),IF($Q56="",1,IF(COUNTIF('MASTER BUDGET'!$D$6:$D$25,$Q56)=0,1,0)),0)</f>
      </c>
      <c r="Z56" s="78">
        <f>IF($C56="",0,IF(COUNTIF('CHRISTMAS CALENDAR'!$B$6:$B$205,$C56)=0,1,0))</f>
      </c>
      <c r="AA56" s="75"/>
    </row>
    <row r="57" ht="17" customHeight="1" spans="1:27" x14ac:dyDescent="0.25">
      <c r="A57" s="75"/>
      <c r="B57" s="79"/>
      <c r="C57" s="79"/>
      <c r="D57" s="79"/>
      <c r="E57" s="90"/>
      <c r="F57" s="80"/>
      <c r="G57" s="79"/>
      <c r="H57" s="79"/>
      <c r="I57" s="79"/>
      <c r="J57" s="79"/>
      <c r="K57" s="79"/>
      <c r="L57" s="80"/>
      <c r="M57" s="79"/>
      <c r="N57" s="79"/>
      <c r="O57" s="79"/>
      <c r="P57" s="90"/>
      <c r="Q57" s="79"/>
      <c r="R57" s="86"/>
      <c r="S57" s="86"/>
      <c r="T57" s="79"/>
      <c r="U57" s="96"/>
      <c r="V57" s="79"/>
      <c r="W57" s="80"/>
      <c r="X57" s="78">
        <f>IF($B57="",0,IF(COUNTIF('TABLESCAPE + FLORALS'!$B$6:$B$65,$B57)&gt;1,1,0))</f>
      </c>
      <c r="Y57" s="78">
        <f>IF(OR(N($R57)&gt;0,N($S57)&gt;0),IF($Q57="",1,IF(COUNTIF('MASTER BUDGET'!$D$6:$D$25,$Q57)=0,1,0)),0)</f>
      </c>
      <c r="Z57" s="78">
        <f>IF($C57="",0,IF(COUNTIF('CHRISTMAS CALENDAR'!$B$6:$B$205,$C57)=0,1,0))</f>
      </c>
      <c r="AA57" s="75"/>
    </row>
    <row r="58" ht="17" customHeight="1" spans="1:27" x14ac:dyDescent="0.25">
      <c r="A58" s="75"/>
      <c r="B58" s="79"/>
      <c r="C58" s="79"/>
      <c r="D58" s="79"/>
      <c r="E58" s="90"/>
      <c r="F58" s="80"/>
      <c r="G58" s="79"/>
      <c r="H58" s="79"/>
      <c r="I58" s="79"/>
      <c r="J58" s="79"/>
      <c r="K58" s="79"/>
      <c r="L58" s="80"/>
      <c r="M58" s="79"/>
      <c r="N58" s="79"/>
      <c r="O58" s="79"/>
      <c r="P58" s="90"/>
      <c r="Q58" s="79"/>
      <c r="R58" s="86"/>
      <c r="S58" s="86"/>
      <c r="T58" s="79"/>
      <c r="U58" s="96"/>
      <c r="V58" s="79"/>
      <c r="W58" s="80"/>
      <c r="X58" s="78">
        <f>IF($B58="",0,IF(COUNTIF('TABLESCAPE + FLORALS'!$B$6:$B$65,$B58)&gt;1,1,0))</f>
      </c>
      <c r="Y58" s="78">
        <f>IF(OR(N($R58)&gt;0,N($S58)&gt;0),IF($Q58="",1,IF(COUNTIF('MASTER BUDGET'!$D$6:$D$25,$Q58)=0,1,0)),0)</f>
      </c>
      <c r="Z58" s="78">
        <f>IF($C58="",0,IF(COUNTIF('CHRISTMAS CALENDAR'!$B$6:$B$205,$C58)=0,1,0))</f>
      </c>
      <c r="AA58" s="75"/>
    </row>
    <row r="59" ht="17" customHeight="1" spans="1:27" x14ac:dyDescent="0.25">
      <c r="A59" s="75"/>
      <c r="B59" s="79"/>
      <c r="C59" s="79"/>
      <c r="D59" s="79"/>
      <c r="E59" s="90"/>
      <c r="F59" s="80"/>
      <c r="G59" s="79"/>
      <c r="H59" s="79"/>
      <c r="I59" s="79"/>
      <c r="J59" s="79"/>
      <c r="K59" s="79"/>
      <c r="L59" s="80"/>
      <c r="M59" s="79"/>
      <c r="N59" s="79"/>
      <c r="O59" s="79"/>
      <c r="P59" s="90"/>
      <c r="Q59" s="79"/>
      <c r="R59" s="86"/>
      <c r="S59" s="86"/>
      <c r="T59" s="79"/>
      <c r="U59" s="96"/>
      <c r="V59" s="79"/>
      <c r="W59" s="80"/>
      <c r="X59" s="78">
        <f>IF($B59="",0,IF(COUNTIF('TABLESCAPE + FLORALS'!$B$6:$B$65,$B59)&gt;1,1,0))</f>
      </c>
      <c r="Y59" s="78">
        <f>IF(OR(N($R59)&gt;0,N($S59)&gt;0),IF($Q59="",1,IF(COUNTIF('MASTER BUDGET'!$D$6:$D$25,$Q59)=0,1,0)),0)</f>
      </c>
      <c r="Z59" s="78">
        <f>IF($C59="",0,IF(COUNTIF('CHRISTMAS CALENDAR'!$B$6:$B$205,$C59)=0,1,0))</f>
      </c>
      <c r="AA59" s="75"/>
    </row>
    <row r="60" ht="17" customHeight="1" spans="1:27" x14ac:dyDescent="0.25">
      <c r="A60" s="75"/>
      <c r="B60" s="79"/>
      <c r="C60" s="79"/>
      <c r="D60" s="79"/>
      <c r="E60" s="90"/>
      <c r="F60" s="80"/>
      <c r="G60" s="79"/>
      <c r="H60" s="79"/>
      <c r="I60" s="79"/>
      <c r="J60" s="79"/>
      <c r="K60" s="79"/>
      <c r="L60" s="80"/>
      <c r="M60" s="79"/>
      <c r="N60" s="79"/>
      <c r="O60" s="79"/>
      <c r="P60" s="90"/>
      <c r="Q60" s="79"/>
      <c r="R60" s="86"/>
      <c r="S60" s="86"/>
      <c r="T60" s="79"/>
      <c r="U60" s="96"/>
      <c r="V60" s="79"/>
      <c r="W60" s="80"/>
      <c r="X60" s="78">
        <f>IF($B60="",0,IF(COUNTIF('TABLESCAPE + FLORALS'!$B$6:$B$65,$B60)&gt;1,1,0))</f>
      </c>
      <c r="Y60" s="78">
        <f>IF(OR(N($R60)&gt;0,N($S60)&gt;0),IF($Q60="",1,IF(COUNTIF('MASTER BUDGET'!$D$6:$D$25,$Q60)=0,1,0)),0)</f>
      </c>
      <c r="Z60" s="78">
        <f>IF($C60="",0,IF(COUNTIF('CHRISTMAS CALENDAR'!$B$6:$B$205,$C60)=0,1,0))</f>
      </c>
      <c r="AA60" s="75"/>
    </row>
    <row r="61" ht="17" customHeight="1" spans="1:27" x14ac:dyDescent="0.25">
      <c r="A61" s="75"/>
      <c r="B61" s="79"/>
      <c r="C61" s="79"/>
      <c r="D61" s="79"/>
      <c r="E61" s="90"/>
      <c r="F61" s="80"/>
      <c r="G61" s="79"/>
      <c r="H61" s="79"/>
      <c r="I61" s="79"/>
      <c r="J61" s="79"/>
      <c r="K61" s="79"/>
      <c r="L61" s="80"/>
      <c r="M61" s="79"/>
      <c r="N61" s="79"/>
      <c r="O61" s="79"/>
      <c r="P61" s="90"/>
      <c r="Q61" s="79"/>
      <c r="R61" s="86"/>
      <c r="S61" s="86"/>
      <c r="T61" s="79"/>
      <c r="U61" s="96"/>
      <c r="V61" s="79"/>
      <c r="W61" s="80"/>
      <c r="X61" s="78">
        <f>IF($B61="",0,IF(COUNTIF('TABLESCAPE + FLORALS'!$B$6:$B$65,$B61)&gt;1,1,0))</f>
      </c>
      <c r="Y61" s="78">
        <f>IF(OR(N($R61)&gt;0,N($S61)&gt;0),IF($Q61="",1,IF(COUNTIF('MASTER BUDGET'!$D$6:$D$25,$Q61)=0,1,0)),0)</f>
      </c>
      <c r="Z61" s="78">
        <f>IF($C61="",0,IF(COUNTIF('CHRISTMAS CALENDAR'!$B$6:$B$205,$C61)=0,1,0))</f>
      </c>
      <c r="AA61" s="75"/>
    </row>
    <row r="62" ht="17" customHeight="1" spans="1:27" x14ac:dyDescent="0.25">
      <c r="A62" s="75"/>
      <c r="B62" s="79"/>
      <c r="C62" s="79"/>
      <c r="D62" s="79"/>
      <c r="E62" s="90"/>
      <c r="F62" s="80"/>
      <c r="G62" s="79"/>
      <c r="H62" s="79"/>
      <c r="I62" s="79"/>
      <c r="J62" s="79"/>
      <c r="K62" s="79"/>
      <c r="L62" s="80"/>
      <c r="M62" s="79"/>
      <c r="N62" s="79"/>
      <c r="O62" s="79"/>
      <c r="P62" s="90"/>
      <c r="Q62" s="79"/>
      <c r="R62" s="86"/>
      <c r="S62" s="86"/>
      <c r="T62" s="79"/>
      <c r="U62" s="96"/>
      <c r="V62" s="79"/>
      <c r="W62" s="80"/>
      <c r="X62" s="78">
        <f>IF($B62="",0,IF(COUNTIF('TABLESCAPE + FLORALS'!$B$6:$B$65,$B62)&gt;1,1,0))</f>
      </c>
      <c r="Y62" s="78">
        <f>IF(OR(N($R62)&gt;0,N($S62)&gt;0),IF($Q62="",1,IF(COUNTIF('MASTER BUDGET'!$D$6:$D$25,$Q62)=0,1,0)),0)</f>
      </c>
      <c r="Z62" s="78">
        <f>IF($C62="",0,IF(COUNTIF('CHRISTMAS CALENDAR'!$B$6:$B$205,$C62)=0,1,0))</f>
      </c>
      <c r="AA62" s="75"/>
    </row>
    <row r="63" ht="17" customHeight="1" spans="1:27" x14ac:dyDescent="0.25">
      <c r="A63" s="75"/>
      <c r="B63" s="79"/>
      <c r="C63" s="79"/>
      <c r="D63" s="79"/>
      <c r="E63" s="90"/>
      <c r="F63" s="80"/>
      <c r="G63" s="79"/>
      <c r="H63" s="79"/>
      <c r="I63" s="79"/>
      <c r="J63" s="79"/>
      <c r="K63" s="79"/>
      <c r="L63" s="80"/>
      <c r="M63" s="79"/>
      <c r="N63" s="79"/>
      <c r="O63" s="79"/>
      <c r="P63" s="90"/>
      <c r="Q63" s="79"/>
      <c r="R63" s="86"/>
      <c r="S63" s="86"/>
      <c r="T63" s="79"/>
      <c r="U63" s="96"/>
      <c r="V63" s="79"/>
      <c r="W63" s="80"/>
      <c r="X63" s="78">
        <f>IF($B63="",0,IF(COUNTIF('TABLESCAPE + FLORALS'!$B$6:$B$65,$B63)&gt;1,1,0))</f>
      </c>
      <c r="Y63" s="78">
        <f>IF(OR(N($R63)&gt;0,N($S63)&gt;0),IF($Q63="",1,IF(COUNTIF('MASTER BUDGET'!$D$6:$D$25,$Q63)=0,1,0)),0)</f>
      </c>
      <c r="Z63" s="78">
        <f>IF($C63="",0,IF(COUNTIF('CHRISTMAS CALENDAR'!$B$6:$B$205,$C63)=0,1,0))</f>
      </c>
      <c r="AA63" s="75"/>
    </row>
    <row r="64" ht="17" customHeight="1" spans="1:27" x14ac:dyDescent="0.25">
      <c r="A64" s="75"/>
      <c r="B64" s="79"/>
      <c r="C64" s="79"/>
      <c r="D64" s="79"/>
      <c r="E64" s="90"/>
      <c r="F64" s="80"/>
      <c r="G64" s="79"/>
      <c r="H64" s="79"/>
      <c r="I64" s="79"/>
      <c r="J64" s="79"/>
      <c r="K64" s="79"/>
      <c r="L64" s="80"/>
      <c r="M64" s="79"/>
      <c r="N64" s="79"/>
      <c r="O64" s="79"/>
      <c r="P64" s="90"/>
      <c r="Q64" s="79"/>
      <c r="R64" s="86"/>
      <c r="S64" s="86"/>
      <c r="T64" s="79"/>
      <c r="U64" s="96"/>
      <c r="V64" s="79"/>
      <c r="W64" s="80"/>
      <c r="X64" s="78">
        <f>IF($B64="",0,IF(COUNTIF('TABLESCAPE + FLORALS'!$B$6:$B$65,$B64)&gt;1,1,0))</f>
      </c>
      <c r="Y64" s="78">
        <f>IF(OR(N($R64)&gt;0,N($S64)&gt;0),IF($Q64="",1,IF(COUNTIF('MASTER BUDGET'!$D$6:$D$25,$Q64)=0,1,0)),0)</f>
      </c>
      <c r="Z64" s="78">
        <f>IF($C64="",0,IF(COUNTIF('CHRISTMAS CALENDAR'!$B$6:$B$205,$C64)=0,1,0))</f>
      </c>
      <c r="AA64" s="75"/>
    </row>
    <row r="65" ht="17" customHeight="1" spans="1:27" x14ac:dyDescent="0.25">
      <c r="A65" s="75"/>
      <c r="B65" s="79"/>
      <c r="C65" s="79"/>
      <c r="D65" s="79"/>
      <c r="E65" s="90"/>
      <c r="F65" s="80"/>
      <c r="G65" s="79"/>
      <c r="H65" s="79"/>
      <c r="I65" s="79"/>
      <c r="J65" s="79"/>
      <c r="K65" s="79"/>
      <c r="L65" s="80"/>
      <c r="M65" s="79"/>
      <c r="N65" s="79"/>
      <c r="O65" s="79"/>
      <c r="P65" s="90"/>
      <c r="Q65" s="79"/>
      <c r="R65" s="86"/>
      <c r="S65" s="86"/>
      <c r="T65" s="79"/>
      <c r="U65" s="96"/>
      <c r="V65" s="79"/>
      <c r="W65" s="80"/>
      <c r="X65" s="78">
        <f>IF($B65="",0,IF(COUNTIF('TABLESCAPE + FLORALS'!$B$6:$B$65,$B65)&gt;1,1,0))</f>
      </c>
      <c r="Y65" s="78">
        <f>IF(OR(N($R65)&gt;0,N($S65)&gt;0),IF($Q65="",1,IF(COUNTIF('MASTER BUDGET'!$D$6:$D$25,$Q65)=0,1,0)),0)</f>
      </c>
      <c r="Z65" s="78">
        <f>IF($C65="",0,IF(COUNTIF('CHRISTMAS CALENDAR'!$B$6:$B$205,$C65)=0,1,0))</f>
      </c>
      <c r="AA65" s="75"/>
    </row>
  </sheetData>
  <autoFilter ref="B5:Z65"/>
  <mergeCells count="2">
    <mergeCell ref="B1:C1"/>
    <mergeCell ref="E1:F1"/>
  </mergeCells>
  <dataValidations count="8">
    <dataValidation type="custom" allowBlank="1" showErrorMessage="1" errorStyle="warning" errorTitle="That looks like text" error="Type the number on its own — no currency symbol and no words. The column adds the symbol for you." sqref="E6:E65">
      <formula1>=OR(E6="",ISNUMBER(E6))</formula1>
    </dataValidation>
    <dataValidation type="list" allowBlank="1" showErrorMessage="1" errorStyle="warning" errorTitle="Not one of the usual values" error="This column normally uses a value from the Ownership list on LISTS. You can keep what you typed, or add it to the list so it appears in the dropdown." sqref="O6:O65">
      <formula1>=List_Ownership</formula1>
    </dataValidation>
    <dataValidation type="custom" allowBlank="1" showErrorMessage="1" errorStyle="warning" errorTitle="That looks like text" error="Type the number on its own — no currency symbol and no words. The column adds the symbol for you." sqref="P6:P65">
      <formula1>=OR(P6="",ISNUMBER(P6))</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Q6:Q65">
      <formula1>=List_BudgetCategory</formula1>
    </dataValidation>
    <dataValidation type="custom" allowBlank="1" showErrorMessage="1" errorStyle="warning" errorTitle="That looks like text" error="Type the number on its own — no currency symbol and no words. The column adds the symbol for you." sqref="R6:R65">
      <formula1>=OR(R6="",ISNUMBER(R6))</formula1>
    </dataValidation>
    <dataValidation type="custom" allowBlank="1" showErrorMessage="1" errorStyle="warning" errorTitle="That looks like text" error="Type the number on its own — no currency symbol and no words. The column adds the symbol for you." sqref="S6:S65">
      <formula1>=OR(S6="",ISNUMBER(S6))</formula1>
    </dataValidation>
    <dataValidation type="custom" allowBlank="1" showErrorMessage="1" errorStyle="warning" errorTitle="That is not a date yet" error="Type a real date, so the workbook can count days with it. &quot;Before Christmas&quot; cannot be sorted." sqref="U6:U65">
      <formula1>=OR(U6="",ISNUMBER(U6))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V6:V65">
      <formula1>=List_YesNo</formula1>
    </dataValidation>
  </dataValidations>
  <hyperlinks>
    <hyperlink ref="B1" r:id="rId1" location="#'DASHBOARD'!A1"/>
    <hyperlink ref="D1" r:id="rId2" location="#'START HERE'!A1"/>
    <hyperlink ref="E1" r:id="rId3" location="#'CHRISTMAS CALENDAR'!A1"/>
    <hyperlink ref="G1" r:id="rId4" location="#'MASTER BUDGET'!A1"/>
    <hyperlink ref="H1" r:id="rId5" location="#'SHEET INDEX'!A1"/>
  </hyperlinks>
  <pageMargins left="0.4" right="0.4" top="0.6" bottom="0.6" header="0.3" footer="0.3"/>
  <pageSetup orientation="landscape" fitToWidth="1" fitToHeight="0"/>
  <headerFooter>
    <oddFooter>&amp;LTABLESCAPE + FLORALS&amp;C&amp;P of &amp;N&amp;RThe Christmas Season Master Command Center™</oddFooter>
  </headerFooter>
  <legacyDrawing r:id="rId7"/>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X155"/>
  <sheetViews>
    <sheetView workbookViewId="0" showGridLines="0" zoomScale="90">
      <pane xSplit="5" ySplit="5" topLeftCell="F6" activePane="bottomRight" state="frozen"/>
      <selection pane="bottomRight"/>
    </sheetView>
  </sheetViews>
  <sheetFormatPr defaultRowHeight="15" outlineLevelRow="0" outlineLevelCol="0" x14ac:dyDescent="55"/>
  <cols>
    <col min="1" max="1" width="2" customWidth="1"/>
    <col min="2" max="2" width="11" customWidth="1"/>
    <col min="3" max="3" width="13" customWidth="1"/>
    <col min="4" max="4" width="20" customWidth="1"/>
    <col min="5" max="5" width="30" customWidth="1"/>
    <col min="6" max="6" width="13" customWidth="1"/>
    <col min="7" max="7" width="10" customWidth="1"/>
    <col min="8" max="8" width="16" customWidth="1"/>
    <col min="9" max="9" width="11" customWidth="1"/>
    <col min="10" max="10" width="26" customWidth="1"/>
    <col min="11" max="11" width="11" customWidth="1"/>
    <col min="12" max="12" width="13" customWidth="1"/>
    <col min="13" max="13" width="18" customWidth="1"/>
    <col min="14" max="14" width="15" customWidth="1"/>
    <col min="15" max="15" width="13" customWidth="1"/>
    <col min="16" max="16" width="17" customWidth="1"/>
    <col min="17" max="18" width="13" customWidth="1"/>
    <col min="19" max="19" width="16" customWidth="1"/>
    <col min="20" max="20" width="34" customWidth="1"/>
    <col min="21" max="23" width="18" hidden="1" customWidth="1"/>
    <col min="24" max="24" width="2" customWidth="1"/>
  </cols>
  <sheetData>
    <row r="1" ht="21" customHeight="1" spans="1:24" x14ac:dyDescent="0.25">
      <c r="A1" s="62"/>
      <c r="B1" s="63" t="s">
        <v>8</v>
      </c>
      <c r="C1" s="63"/>
      <c r="D1" s="63" t="s">
        <v>9</v>
      </c>
      <c r="E1" s="63" t="s">
        <v>10</v>
      </c>
      <c r="F1" s="63" t="s">
        <v>11</v>
      </c>
      <c r="G1" s="63" t="s">
        <v>12</v>
      </c>
      <c r="H1" s="63"/>
      <c r="I1" s="62"/>
      <c r="J1" s="62"/>
      <c r="K1" s="62"/>
      <c r="L1" s="62"/>
      <c r="M1" s="62"/>
      <c r="N1" s="62"/>
      <c r="O1" s="62"/>
      <c r="P1" s="62"/>
      <c r="Q1" s="62"/>
      <c r="R1" s="62"/>
      <c r="S1" s="62"/>
      <c r="T1" s="62"/>
      <c r="U1" s="62"/>
      <c r="V1" s="62"/>
      <c r="W1" s="62"/>
      <c r="X1" s="62"/>
    </row>
    <row r="2" ht="34" customHeight="1" spans="1:24" x14ac:dyDescent="0.25">
      <c r="A2" s="64"/>
      <c r="B2" s="65" t="s">
        <v>584</v>
      </c>
      <c r="C2" s="64"/>
      <c r="D2" s="64"/>
      <c r="E2" s="64"/>
      <c r="F2" s="64"/>
      <c r="G2" s="64"/>
      <c r="H2" s="64"/>
      <c r="I2" s="64"/>
      <c r="J2" s="64"/>
      <c r="K2" s="64"/>
      <c r="L2" s="64"/>
      <c r="M2" s="64"/>
      <c r="N2" s="64"/>
      <c r="O2" s="64"/>
      <c r="P2" s="64"/>
      <c r="Q2" s="64"/>
      <c r="R2" s="64"/>
      <c r="S2" s="64"/>
      <c r="T2" s="64"/>
      <c r="U2" s="64"/>
      <c r="V2" s="64"/>
      <c r="W2" s="64"/>
      <c r="X2" s="64"/>
    </row>
    <row r="3" ht="18" customHeight="1" spans="1:24" x14ac:dyDescent="0.25">
      <c r="A3" s="64"/>
      <c r="B3" s="66" t="s">
        <v>585</v>
      </c>
      <c r="C3" s="64"/>
      <c r="D3" s="64"/>
      <c r="E3" s="64"/>
      <c r="F3" s="64"/>
      <c r="G3" s="64"/>
      <c r="H3" s="64"/>
      <c r="I3" s="64"/>
      <c r="J3" s="64"/>
      <c r="K3" s="64"/>
      <c r="L3" s="64"/>
      <c r="M3" s="64"/>
      <c r="N3" s="64"/>
      <c r="O3" s="64"/>
      <c r="P3" s="64"/>
      <c r="Q3" s="64"/>
      <c r="R3" s="64"/>
      <c r="S3" s="64"/>
      <c r="T3" s="64"/>
      <c r="U3" s="64"/>
      <c r="V3" s="64"/>
      <c r="W3" s="64"/>
      <c r="X3" s="64"/>
    </row>
    <row r="4" ht="17" customHeight="1" spans="1:24" x14ac:dyDescent="0.25">
      <c r="A4" s="64"/>
      <c r="B4" s="67" t="s">
        <v>160</v>
      </c>
      <c r="C4" s="64"/>
      <c r="D4" s="64"/>
      <c r="E4" s="64"/>
      <c r="F4" s="64"/>
      <c r="G4" s="64"/>
      <c r="H4" s="64"/>
      <c r="I4" s="64"/>
      <c r="J4" s="64"/>
      <c r="K4" s="64"/>
      <c r="L4" s="64"/>
      <c r="M4" s="64"/>
      <c r="N4" s="64"/>
      <c r="O4" s="64"/>
      <c r="P4" s="64"/>
      <c r="Q4" s="64"/>
      <c r="R4" s="64"/>
      <c r="S4" s="64"/>
      <c r="T4" s="64"/>
      <c r="U4" s="64"/>
      <c r="V4" s="64"/>
      <c r="W4" s="64"/>
      <c r="X4" s="64"/>
    </row>
    <row r="5" ht="32" customHeight="1" spans="1:24" x14ac:dyDescent="0.25">
      <c r="A5" s="73"/>
      <c r="B5" s="74" t="s">
        <v>586</v>
      </c>
      <c r="C5" s="74" t="s">
        <v>412</v>
      </c>
      <c r="D5" s="74" t="s">
        <v>587</v>
      </c>
      <c r="E5" s="74" t="s">
        <v>588</v>
      </c>
      <c r="F5" s="74" t="s">
        <v>589</v>
      </c>
      <c r="G5" s="74" t="s">
        <v>590</v>
      </c>
      <c r="H5" s="74" t="s">
        <v>591</v>
      </c>
      <c r="I5" s="74" t="s">
        <v>592</v>
      </c>
      <c r="J5" s="74" t="s">
        <v>593</v>
      </c>
      <c r="K5" s="74" t="s">
        <v>594</v>
      </c>
      <c r="L5" s="74" t="s">
        <v>595</v>
      </c>
      <c r="M5" s="74" t="s">
        <v>596</v>
      </c>
      <c r="N5" s="74" t="s">
        <v>597</v>
      </c>
      <c r="O5" s="74" t="s">
        <v>260</v>
      </c>
      <c r="P5" s="74" t="s">
        <v>300</v>
      </c>
      <c r="Q5" s="74" t="s">
        <v>309</v>
      </c>
      <c r="R5" s="74" t="s">
        <v>310</v>
      </c>
      <c r="S5" s="74" t="s">
        <v>422</v>
      </c>
      <c r="T5" s="74" t="s">
        <v>179</v>
      </c>
      <c r="U5" s="74" t="s">
        <v>180</v>
      </c>
      <c r="V5" s="74" t="s">
        <v>323</v>
      </c>
      <c r="W5" s="74" t="s">
        <v>598</v>
      </c>
      <c r="X5" s="73"/>
    </row>
    <row r="6" ht="17" customHeight="1" spans="1:24" x14ac:dyDescent="0.25">
      <c r="A6" s="75"/>
      <c r="B6" s="76" t="s">
        <v>599</v>
      </c>
      <c r="C6" s="81">
        <v>46381</v>
      </c>
      <c r="D6" s="76" t="s">
        <v>600</v>
      </c>
      <c r="E6" s="77" t="s">
        <v>601</v>
      </c>
      <c r="F6" s="76" t="s">
        <v>602</v>
      </c>
      <c r="G6" s="89">
        <v>12</v>
      </c>
      <c r="H6" s="76" t="s">
        <v>184</v>
      </c>
      <c r="I6" s="76" t="s">
        <v>603</v>
      </c>
      <c r="J6" s="92">
        <f>IF($B6="","",IF($I6="","",IFERROR(IF(INDEX('RECIPE INDEX'!$C$6:$C$105,MATCH($I6,'RECIPE INDEX'!$B$6:$B$105,0))="","",INDEX('RECIPE INDEX'!$C$6:$C$105,MATCH($I6,'RECIPE INDEX'!$B$6:$B$105,0))),"")))</f>
      </c>
      <c r="K6" s="76" t="s">
        <v>194</v>
      </c>
      <c r="L6" s="81">
        <v>46381</v>
      </c>
      <c r="M6" s="76" t="s">
        <v>604</v>
      </c>
      <c r="N6" s="76" t="s">
        <v>379</v>
      </c>
      <c r="O6" s="76" t="s">
        <v>267</v>
      </c>
      <c r="P6" s="76" t="s">
        <v>279</v>
      </c>
      <c r="Q6" s="84">
        <v>145</v>
      </c>
      <c r="R6" s="84"/>
      <c r="S6" s="78">
        <f>IF($B6="","",IF(OR($O6="Served",$O6="Dropped"),"DONE",IF($L6="",IF($C6="","NO DATE",IF($C6&lt;TODAY(),"OVERDUE","SCHEDULED")),IF($L6&lt;TODAY(),"PREP OVERDUE",IF($L6-TODAY()&lt;=7,"PREP THIS WEEK","SCHEDULED")))))</f>
      </c>
      <c r="T6" s="77" t="s">
        <v>186</v>
      </c>
      <c r="U6" s="78">
        <f>IF($B6="",0,IF(COUNTIF('MEAL + BAKING PLAN'!$B$6:$B$155,$B6)&gt;1,1,0))</f>
      </c>
      <c r="V6" s="78">
        <f>IF(OR(N($Q6)&gt;0,N($R6)&gt;0),IF($P6="",1,IF(COUNTIF('MASTER BUDGET'!$D$6:$D$25,$P6)=0,1,0)),0)</f>
      </c>
      <c r="W6" s="78">
        <f>IF($I6="",0,IF(COUNTIF('RECIPE INDEX'!$B$6:$B$105,$I6)=0,1,0))</f>
      </c>
      <c r="X6" s="75"/>
    </row>
    <row r="7" ht="17" customHeight="1" spans="1:24" x14ac:dyDescent="0.25">
      <c r="A7" s="75"/>
      <c r="B7" s="76" t="s">
        <v>605</v>
      </c>
      <c r="C7" s="81">
        <v>46381</v>
      </c>
      <c r="D7" s="76" t="s">
        <v>600</v>
      </c>
      <c r="E7" s="77" t="s">
        <v>606</v>
      </c>
      <c r="F7" s="76" t="s">
        <v>607</v>
      </c>
      <c r="G7" s="89">
        <v>12</v>
      </c>
      <c r="H7" s="76" t="s">
        <v>543</v>
      </c>
      <c r="I7" s="76" t="s">
        <v>608</v>
      </c>
      <c r="J7" s="92">
        <f>IF($B7="","",IF($I7="","",IFERROR(IF(INDEX('RECIPE INDEX'!$C$6:$C$105,MATCH($I7,'RECIPE INDEX'!$B$6:$B$105,0))="","",INDEX('RECIPE INDEX'!$C$6:$C$105,MATCH($I7,'RECIPE INDEX'!$B$6:$B$105,0))),"")))</f>
      </c>
      <c r="K7" s="76" t="s">
        <v>185</v>
      </c>
      <c r="L7" s="81">
        <v>46379</v>
      </c>
      <c r="M7" s="76" t="s">
        <v>609</v>
      </c>
      <c r="N7" s="76" t="s">
        <v>610</v>
      </c>
      <c r="O7" s="76" t="s">
        <v>267</v>
      </c>
      <c r="P7" s="76" t="s">
        <v>279</v>
      </c>
      <c r="Q7" s="84">
        <v>8</v>
      </c>
      <c r="R7" s="84"/>
      <c r="S7" s="78">
        <f>IF($B7="","",IF(OR($O7="Served",$O7="Dropped"),"DONE",IF($L7="",IF($C7="","NO DATE",IF($C7&lt;TODAY(),"OVERDUE","SCHEDULED")),IF($L7&lt;TODAY(),"PREP OVERDUE",IF($L7-TODAY()&lt;=7,"PREP THIS WEEK","SCHEDULED")))))</f>
      </c>
      <c r="T7" s="77" t="s">
        <v>186</v>
      </c>
      <c r="U7" s="78">
        <f>IF($B7="",0,IF(COUNTIF('MEAL + BAKING PLAN'!$B$6:$B$155,$B7)&gt;1,1,0))</f>
      </c>
      <c r="V7" s="78">
        <f>IF(OR(N($Q7)&gt;0,N($R7)&gt;0),IF($P7="",1,IF(COUNTIF('MASTER BUDGET'!$D$6:$D$25,$P7)=0,1,0)),0)</f>
      </c>
      <c r="W7" s="78">
        <f>IF($I7="",0,IF(COUNTIF('RECIPE INDEX'!$B$6:$B$105,$I7)=0,1,0))</f>
      </c>
      <c r="X7" s="75"/>
    </row>
    <row r="8" ht="17" customHeight="1" spans="1:24" x14ac:dyDescent="0.25">
      <c r="A8" s="75"/>
      <c r="B8" s="76" t="s">
        <v>611</v>
      </c>
      <c r="C8" s="81">
        <v>46380</v>
      </c>
      <c r="D8" s="76" t="s">
        <v>612</v>
      </c>
      <c r="E8" s="77" t="s">
        <v>613</v>
      </c>
      <c r="F8" s="76" t="s">
        <v>614</v>
      </c>
      <c r="G8" s="89">
        <v>24</v>
      </c>
      <c r="H8" s="76" t="s">
        <v>184</v>
      </c>
      <c r="I8" s="76" t="s">
        <v>615</v>
      </c>
      <c r="J8" s="92">
        <f>IF($B8="","",IF($I8="","",IFERROR(IF(INDEX('RECIPE INDEX'!$C$6:$C$105,MATCH($I8,'RECIPE INDEX'!$B$6:$B$105,0))="","",INDEX('RECIPE INDEX'!$C$6:$C$105,MATCH($I8,'RECIPE INDEX'!$B$6:$B$105,0))),"")))</f>
      </c>
      <c r="K8" s="76" t="s">
        <v>185</v>
      </c>
      <c r="L8" s="81">
        <v>46378</v>
      </c>
      <c r="M8" s="76" t="s">
        <v>616</v>
      </c>
      <c r="N8" s="76" t="s">
        <v>617</v>
      </c>
      <c r="O8" s="76" t="s">
        <v>618</v>
      </c>
      <c r="P8" s="76" t="s">
        <v>279</v>
      </c>
      <c r="Q8" s="84">
        <v>22</v>
      </c>
      <c r="R8" s="84">
        <v>24.6</v>
      </c>
      <c r="S8" s="78">
        <f>IF($B8="","",IF(OR($O8="Served",$O8="Dropped"),"DONE",IF($L8="",IF($C8="","NO DATE",IF($C8&lt;TODAY(),"OVERDUE","SCHEDULED")),IF($L8&lt;TODAY(),"PREP OVERDUE",IF($L8-TODAY()&lt;=7,"PREP THIS WEEK","SCHEDULED")))))</f>
      </c>
      <c r="T8" s="77" t="s">
        <v>186</v>
      </c>
      <c r="U8" s="78">
        <f>IF($B8="",0,IF(COUNTIF('MEAL + BAKING PLAN'!$B$6:$B$155,$B8)&gt;1,1,0))</f>
      </c>
      <c r="V8" s="78">
        <f>IF(OR(N($Q8)&gt;0,N($R8)&gt;0),IF($P8="",1,IF(COUNTIF('MASTER BUDGET'!$D$6:$D$25,$P8)=0,1,0)),0)</f>
      </c>
      <c r="W8" s="78">
        <f>IF($I8="",0,IF(COUNTIF('RECIPE INDEX'!$B$6:$B$105,$I8)=0,1,0))</f>
      </c>
      <c r="X8" s="75"/>
    </row>
    <row r="9" ht="17" customHeight="1" spans="1:24" x14ac:dyDescent="0.25">
      <c r="A9" s="75"/>
      <c r="B9" s="79"/>
      <c r="C9" s="82"/>
      <c r="D9" s="79"/>
      <c r="E9" s="80"/>
      <c r="F9" s="79"/>
      <c r="G9" s="90"/>
      <c r="H9" s="79"/>
      <c r="I9" s="79"/>
      <c r="J9" s="92">
        <f>IF($B9="","",IF($I9="","",IFERROR(IF(INDEX('RECIPE INDEX'!$C$6:$C$105,MATCH($I9,'RECIPE INDEX'!$B$6:$B$105,0))="","",INDEX('RECIPE INDEX'!$C$6:$C$105,MATCH($I9,'RECIPE INDEX'!$B$6:$B$105,0))),"")))</f>
      </c>
      <c r="K9" s="79"/>
      <c r="L9" s="82"/>
      <c r="M9" s="79"/>
      <c r="N9" s="79"/>
      <c r="O9" s="79"/>
      <c r="P9" s="79"/>
      <c r="Q9" s="86"/>
      <c r="R9" s="86"/>
      <c r="S9" s="78">
        <f>IF($B9="","",IF(OR($O9="Served",$O9="Dropped"),"DONE",IF($L9="",IF($C9="","NO DATE",IF($C9&lt;TODAY(),"OVERDUE","SCHEDULED")),IF($L9&lt;TODAY(),"PREP OVERDUE",IF($L9-TODAY()&lt;=7,"PREP THIS WEEK","SCHEDULED")))))</f>
      </c>
      <c r="T9" s="80"/>
      <c r="U9" s="78">
        <f>IF($B9="",0,IF(COUNTIF('MEAL + BAKING PLAN'!$B$6:$B$155,$B9)&gt;1,1,0))</f>
      </c>
      <c r="V9" s="78">
        <f>IF(OR(N($Q9)&gt;0,N($R9)&gt;0),IF($P9="",1,IF(COUNTIF('MASTER BUDGET'!$D$6:$D$25,$P9)=0,1,0)),0)</f>
      </c>
      <c r="W9" s="78">
        <f>IF($I9="",0,IF(COUNTIF('RECIPE INDEX'!$B$6:$B$105,$I9)=0,1,0))</f>
      </c>
      <c r="X9" s="75"/>
    </row>
    <row r="10" ht="17" customHeight="1" spans="1:24" x14ac:dyDescent="0.25">
      <c r="A10" s="75"/>
      <c r="B10" s="79"/>
      <c r="C10" s="82"/>
      <c r="D10" s="79"/>
      <c r="E10" s="80"/>
      <c r="F10" s="79"/>
      <c r="G10" s="90"/>
      <c r="H10" s="79"/>
      <c r="I10" s="79"/>
      <c r="J10" s="92">
        <f>IF($B10="","",IF($I10="","",IFERROR(IF(INDEX('RECIPE INDEX'!$C$6:$C$105,MATCH($I10,'RECIPE INDEX'!$B$6:$B$105,0))="","",INDEX('RECIPE INDEX'!$C$6:$C$105,MATCH($I10,'RECIPE INDEX'!$B$6:$B$105,0))),"")))</f>
      </c>
      <c r="K10" s="79"/>
      <c r="L10" s="82"/>
      <c r="M10" s="79"/>
      <c r="N10" s="79"/>
      <c r="O10" s="79"/>
      <c r="P10" s="79"/>
      <c r="Q10" s="86"/>
      <c r="R10" s="86"/>
      <c r="S10" s="78">
        <f>IF($B10="","",IF(OR($O10="Served",$O10="Dropped"),"DONE",IF($L10="",IF($C10="","NO DATE",IF($C10&lt;TODAY(),"OVERDUE","SCHEDULED")),IF($L10&lt;TODAY(),"PREP OVERDUE",IF($L10-TODAY()&lt;=7,"PREP THIS WEEK","SCHEDULED")))))</f>
      </c>
      <c r="T10" s="80"/>
      <c r="U10" s="78">
        <f>IF($B10="",0,IF(COUNTIF('MEAL + BAKING PLAN'!$B$6:$B$155,$B10)&gt;1,1,0))</f>
      </c>
      <c r="V10" s="78">
        <f>IF(OR(N($Q10)&gt;0,N($R10)&gt;0),IF($P10="",1,IF(COUNTIF('MASTER BUDGET'!$D$6:$D$25,$P10)=0,1,0)),0)</f>
      </c>
      <c r="W10" s="78">
        <f>IF($I10="",0,IF(COUNTIF('RECIPE INDEX'!$B$6:$B$105,$I10)=0,1,0))</f>
      </c>
      <c r="X10" s="75"/>
    </row>
    <row r="11" ht="17" customHeight="1" spans="1:24" x14ac:dyDescent="0.25">
      <c r="A11" s="75"/>
      <c r="B11" s="79"/>
      <c r="C11" s="82"/>
      <c r="D11" s="79"/>
      <c r="E11" s="80"/>
      <c r="F11" s="79"/>
      <c r="G11" s="90"/>
      <c r="H11" s="79"/>
      <c r="I11" s="79"/>
      <c r="J11" s="92">
        <f>IF($B11="","",IF($I11="","",IFERROR(IF(INDEX('RECIPE INDEX'!$C$6:$C$105,MATCH($I11,'RECIPE INDEX'!$B$6:$B$105,0))="","",INDEX('RECIPE INDEX'!$C$6:$C$105,MATCH($I11,'RECIPE INDEX'!$B$6:$B$105,0))),"")))</f>
      </c>
      <c r="K11" s="79"/>
      <c r="L11" s="82"/>
      <c r="M11" s="79"/>
      <c r="N11" s="79"/>
      <c r="O11" s="79"/>
      <c r="P11" s="79"/>
      <c r="Q11" s="86"/>
      <c r="R11" s="86"/>
      <c r="S11" s="78">
        <f>IF($B11="","",IF(OR($O11="Served",$O11="Dropped"),"DONE",IF($L11="",IF($C11="","NO DATE",IF($C11&lt;TODAY(),"OVERDUE","SCHEDULED")),IF($L11&lt;TODAY(),"PREP OVERDUE",IF($L11-TODAY()&lt;=7,"PREP THIS WEEK","SCHEDULED")))))</f>
      </c>
      <c r="T11" s="80"/>
      <c r="U11" s="78">
        <f>IF($B11="",0,IF(COUNTIF('MEAL + BAKING PLAN'!$B$6:$B$155,$B11)&gt;1,1,0))</f>
      </c>
      <c r="V11" s="78">
        <f>IF(OR(N($Q11)&gt;0,N($R11)&gt;0),IF($P11="",1,IF(COUNTIF('MASTER BUDGET'!$D$6:$D$25,$P11)=0,1,0)),0)</f>
      </c>
      <c r="W11" s="78">
        <f>IF($I11="",0,IF(COUNTIF('RECIPE INDEX'!$B$6:$B$105,$I11)=0,1,0))</f>
      </c>
      <c r="X11" s="75"/>
    </row>
    <row r="12" ht="17" customHeight="1" spans="1:24" x14ac:dyDescent="0.25">
      <c r="A12" s="75"/>
      <c r="B12" s="79"/>
      <c r="C12" s="82"/>
      <c r="D12" s="79"/>
      <c r="E12" s="80"/>
      <c r="F12" s="79"/>
      <c r="G12" s="90"/>
      <c r="H12" s="79"/>
      <c r="I12" s="79"/>
      <c r="J12" s="92">
        <f>IF($B12="","",IF($I12="","",IFERROR(IF(INDEX('RECIPE INDEX'!$C$6:$C$105,MATCH($I12,'RECIPE INDEX'!$B$6:$B$105,0))="","",INDEX('RECIPE INDEX'!$C$6:$C$105,MATCH($I12,'RECIPE INDEX'!$B$6:$B$105,0))),"")))</f>
      </c>
      <c r="K12" s="79"/>
      <c r="L12" s="82"/>
      <c r="M12" s="79"/>
      <c r="N12" s="79"/>
      <c r="O12" s="79"/>
      <c r="P12" s="79"/>
      <c r="Q12" s="86"/>
      <c r="R12" s="86"/>
      <c r="S12" s="78">
        <f>IF($B12="","",IF(OR($O12="Served",$O12="Dropped"),"DONE",IF($L12="",IF($C12="","NO DATE",IF($C12&lt;TODAY(),"OVERDUE","SCHEDULED")),IF($L12&lt;TODAY(),"PREP OVERDUE",IF($L12-TODAY()&lt;=7,"PREP THIS WEEK","SCHEDULED")))))</f>
      </c>
      <c r="T12" s="80"/>
      <c r="U12" s="78">
        <f>IF($B12="",0,IF(COUNTIF('MEAL + BAKING PLAN'!$B$6:$B$155,$B12)&gt;1,1,0))</f>
      </c>
      <c r="V12" s="78">
        <f>IF(OR(N($Q12)&gt;0,N($R12)&gt;0),IF($P12="",1,IF(COUNTIF('MASTER BUDGET'!$D$6:$D$25,$P12)=0,1,0)),0)</f>
      </c>
      <c r="W12" s="78">
        <f>IF($I12="",0,IF(COUNTIF('RECIPE INDEX'!$B$6:$B$105,$I12)=0,1,0))</f>
      </c>
      <c r="X12" s="75"/>
    </row>
    <row r="13" ht="17" customHeight="1" spans="1:24" x14ac:dyDescent="0.25">
      <c r="A13" s="75"/>
      <c r="B13" s="79"/>
      <c r="C13" s="82"/>
      <c r="D13" s="79"/>
      <c r="E13" s="80"/>
      <c r="F13" s="79"/>
      <c r="G13" s="90"/>
      <c r="H13" s="79"/>
      <c r="I13" s="79"/>
      <c r="J13" s="92">
        <f>IF($B13="","",IF($I13="","",IFERROR(IF(INDEX('RECIPE INDEX'!$C$6:$C$105,MATCH($I13,'RECIPE INDEX'!$B$6:$B$105,0))="","",INDEX('RECIPE INDEX'!$C$6:$C$105,MATCH($I13,'RECIPE INDEX'!$B$6:$B$105,0))),"")))</f>
      </c>
      <c r="K13" s="79"/>
      <c r="L13" s="82"/>
      <c r="M13" s="79"/>
      <c r="N13" s="79"/>
      <c r="O13" s="79"/>
      <c r="P13" s="79"/>
      <c r="Q13" s="86"/>
      <c r="R13" s="86"/>
      <c r="S13" s="78">
        <f>IF($B13="","",IF(OR($O13="Served",$O13="Dropped"),"DONE",IF($L13="",IF($C13="","NO DATE",IF($C13&lt;TODAY(),"OVERDUE","SCHEDULED")),IF($L13&lt;TODAY(),"PREP OVERDUE",IF($L13-TODAY()&lt;=7,"PREP THIS WEEK","SCHEDULED")))))</f>
      </c>
      <c r="T13" s="80"/>
      <c r="U13" s="78">
        <f>IF($B13="",0,IF(COUNTIF('MEAL + BAKING PLAN'!$B$6:$B$155,$B13)&gt;1,1,0))</f>
      </c>
      <c r="V13" s="78">
        <f>IF(OR(N($Q13)&gt;0,N($R13)&gt;0),IF($P13="",1,IF(COUNTIF('MASTER BUDGET'!$D$6:$D$25,$P13)=0,1,0)),0)</f>
      </c>
      <c r="W13" s="78">
        <f>IF($I13="",0,IF(COUNTIF('RECIPE INDEX'!$B$6:$B$105,$I13)=0,1,0))</f>
      </c>
      <c r="X13" s="75"/>
    </row>
    <row r="14" ht="17" customHeight="1" spans="1:24" x14ac:dyDescent="0.25">
      <c r="A14" s="75"/>
      <c r="B14" s="79"/>
      <c r="C14" s="82"/>
      <c r="D14" s="79"/>
      <c r="E14" s="80"/>
      <c r="F14" s="79"/>
      <c r="G14" s="90"/>
      <c r="H14" s="79"/>
      <c r="I14" s="79"/>
      <c r="J14" s="92">
        <f>IF($B14="","",IF($I14="","",IFERROR(IF(INDEX('RECIPE INDEX'!$C$6:$C$105,MATCH($I14,'RECIPE INDEX'!$B$6:$B$105,0))="","",INDEX('RECIPE INDEX'!$C$6:$C$105,MATCH($I14,'RECIPE INDEX'!$B$6:$B$105,0))),"")))</f>
      </c>
      <c r="K14" s="79"/>
      <c r="L14" s="82"/>
      <c r="M14" s="79"/>
      <c r="N14" s="79"/>
      <c r="O14" s="79"/>
      <c r="P14" s="79"/>
      <c r="Q14" s="86"/>
      <c r="R14" s="86"/>
      <c r="S14" s="78">
        <f>IF($B14="","",IF(OR($O14="Served",$O14="Dropped"),"DONE",IF($L14="",IF($C14="","NO DATE",IF($C14&lt;TODAY(),"OVERDUE","SCHEDULED")),IF($L14&lt;TODAY(),"PREP OVERDUE",IF($L14-TODAY()&lt;=7,"PREP THIS WEEK","SCHEDULED")))))</f>
      </c>
      <c r="T14" s="80"/>
      <c r="U14" s="78">
        <f>IF($B14="",0,IF(COUNTIF('MEAL + BAKING PLAN'!$B$6:$B$155,$B14)&gt;1,1,0))</f>
      </c>
      <c r="V14" s="78">
        <f>IF(OR(N($Q14)&gt;0,N($R14)&gt;0),IF($P14="",1,IF(COUNTIF('MASTER BUDGET'!$D$6:$D$25,$P14)=0,1,0)),0)</f>
      </c>
      <c r="W14" s="78">
        <f>IF($I14="",0,IF(COUNTIF('RECIPE INDEX'!$B$6:$B$105,$I14)=0,1,0))</f>
      </c>
      <c r="X14" s="75"/>
    </row>
    <row r="15" ht="17" customHeight="1" spans="1:24" x14ac:dyDescent="0.25">
      <c r="A15" s="75"/>
      <c r="B15" s="79"/>
      <c r="C15" s="82"/>
      <c r="D15" s="79"/>
      <c r="E15" s="80"/>
      <c r="F15" s="79"/>
      <c r="G15" s="90"/>
      <c r="H15" s="79"/>
      <c r="I15" s="79"/>
      <c r="J15" s="92">
        <f>IF($B15="","",IF($I15="","",IFERROR(IF(INDEX('RECIPE INDEX'!$C$6:$C$105,MATCH($I15,'RECIPE INDEX'!$B$6:$B$105,0))="","",INDEX('RECIPE INDEX'!$C$6:$C$105,MATCH($I15,'RECIPE INDEX'!$B$6:$B$105,0))),"")))</f>
      </c>
      <c r="K15" s="79"/>
      <c r="L15" s="82"/>
      <c r="M15" s="79"/>
      <c r="N15" s="79"/>
      <c r="O15" s="79"/>
      <c r="P15" s="79"/>
      <c r="Q15" s="86"/>
      <c r="R15" s="86"/>
      <c r="S15" s="78">
        <f>IF($B15="","",IF(OR($O15="Served",$O15="Dropped"),"DONE",IF($L15="",IF($C15="","NO DATE",IF($C15&lt;TODAY(),"OVERDUE","SCHEDULED")),IF($L15&lt;TODAY(),"PREP OVERDUE",IF($L15-TODAY()&lt;=7,"PREP THIS WEEK","SCHEDULED")))))</f>
      </c>
      <c r="T15" s="80"/>
      <c r="U15" s="78">
        <f>IF($B15="",0,IF(COUNTIF('MEAL + BAKING PLAN'!$B$6:$B$155,$B15)&gt;1,1,0))</f>
      </c>
      <c r="V15" s="78">
        <f>IF(OR(N($Q15)&gt;0,N($R15)&gt;0),IF($P15="",1,IF(COUNTIF('MASTER BUDGET'!$D$6:$D$25,$P15)=0,1,0)),0)</f>
      </c>
      <c r="W15" s="78">
        <f>IF($I15="",0,IF(COUNTIF('RECIPE INDEX'!$B$6:$B$105,$I15)=0,1,0))</f>
      </c>
      <c r="X15" s="75"/>
    </row>
    <row r="16" ht="17" customHeight="1" spans="1:24" x14ac:dyDescent="0.25">
      <c r="A16" s="75"/>
      <c r="B16" s="79"/>
      <c r="C16" s="82"/>
      <c r="D16" s="79"/>
      <c r="E16" s="80"/>
      <c r="F16" s="79"/>
      <c r="G16" s="90"/>
      <c r="H16" s="79"/>
      <c r="I16" s="79"/>
      <c r="J16" s="92">
        <f>IF($B16="","",IF($I16="","",IFERROR(IF(INDEX('RECIPE INDEX'!$C$6:$C$105,MATCH($I16,'RECIPE INDEX'!$B$6:$B$105,0))="","",INDEX('RECIPE INDEX'!$C$6:$C$105,MATCH($I16,'RECIPE INDEX'!$B$6:$B$105,0))),"")))</f>
      </c>
      <c r="K16" s="79"/>
      <c r="L16" s="82"/>
      <c r="M16" s="79"/>
      <c r="N16" s="79"/>
      <c r="O16" s="79"/>
      <c r="P16" s="79"/>
      <c r="Q16" s="86"/>
      <c r="R16" s="86"/>
      <c r="S16" s="78">
        <f>IF($B16="","",IF(OR($O16="Served",$O16="Dropped"),"DONE",IF($L16="",IF($C16="","NO DATE",IF($C16&lt;TODAY(),"OVERDUE","SCHEDULED")),IF($L16&lt;TODAY(),"PREP OVERDUE",IF($L16-TODAY()&lt;=7,"PREP THIS WEEK","SCHEDULED")))))</f>
      </c>
      <c r="T16" s="80"/>
      <c r="U16" s="78">
        <f>IF($B16="",0,IF(COUNTIF('MEAL + BAKING PLAN'!$B$6:$B$155,$B16)&gt;1,1,0))</f>
      </c>
      <c r="V16" s="78">
        <f>IF(OR(N($Q16)&gt;0,N($R16)&gt;0),IF($P16="",1,IF(COUNTIF('MASTER BUDGET'!$D$6:$D$25,$P16)=0,1,0)),0)</f>
      </c>
      <c r="W16" s="78">
        <f>IF($I16="",0,IF(COUNTIF('RECIPE INDEX'!$B$6:$B$105,$I16)=0,1,0))</f>
      </c>
      <c r="X16" s="75"/>
    </row>
    <row r="17" ht="17" customHeight="1" spans="1:24" x14ac:dyDescent="0.25">
      <c r="A17" s="75"/>
      <c r="B17" s="79"/>
      <c r="C17" s="82"/>
      <c r="D17" s="79"/>
      <c r="E17" s="80"/>
      <c r="F17" s="79"/>
      <c r="G17" s="90"/>
      <c r="H17" s="79"/>
      <c r="I17" s="79"/>
      <c r="J17" s="92">
        <f>IF($B17="","",IF($I17="","",IFERROR(IF(INDEX('RECIPE INDEX'!$C$6:$C$105,MATCH($I17,'RECIPE INDEX'!$B$6:$B$105,0))="","",INDEX('RECIPE INDEX'!$C$6:$C$105,MATCH($I17,'RECIPE INDEX'!$B$6:$B$105,0))),"")))</f>
      </c>
      <c r="K17" s="79"/>
      <c r="L17" s="82"/>
      <c r="M17" s="79"/>
      <c r="N17" s="79"/>
      <c r="O17" s="79"/>
      <c r="P17" s="79"/>
      <c r="Q17" s="86"/>
      <c r="R17" s="86"/>
      <c r="S17" s="78">
        <f>IF($B17="","",IF(OR($O17="Served",$O17="Dropped"),"DONE",IF($L17="",IF($C17="","NO DATE",IF($C17&lt;TODAY(),"OVERDUE","SCHEDULED")),IF($L17&lt;TODAY(),"PREP OVERDUE",IF($L17-TODAY()&lt;=7,"PREP THIS WEEK","SCHEDULED")))))</f>
      </c>
      <c r="T17" s="80"/>
      <c r="U17" s="78">
        <f>IF($B17="",0,IF(COUNTIF('MEAL + BAKING PLAN'!$B$6:$B$155,$B17)&gt;1,1,0))</f>
      </c>
      <c r="V17" s="78">
        <f>IF(OR(N($Q17)&gt;0,N($R17)&gt;0),IF($P17="",1,IF(COUNTIF('MASTER BUDGET'!$D$6:$D$25,$P17)=0,1,0)),0)</f>
      </c>
      <c r="W17" s="78">
        <f>IF($I17="",0,IF(COUNTIF('RECIPE INDEX'!$B$6:$B$105,$I17)=0,1,0))</f>
      </c>
      <c r="X17" s="75"/>
    </row>
    <row r="18" ht="17" customHeight="1" spans="1:24" x14ac:dyDescent="0.25">
      <c r="A18" s="75"/>
      <c r="B18" s="79"/>
      <c r="C18" s="82"/>
      <c r="D18" s="79"/>
      <c r="E18" s="80"/>
      <c r="F18" s="79"/>
      <c r="G18" s="90"/>
      <c r="H18" s="79"/>
      <c r="I18" s="79"/>
      <c r="J18" s="92">
        <f>IF($B18="","",IF($I18="","",IFERROR(IF(INDEX('RECIPE INDEX'!$C$6:$C$105,MATCH($I18,'RECIPE INDEX'!$B$6:$B$105,0))="","",INDEX('RECIPE INDEX'!$C$6:$C$105,MATCH($I18,'RECIPE INDEX'!$B$6:$B$105,0))),"")))</f>
      </c>
      <c r="K18" s="79"/>
      <c r="L18" s="82"/>
      <c r="M18" s="79"/>
      <c r="N18" s="79"/>
      <c r="O18" s="79"/>
      <c r="P18" s="79"/>
      <c r="Q18" s="86"/>
      <c r="R18" s="86"/>
      <c r="S18" s="78">
        <f>IF($B18="","",IF(OR($O18="Served",$O18="Dropped"),"DONE",IF($L18="",IF($C18="","NO DATE",IF($C18&lt;TODAY(),"OVERDUE","SCHEDULED")),IF($L18&lt;TODAY(),"PREP OVERDUE",IF($L18-TODAY()&lt;=7,"PREP THIS WEEK","SCHEDULED")))))</f>
      </c>
      <c r="T18" s="80"/>
      <c r="U18" s="78">
        <f>IF($B18="",0,IF(COUNTIF('MEAL + BAKING PLAN'!$B$6:$B$155,$B18)&gt;1,1,0))</f>
      </c>
      <c r="V18" s="78">
        <f>IF(OR(N($Q18)&gt;0,N($R18)&gt;0),IF($P18="",1,IF(COUNTIF('MASTER BUDGET'!$D$6:$D$25,$P18)=0,1,0)),0)</f>
      </c>
      <c r="W18" s="78">
        <f>IF($I18="",0,IF(COUNTIF('RECIPE INDEX'!$B$6:$B$105,$I18)=0,1,0))</f>
      </c>
      <c r="X18" s="75"/>
    </row>
    <row r="19" ht="17" customHeight="1" spans="1:24" x14ac:dyDescent="0.25">
      <c r="A19" s="75"/>
      <c r="B19" s="79"/>
      <c r="C19" s="82"/>
      <c r="D19" s="79"/>
      <c r="E19" s="80"/>
      <c r="F19" s="79"/>
      <c r="G19" s="90"/>
      <c r="H19" s="79"/>
      <c r="I19" s="79"/>
      <c r="J19" s="92">
        <f>IF($B19="","",IF($I19="","",IFERROR(IF(INDEX('RECIPE INDEX'!$C$6:$C$105,MATCH($I19,'RECIPE INDEX'!$B$6:$B$105,0))="","",INDEX('RECIPE INDEX'!$C$6:$C$105,MATCH($I19,'RECIPE INDEX'!$B$6:$B$105,0))),"")))</f>
      </c>
      <c r="K19" s="79"/>
      <c r="L19" s="82"/>
      <c r="M19" s="79"/>
      <c r="N19" s="79"/>
      <c r="O19" s="79"/>
      <c r="P19" s="79"/>
      <c r="Q19" s="86"/>
      <c r="R19" s="86"/>
      <c r="S19" s="78">
        <f>IF($B19="","",IF(OR($O19="Served",$O19="Dropped"),"DONE",IF($L19="",IF($C19="","NO DATE",IF($C19&lt;TODAY(),"OVERDUE","SCHEDULED")),IF($L19&lt;TODAY(),"PREP OVERDUE",IF($L19-TODAY()&lt;=7,"PREP THIS WEEK","SCHEDULED")))))</f>
      </c>
      <c r="T19" s="80"/>
      <c r="U19" s="78">
        <f>IF($B19="",0,IF(COUNTIF('MEAL + BAKING PLAN'!$B$6:$B$155,$B19)&gt;1,1,0))</f>
      </c>
      <c r="V19" s="78">
        <f>IF(OR(N($Q19)&gt;0,N($R19)&gt;0),IF($P19="",1,IF(COUNTIF('MASTER BUDGET'!$D$6:$D$25,$P19)=0,1,0)),0)</f>
      </c>
      <c r="W19" s="78">
        <f>IF($I19="",0,IF(COUNTIF('RECIPE INDEX'!$B$6:$B$105,$I19)=0,1,0))</f>
      </c>
      <c r="X19" s="75"/>
    </row>
    <row r="20" ht="17" customHeight="1" spans="1:24" x14ac:dyDescent="0.25">
      <c r="A20" s="75"/>
      <c r="B20" s="79"/>
      <c r="C20" s="82"/>
      <c r="D20" s="79"/>
      <c r="E20" s="80"/>
      <c r="F20" s="79"/>
      <c r="G20" s="90"/>
      <c r="H20" s="79"/>
      <c r="I20" s="79"/>
      <c r="J20" s="92">
        <f>IF($B20="","",IF($I20="","",IFERROR(IF(INDEX('RECIPE INDEX'!$C$6:$C$105,MATCH($I20,'RECIPE INDEX'!$B$6:$B$105,0))="","",INDEX('RECIPE INDEX'!$C$6:$C$105,MATCH($I20,'RECIPE INDEX'!$B$6:$B$105,0))),"")))</f>
      </c>
      <c r="K20" s="79"/>
      <c r="L20" s="82"/>
      <c r="M20" s="79"/>
      <c r="N20" s="79"/>
      <c r="O20" s="79"/>
      <c r="P20" s="79"/>
      <c r="Q20" s="86"/>
      <c r="R20" s="86"/>
      <c r="S20" s="78">
        <f>IF($B20="","",IF(OR($O20="Served",$O20="Dropped"),"DONE",IF($L20="",IF($C20="","NO DATE",IF($C20&lt;TODAY(),"OVERDUE","SCHEDULED")),IF($L20&lt;TODAY(),"PREP OVERDUE",IF($L20-TODAY()&lt;=7,"PREP THIS WEEK","SCHEDULED")))))</f>
      </c>
      <c r="T20" s="80"/>
      <c r="U20" s="78">
        <f>IF($B20="",0,IF(COUNTIF('MEAL + BAKING PLAN'!$B$6:$B$155,$B20)&gt;1,1,0))</f>
      </c>
      <c r="V20" s="78">
        <f>IF(OR(N($Q20)&gt;0,N($R20)&gt;0),IF($P20="",1,IF(COUNTIF('MASTER BUDGET'!$D$6:$D$25,$P20)=0,1,0)),0)</f>
      </c>
      <c r="W20" s="78">
        <f>IF($I20="",0,IF(COUNTIF('RECIPE INDEX'!$B$6:$B$105,$I20)=0,1,0))</f>
      </c>
      <c r="X20" s="75"/>
    </row>
    <row r="21" ht="17" customHeight="1" spans="1:24" x14ac:dyDescent="0.25">
      <c r="A21" s="75"/>
      <c r="B21" s="79"/>
      <c r="C21" s="82"/>
      <c r="D21" s="79"/>
      <c r="E21" s="80"/>
      <c r="F21" s="79"/>
      <c r="G21" s="90"/>
      <c r="H21" s="79"/>
      <c r="I21" s="79"/>
      <c r="J21" s="92">
        <f>IF($B21="","",IF($I21="","",IFERROR(IF(INDEX('RECIPE INDEX'!$C$6:$C$105,MATCH($I21,'RECIPE INDEX'!$B$6:$B$105,0))="","",INDEX('RECIPE INDEX'!$C$6:$C$105,MATCH($I21,'RECIPE INDEX'!$B$6:$B$105,0))),"")))</f>
      </c>
      <c r="K21" s="79"/>
      <c r="L21" s="82"/>
      <c r="M21" s="79"/>
      <c r="N21" s="79"/>
      <c r="O21" s="79"/>
      <c r="P21" s="79"/>
      <c r="Q21" s="86"/>
      <c r="R21" s="86"/>
      <c r="S21" s="78">
        <f>IF($B21="","",IF(OR($O21="Served",$O21="Dropped"),"DONE",IF($L21="",IF($C21="","NO DATE",IF($C21&lt;TODAY(),"OVERDUE","SCHEDULED")),IF($L21&lt;TODAY(),"PREP OVERDUE",IF($L21-TODAY()&lt;=7,"PREP THIS WEEK","SCHEDULED")))))</f>
      </c>
      <c r="T21" s="80"/>
      <c r="U21" s="78">
        <f>IF($B21="",0,IF(COUNTIF('MEAL + BAKING PLAN'!$B$6:$B$155,$B21)&gt;1,1,0))</f>
      </c>
      <c r="V21" s="78">
        <f>IF(OR(N($Q21)&gt;0,N($R21)&gt;0),IF($P21="",1,IF(COUNTIF('MASTER BUDGET'!$D$6:$D$25,$P21)=0,1,0)),0)</f>
      </c>
      <c r="W21" s="78">
        <f>IF($I21="",0,IF(COUNTIF('RECIPE INDEX'!$B$6:$B$105,$I21)=0,1,0))</f>
      </c>
      <c r="X21" s="75"/>
    </row>
    <row r="22" ht="17" customHeight="1" spans="1:24" x14ac:dyDescent="0.25">
      <c r="A22" s="75"/>
      <c r="B22" s="79"/>
      <c r="C22" s="82"/>
      <c r="D22" s="79"/>
      <c r="E22" s="80"/>
      <c r="F22" s="79"/>
      <c r="G22" s="90"/>
      <c r="H22" s="79"/>
      <c r="I22" s="79"/>
      <c r="J22" s="92">
        <f>IF($B22="","",IF($I22="","",IFERROR(IF(INDEX('RECIPE INDEX'!$C$6:$C$105,MATCH($I22,'RECIPE INDEX'!$B$6:$B$105,0))="","",INDEX('RECIPE INDEX'!$C$6:$C$105,MATCH($I22,'RECIPE INDEX'!$B$6:$B$105,0))),"")))</f>
      </c>
      <c r="K22" s="79"/>
      <c r="L22" s="82"/>
      <c r="M22" s="79"/>
      <c r="N22" s="79"/>
      <c r="O22" s="79"/>
      <c r="P22" s="79"/>
      <c r="Q22" s="86"/>
      <c r="R22" s="86"/>
      <c r="S22" s="78">
        <f>IF($B22="","",IF(OR($O22="Served",$O22="Dropped"),"DONE",IF($L22="",IF($C22="","NO DATE",IF($C22&lt;TODAY(),"OVERDUE","SCHEDULED")),IF($L22&lt;TODAY(),"PREP OVERDUE",IF($L22-TODAY()&lt;=7,"PREP THIS WEEK","SCHEDULED")))))</f>
      </c>
      <c r="T22" s="80"/>
      <c r="U22" s="78">
        <f>IF($B22="",0,IF(COUNTIF('MEAL + BAKING PLAN'!$B$6:$B$155,$B22)&gt;1,1,0))</f>
      </c>
      <c r="V22" s="78">
        <f>IF(OR(N($Q22)&gt;0,N($R22)&gt;0),IF($P22="",1,IF(COUNTIF('MASTER BUDGET'!$D$6:$D$25,$P22)=0,1,0)),0)</f>
      </c>
      <c r="W22" s="78">
        <f>IF($I22="",0,IF(COUNTIF('RECIPE INDEX'!$B$6:$B$105,$I22)=0,1,0))</f>
      </c>
      <c r="X22" s="75"/>
    </row>
    <row r="23" ht="17" customHeight="1" spans="1:24" x14ac:dyDescent="0.25">
      <c r="A23" s="75"/>
      <c r="B23" s="79"/>
      <c r="C23" s="82"/>
      <c r="D23" s="79"/>
      <c r="E23" s="80"/>
      <c r="F23" s="79"/>
      <c r="G23" s="90"/>
      <c r="H23" s="79"/>
      <c r="I23" s="79"/>
      <c r="J23" s="92">
        <f>IF($B23="","",IF($I23="","",IFERROR(IF(INDEX('RECIPE INDEX'!$C$6:$C$105,MATCH($I23,'RECIPE INDEX'!$B$6:$B$105,0))="","",INDEX('RECIPE INDEX'!$C$6:$C$105,MATCH($I23,'RECIPE INDEX'!$B$6:$B$105,0))),"")))</f>
      </c>
      <c r="K23" s="79"/>
      <c r="L23" s="82"/>
      <c r="M23" s="79"/>
      <c r="N23" s="79"/>
      <c r="O23" s="79"/>
      <c r="P23" s="79"/>
      <c r="Q23" s="86"/>
      <c r="R23" s="86"/>
      <c r="S23" s="78">
        <f>IF($B23="","",IF(OR($O23="Served",$O23="Dropped"),"DONE",IF($L23="",IF($C23="","NO DATE",IF($C23&lt;TODAY(),"OVERDUE","SCHEDULED")),IF($L23&lt;TODAY(),"PREP OVERDUE",IF($L23-TODAY()&lt;=7,"PREP THIS WEEK","SCHEDULED")))))</f>
      </c>
      <c r="T23" s="80"/>
      <c r="U23" s="78">
        <f>IF($B23="",0,IF(COUNTIF('MEAL + BAKING PLAN'!$B$6:$B$155,$B23)&gt;1,1,0))</f>
      </c>
      <c r="V23" s="78">
        <f>IF(OR(N($Q23)&gt;0,N($R23)&gt;0),IF($P23="",1,IF(COUNTIF('MASTER BUDGET'!$D$6:$D$25,$P23)=0,1,0)),0)</f>
      </c>
      <c r="W23" s="78">
        <f>IF($I23="",0,IF(COUNTIF('RECIPE INDEX'!$B$6:$B$105,$I23)=0,1,0))</f>
      </c>
      <c r="X23" s="75"/>
    </row>
    <row r="24" ht="17" customHeight="1" spans="1:24" x14ac:dyDescent="0.25">
      <c r="A24" s="75"/>
      <c r="B24" s="79"/>
      <c r="C24" s="82"/>
      <c r="D24" s="79"/>
      <c r="E24" s="80"/>
      <c r="F24" s="79"/>
      <c r="G24" s="90"/>
      <c r="H24" s="79"/>
      <c r="I24" s="79"/>
      <c r="J24" s="92">
        <f>IF($B24="","",IF($I24="","",IFERROR(IF(INDEX('RECIPE INDEX'!$C$6:$C$105,MATCH($I24,'RECIPE INDEX'!$B$6:$B$105,0))="","",INDEX('RECIPE INDEX'!$C$6:$C$105,MATCH($I24,'RECIPE INDEX'!$B$6:$B$105,0))),"")))</f>
      </c>
      <c r="K24" s="79"/>
      <c r="L24" s="82"/>
      <c r="M24" s="79"/>
      <c r="N24" s="79"/>
      <c r="O24" s="79"/>
      <c r="P24" s="79"/>
      <c r="Q24" s="86"/>
      <c r="R24" s="86"/>
      <c r="S24" s="78">
        <f>IF($B24="","",IF(OR($O24="Served",$O24="Dropped"),"DONE",IF($L24="",IF($C24="","NO DATE",IF($C24&lt;TODAY(),"OVERDUE","SCHEDULED")),IF($L24&lt;TODAY(),"PREP OVERDUE",IF($L24-TODAY()&lt;=7,"PREP THIS WEEK","SCHEDULED")))))</f>
      </c>
      <c r="T24" s="80"/>
      <c r="U24" s="78">
        <f>IF($B24="",0,IF(COUNTIF('MEAL + BAKING PLAN'!$B$6:$B$155,$B24)&gt;1,1,0))</f>
      </c>
      <c r="V24" s="78">
        <f>IF(OR(N($Q24)&gt;0,N($R24)&gt;0),IF($P24="",1,IF(COUNTIF('MASTER BUDGET'!$D$6:$D$25,$P24)=0,1,0)),0)</f>
      </c>
      <c r="W24" s="78">
        <f>IF($I24="",0,IF(COUNTIF('RECIPE INDEX'!$B$6:$B$105,$I24)=0,1,0))</f>
      </c>
      <c r="X24" s="75"/>
    </row>
    <row r="25" ht="17" customHeight="1" spans="1:24" x14ac:dyDescent="0.25">
      <c r="A25" s="75"/>
      <c r="B25" s="79"/>
      <c r="C25" s="82"/>
      <c r="D25" s="79"/>
      <c r="E25" s="80"/>
      <c r="F25" s="79"/>
      <c r="G25" s="90"/>
      <c r="H25" s="79"/>
      <c r="I25" s="79"/>
      <c r="J25" s="92">
        <f>IF($B25="","",IF($I25="","",IFERROR(IF(INDEX('RECIPE INDEX'!$C$6:$C$105,MATCH($I25,'RECIPE INDEX'!$B$6:$B$105,0))="","",INDEX('RECIPE INDEX'!$C$6:$C$105,MATCH($I25,'RECIPE INDEX'!$B$6:$B$105,0))),"")))</f>
      </c>
      <c r="K25" s="79"/>
      <c r="L25" s="82"/>
      <c r="M25" s="79"/>
      <c r="N25" s="79"/>
      <c r="O25" s="79"/>
      <c r="P25" s="79"/>
      <c r="Q25" s="86"/>
      <c r="R25" s="86"/>
      <c r="S25" s="78">
        <f>IF($B25="","",IF(OR($O25="Served",$O25="Dropped"),"DONE",IF($L25="",IF($C25="","NO DATE",IF($C25&lt;TODAY(),"OVERDUE","SCHEDULED")),IF($L25&lt;TODAY(),"PREP OVERDUE",IF($L25-TODAY()&lt;=7,"PREP THIS WEEK","SCHEDULED")))))</f>
      </c>
      <c r="T25" s="80"/>
      <c r="U25" s="78">
        <f>IF($B25="",0,IF(COUNTIF('MEAL + BAKING PLAN'!$B$6:$B$155,$B25)&gt;1,1,0))</f>
      </c>
      <c r="V25" s="78">
        <f>IF(OR(N($Q25)&gt;0,N($R25)&gt;0),IF($P25="",1,IF(COUNTIF('MASTER BUDGET'!$D$6:$D$25,$P25)=0,1,0)),0)</f>
      </c>
      <c r="W25" s="78">
        <f>IF($I25="",0,IF(COUNTIF('RECIPE INDEX'!$B$6:$B$105,$I25)=0,1,0))</f>
      </c>
      <c r="X25" s="75"/>
    </row>
    <row r="26" ht="17" customHeight="1" spans="1:24" x14ac:dyDescent="0.25">
      <c r="A26" s="75"/>
      <c r="B26" s="79"/>
      <c r="C26" s="82"/>
      <c r="D26" s="79"/>
      <c r="E26" s="80"/>
      <c r="F26" s="79"/>
      <c r="G26" s="90"/>
      <c r="H26" s="79"/>
      <c r="I26" s="79"/>
      <c r="J26" s="92">
        <f>IF($B26="","",IF($I26="","",IFERROR(IF(INDEX('RECIPE INDEX'!$C$6:$C$105,MATCH($I26,'RECIPE INDEX'!$B$6:$B$105,0))="","",INDEX('RECIPE INDEX'!$C$6:$C$105,MATCH($I26,'RECIPE INDEX'!$B$6:$B$105,0))),"")))</f>
      </c>
      <c r="K26" s="79"/>
      <c r="L26" s="82"/>
      <c r="M26" s="79"/>
      <c r="N26" s="79"/>
      <c r="O26" s="79"/>
      <c r="P26" s="79"/>
      <c r="Q26" s="86"/>
      <c r="R26" s="86"/>
      <c r="S26" s="78">
        <f>IF($B26="","",IF(OR($O26="Served",$O26="Dropped"),"DONE",IF($L26="",IF($C26="","NO DATE",IF($C26&lt;TODAY(),"OVERDUE","SCHEDULED")),IF($L26&lt;TODAY(),"PREP OVERDUE",IF($L26-TODAY()&lt;=7,"PREP THIS WEEK","SCHEDULED")))))</f>
      </c>
      <c r="T26" s="80"/>
      <c r="U26" s="78">
        <f>IF($B26="",0,IF(COUNTIF('MEAL + BAKING PLAN'!$B$6:$B$155,$B26)&gt;1,1,0))</f>
      </c>
      <c r="V26" s="78">
        <f>IF(OR(N($Q26)&gt;0,N($R26)&gt;0),IF($P26="",1,IF(COUNTIF('MASTER BUDGET'!$D$6:$D$25,$P26)=0,1,0)),0)</f>
      </c>
      <c r="W26" s="78">
        <f>IF($I26="",0,IF(COUNTIF('RECIPE INDEX'!$B$6:$B$105,$I26)=0,1,0))</f>
      </c>
      <c r="X26" s="75"/>
    </row>
    <row r="27" ht="17" customHeight="1" spans="1:24" x14ac:dyDescent="0.25">
      <c r="A27" s="75"/>
      <c r="B27" s="79"/>
      <c r="C27" s="82"/>
      <c r="D27" s="79"/>
      <c r="E27" s="80"/>
      <c r="F27" s="79"/>
      <c r="G27" s="90"/>
      <c r="H27" s="79"/>
      <c r="I27" s="79"/>
      <c r="J27" s="92">
        <f>IF($B27="","",IF($I27="","",IFERROR(IF(INDEX('RECIPE INDEX'!$C$6:$C$105,MATCH($I27,'RECIPE INDEX'!$B$6:$B$105,0))="","",INDEX('RECIPE INDEX'!$C$6:$C$105,MATCH($I27,'RECIPE INDEX'!$B$6:$B$105,0))),"")))</f>
      </c>
      <c r="K27" s="79"/>
      <c r="L27" s="82"/>
      <c r="M27" s="79"/>
      <c r="N27" s="79"/>
      <c r="O27" s="79"/>
      <c r="P27" s="79"/>
      <c r="Q27" s="86"/>
      <c r="R27" s="86"/>
      <c r="S27" s="78">
        <f>IF($B27="","",IF(OR($O27="Served",$O27="Dropped"),"DONE",IF($L27="",IF($C27="","NO DATE",IF($C27&lt;TODAY(),"OVERDUE","SCHEDULED")),IF($L27&lt;TODAY(),"PREP OVERDUE",IF($L27-TODAY()&lt;=7,"PREP THIS WEEK","SCHEDULED")))))</f>
      </c>
      <c r="T27" s="80"/>
      <c r="U27" s="78">
        <f>IF($B27="",0,IF(COUNTIF('MEAL + BAKING PLAN'!$B$6:$B$155,$B27)&gt;1,1,0))</f>
      </c>
      <c r="V27" s="78">
        <f>IF(OR(N($Q27)&gt;0,N($R27)&gt;0),IF($P27="",1,IF(COUNTIF('MASTER BUDGET'!$D$6:$D$25,$P27)=0,1,0)),0)</f>
      </c>
      <c r="W27" s="78">
        <f>IF($I27="",0,IF(COUNTIF('RECIPE INDEX'!$B$6:$B$105,$I27)=0,1,0))</f>
      </c>
      <c r="X27" s="75"/>
    </row>
    <row r="28" ht="17" customHeight="1" spans="1:24" x14ac:dyDescent="0.25">
      <c r="A28" s="75"/>
      <c r="B28" s="79"/>
      <c r="C28" s="82"/>
      <c r="D28" s="79"/>
      <c r="E28" s="80"/>
      <c r="F28" s="79"/>
      <c r="G28" s="90"/>
      <c r="H28" s="79"/>
      <c r="I28" s="79"/>
      <c r="J28" s="92">
        <f>IF($B28="","",IF($I28="","",IFERROR(IF(INDEX('RECIPE INDEX'!$C$6:$C$105,MATCH($I28,'RECIPE INDEX'!$B$6:$B$105,0))="","",INDEX('RECIPE INDEX'!$C$6:$C$105,MATCH($I28,'RECIPE INDEX'!$B$6:$B$105,0))),"")))</f>
      </c>
      <c r="K28" s="79"/>
      <c r="L28" s="82"/>
      <c r="M28" s="79"/>
      <c r="N28" s="79"/>
      <c r="O28" s="79"/>
      <c r="P28" s="79"/>
      <c r="Q28" s="86"/>
      <c r="R28" s="86"/>
      <c r="S28" s="78">
        <f>IF($B28="","",IF(OR($O28="Served",$O28="Dropped"),"DONE",IF($L28="",IF($C28="","NO DATE",IF($C28&lt;TODAY(),"OVERDUE","SCHEDULED")),IF($L28&lt;TODAY(),"PREP OVERDUE",IF($L28-TODAY()&lt;=7,"PREP THIS WEEK","SCHEDULED")))))</f>
      </c>
      <c r="T28" s="80"/>
      <c r="U28" s="78">
        <f>IF($B28="",0,IF(COUNTIF('MEAL + BAKING PLAN'!$B$6:$B$155,$B28)&gt;1,1,0))</f>
      </c>
      <c r="V28" s="78">
        <f>IF(OR(N($Q28)&gt;0,N($R28)&gt;0),IF($P28="",1,IF(COUNTIF('MASTER BUDGET'!$D$6:$D$25,$P28)=0,1,0)),0)</f>
      </c>
      <c r="W28" s="78">
        <f>IF($I28="",0,IF(COUNTIF('RECIPE INDEX'!$B$6:$B$105,$I28)=0,1,0))</f>
      </c>
      <c r="X28" s="75"/>
    </row>
    <row r="29" ht="17" customHeight="1" spans="1:24" x14ac:dyDescent="0.25">
      <c r="A29" s="75"/>
      <c r="B29" s="79"/>
      <c r="C29" s="82"/>
      <c r="D29" s="79"/>
      <c r="E29" s="80"/>
      <c r="F29" s="79"/>
      <c r="G29" s="90"/>
      <c r="H29" s="79"/>
      <c r="I29" s="79"/>
      <c r="J29" s="92">
        <f>IF($B29="","",IF($I29="","",IFERROR(IF(INDEX('RECIPE INDEX'!$C$6:$C$105,MATCH($I29,'RECIPE INDEX'!$B$6:$B$105,0))="","",INDEX('RECIPE INDEX'!$C$6:$C$105,MATCH($I29,'RECIPE INDEX'!$B$6:$B$105,0))),"")))</f>
      </c>
      <c r="K29" s="79"/>
      <c r="L29" s="82"/>
      <c r="M29" s="79"/>
      <c r="N29" s="79"/>
      <c r="O29" s="79"/>
      <c r="P29" s="79"/>
      <c r="Q29" s="86"/>
      <c r="R29" s="86"/>
      <c r="S29" s="78">
        <f>IF($B29="","",IF(OR($O29="Served",$O29="Dropped"),"DONE",IF($L29="",IF($C29="","NO DATE",IF($C29&lt;TODAY(),"OVERDUE","SCHEDULED")),IF($L29&lt;TODAY(),"PREP OVERDUE",IF($L29-TODAY()&lt;=7,"PREP THIS WEEK","SCHEDULED")))))</f>
      </c>
      <c r="T29" s="80"/>
      <c r="U29" s="78">
        <f>IF($B29="",0,IF(COUNTIF('MEAL + BAKING PLAN'!$B$6:$B$155,$B29)&gt;1,1,0))</f>
      </c>
      <c r="V29" s="78">
        <f>IF(OR(N($Q29)&gt;0,N($R29)&gt;0),IF($P29="",1,IF(COUNTIF('MASTER BUDGET'!$D$6:$D$25,$P29)=0,1,0)),0)</f>
      </c>
      <c r="W29" s="78">
        <f>IF($I29="",0,IF(COUNTIF('RECIPE INDEX'!$B$6:$B$105,$I29)=0,1,0))</f>
      </c>
      <c r="X29" s="75"/>
    </row>
    <row r="30" ht="17" customHeight="1" spans="1:24" x14ac:dyDescent="0.25">
      <c r="A30" s="75"/>
      <c r="B30" s="79"/>
      <c r="C30" s="82"/>
      <c r="D30" s="79"/>
      <c r="E30" s="80"/>
      <c r="F30" s="79"/>
      <c r="G30" s="90"/>
      <c r="H30" s="79"/>
      <c r="I30" s="79"/>
      <c r="J30" s="92">
        <f>IF($B30="","",IF($I30="","",IFERROR(IF(INDEX('RECIPE INDEX'!$C$6:$C$105,MATCH($I30,'RECIPE INDEX'!$B$6:$B$105,0))="","",INDEX('RECIPE INDEX'!$C$6:$C$105,MATCH($I30,'RECIPE INDEX'!$B$6:$B$105,0))),"")))</f>
      </c>
      <c r="K30" s="79"/>
      <c r="L30" s="82"/>
      <c r="M30" s="79"/>
      <c r="N30" s="79"/>
      <c r="O30" s="79"/>
      <c r="P30" s="79"/>
      <c r="Q30" s="86"/>
      <c r="R30" s="86"/>
      <c r="S30" s="78">
        <f>IF($B30="","",IF(OR($O30="Served",$O30="Dropped"),"DONE",IF($L30="",IF($C30="","NO DATE",IF($C30&lt;TODAY(),"OVERDUE","SCHEDULED")),IF($L30&lt;TODAY(),"PREP OVERDUE",IF($L30-TODAY()&lt;=7,"PREP THIS WEEK","SCHEDULED")))))</f>
      </c>
      <c r="T30" s="80"/>
      <c r="U30" s="78">
        <f>IF($B30="",0,IF(COUNTIF('MEAL + BAKING PLAN'!$B$6:$B$155,$B30)&gt;1,1,0))</f>
      </c>
      <c r="V30" s="78">
        <f>IF(OR(N($Q30)&gt;0,N($R30)&gt;0),IF($P30="",1,IF(COUNTIF('MASTER BUDGET'!$D$6:$D$25,$P30)=0,1,0)),0)</f>
      </c>
      <c r="W30" s="78">
        <f>IF($I30="",0,IF(COUNTIF('RECIPE INDEX'!$B$6:$B$105,$I30)=0,1,0))</f>
      </c>
      <c r="X30" s="75"/>
    </row>
    <row r="31" ht="17" customHeight="1" spans="1:24" x14ac:dyDescent="0.25">
      <c r="A31" s="75"/>
      <c r="B31" s="79"/>
      <c r="C31" s="82"/>
      <c r="D31" s="79"/>
      <c r="E31" s="80"/>
      <c r="F31" s="79"/>
      <c r="G31" s="90"/>
      <c r="H31" s="79"/>
      <c r="I31" s="79"/>
      <c r="J31" s="92">
        <f>IF($B31="","",IF($I31="","",IFERROR(IF(INDEX('RECIPE INDEX'!$C$6:$C$105,MATCH($I31,'RECIPE INDEX'!$B$6:$B$105,0))="","",INDEX('RECIPE INDEX'!$C$6:$C$105,MATCH($I31,'RECIPE INDEX'!$B$6:$B$105,0))),"")))</f>
      </c>
      <c r="K31" s="79"/>
      <c r="L31" s="82"/>
      <c r="M31" s="79"/>
      <c r="N31" s="79"/>
      <c r="O31" s="79"/>
      <c r="P31" s="79"/>
      <c r="Q31" s="86"/>
      <c r="R31" s="86"/>
      <c r="S31" s="78">
        <f>IF($B31="","",IF(OR($O31="Served",$O31="Dropped"),"DONE",IF($L31="",IF($C31="","NO DATE",IF($C31&lt;TODAY(),"OVERDUE","SCHEDULED")),IF($L31&lt;TODAY(),"PREP OVERDUE",IF($L31-TODAY()&lt;=7,"PREP THIS WEEK","SCHEDULED")))))</f>
      </c>
      <c r="T31" s="80"/>
      <c r="U31" s="78">
        <f>IF($B31="",0,IF(COUNTIF('MEAL + BAKING PLAN'!$B$6:$B$155,$B31)&gt;1,1,0))</f>
      </c>
      <c r="V31" s="78">
        <f>IF(OR(N($Q31)&gt;0,N($R31)&gt;0),IF($P31="",1,IF(COUNTIF('MASTER BUDGET'!$D$6:$D$25,$P31)=0,1,0)),0)</f>
      </c>
      <c r="W31" s="78">
        <f>IF($I31="",0,IF(COUNTIF('RECIPE INDEX'!$B$6:$B$105,$I31)=0,1,0))</f>
      </c>
      <c r="X31" s="75"/>
    </row>
    <row r="32" ht="17" customHeight="1" spans="1:24" x14ac:dyDescent="0.25">
      <c r="A32" s="75"/>
      <c r="B32" s="79"/>
      <c r="C32" s="82"/>
      <c r="D32" s="79"/>
      <c r="E32" s="80"/>
      <c r="F32" s="79"/>
      <c r="G32" s="90"/>
      <c r="H32" s="79"/>
      <c r="I32" s="79"/>
      <c r="J32" s="92">
        <f>IF($B32="","",IF($I32="","",IFERROR(IF(INDEX('RECIPE INDEX'!$C$6:$C$105,MATCH($I32,'RECIPE INDEX'!$B$6:$B$105,0))="","",INDEX('RECIPE INDEX'!$C$6:$C$105,MATCH($I32,'RECIPE INDEX'!$B$6:$B$105,0))),"")))</f>
      </c>
      <c r="K32" s="79"/>
      <c r="L32" s="82"/>
      <c r="M32" s="79"/>
      <c r="N32" s="79"/>
      <c r="O32" s="79"/>
      <c r="P32" s="79"/>
      <c r="Q32" s="86"/>
      <c r="R32" s="86"/>
      <c r="S32" s="78">
        <f>IF($B32="","",IF(OR($O32="Served",$O32="Dropped"),"DONE",IF($L32="",IF($C32="","NO DATE",IF($C32&lt;TODAY(),"OVERDUE","SCHEDULED")),IF($L32&lt;TODAY(),"PREP OVERDUE",IF($L32-TODAY()&lt;=7,"PREP THIS WEEK","SCHEDULED")))))</f>
      </c>
      <c r="T32" s="80"/>
      <c r="U32" s="78">
        <f>IF($B32="",0,IF(COUNTIF('MEAL + BAKING PLAN'!$B$6:$B$155,$B32)&gt;1,1,0))</f>
      </c>
      <c r="V32" s="78">
        <f>IF(OR(N($Q32)&gt;0,N($R32)&gt;0),IF($P32="",1,IF(COUNTIF('MASTER BUDGET'!$D$6:$D$25,$P32)=0,1,0)),0)</f>
      </c>
      <c r="W32" s="78">
        <f>IF($I32="",0,IF(COUNTIF('RECIPE INDEX'!$B$6:$B$105,$I32)=0,1,0))</f>
      </c>
      <c r="X32" s="75"/>
    </row>
    <row r="33" ht="17" customHeight="1" spans="1:24" x14ac:dyDescent="0.25">
      <c r="A33" s="75"/>
      <c r="B33" s="79"/>
      <c r="C33" s="82"/>
      <c r="D33" s="79"/>
      <c r="E33" s="80"/>
      <c r="F33" s="79"/>
      <c r="G33" s="90"/>
      <c r="H33" s="79"/>
      <c r="I33" s="79"/>
      <c r="J33" s="92">
        <f>IF($B33="","",IF($I33="","",IFERROR(IF(INDEX('RECIPE INDEX'!$C$6:$C$105,MATCH($I33,'RECIPE INDEX'!$B$6:$B$105,0))="","",INDEX('RECIPE INDEX'!$C$6:$C$105,MATCH($I33,'RECIPE INDEX'!$B$6:$B$105,0))),"")))</f>
      </c>
      <c r="K33" s="79"/>
      <c r="L33" s="82"/>
      <c r="M33" s="79"/>
      <c r="N33" s="79"/>
      <c r="O33" s="79"/>
      <c r="P33" s="79"/>
      <c r="Q33" s="86"/>
      <c r="R33" s="86"/>
      <c r="S33" s="78">
        <f>IF($B33="","",IF(OR($O33="Served",$O33="Dropped"),"DONE",IF($L33="",IF($C33="","NO DATE",IF($C33&lt;TODAY(),"OVERDUE","SCHEDULED")),IF($L33&lt;TODAY(),"PREP OVERDUE",IF($L33-TODAY()&lt;=7,"PREP THIS WEEK","SCHEDULED")))))</f>
      </c>
      <c r="T33" s="80"/>
      <c r="U33" s="78">
        <f>IF($B33="",0,IF(COUNTIF('MEAL + BAKING PLAN'!$B$6:$B$155,$B33)&gt;1,1,0))</f>
      </c>
      <c r="V33" s="78">
        <f>IF(OR(N($Q33)&gt;0,N($R33)&gt;0),IF($P33="",1,IF(COUNTIF('MASTER BUDGET'!$D$6:$D$25,$P33)=0,1,0)),0)</f>
      </c>
      <c r="W33" s="78">
        <f>IF($I33="",0,IF(COUNTIF('RECIPE INDEX'!$B$6:$B$105,$I33)=0,1,0))</f>
      </c>
      <c r="X33" s="75"/>
    </row>
    <row r="34" ht="17" customHeight="1" spans="1:24" x14ac:dyDescent="0.25">
      <c r="A34" s="75"/>
      <c r="B34" s="79"/>
      <c r="C34" s="82"/>
      <c r="D34" s="79"/>
      <c r="E34" s="80"/>
      <c r="F34" s="79"/>
      <c r="G34" s="90"/>
      <c r="H34" s="79"/>
      <c r="I34" s="79"/>
      <c r="J34" s="92">
        <f>IF($B34="","",IF($I34="","",IFERROR(IF(INDEX('RECIPE INDEX'!$C$6:$C$105,MATCH($I34,'RECIPE INDEX'!$B$6:$B$105,0))="","",INDEX('RECIPE INDEX'!$C$6:$C$105,MATCH($I34,'RECIPE INDEX'!$B$6:$B$105,0))),"")))</f>
      </c>
      <c r="K34" s="79"/>
      <c r="L34" s="82"/>
      <c r="M34" s="79"/>
      <c r="N34" s="79"/>
      <c r="O34" s="79"/>
      <c r="P34" s="79"/>
      <c r="Q34" s="86"/>
      <c r="R34" s="86"/>
      <c r="S34" s="78">
        <f>IF($B34="","",IF(OR($O34="Served",$O34="Dropped"),"DONE",IF($L34="",IF($C34="","NO DATE",IF($C34&lt;TODAY(),"OVERDUE","SCHEDULED")),IF($L34&lt;TODAY(),"PREP OVERDUE",IF($L34-TODAY()&lt;=7,"PREP THIS WEEK","SCHEDULED")))))</f>
      </c>
      <c r="T34" s="80"/>
      <c r="U34" s="78">
        <f>IF($B34="",0,IF(COUNTIF('MEAL + BAKING PLAN'!$B$6:$B$155,$B34)&gt;1,1,0))</f>
      </c>
      <c r="V34" s="78">
        <f>IF(OR(N($Q34)&gt;0,N($R34)&gt;0),IF($P34="",1,IF(COUNTIF('MASTER BUDGET'!$D$6:$D$25,$P34)=0,1,0)),0)</f>
      </c>
      <c r="W34" s="78">
        <f>IF($I34="",0,IF(COUNTIF('RECIPE INDEX'!$B$6:$B$105,$I34)=0,1,0))</f>
      </c>
      <c r="X34" s="75"/>
    </row>
    <row r="35" ht="17" customHeight="1" spans="1:24" x14ac:dyDescent="0.25">
      <c r="A35" s="75"/>
      <c r="B35" s="79"/>
      <c r="C35" s="82"/>
      <c r="D35" s="79"/>
      <c r="E35" s="80"/>
      <c r="F35" s="79"/>
      <c r="G35" s="90"/>
      <c r="H35" s="79"/>
      <c r="I35" s="79"/>
      <c r="J35" s="92">
        <f>IF($B35="","",IF($I35="","",IFERROR(IF(INDEX('RECIPE INDEX'!$C$6:$C$105,MATCH($I35,'RECIPE INDEX'!$B$6:$B$105,0))="","",INDEX('RECIPE INDEX'!$C$6:$C$105,MATCH($I35,'RECIPE INDEX'!$B$6:$B$105,0))),"")))</f>
      </c>
      <c r="K35" s="79"/>
      <c r="L35" s="82"/>
      <c r="M35" s="79"/>
      <c r="N35" s="79"/>
      <c r="O35" s="79"/>
      <c r="P35" s="79"/>
      <c r="Q35" s="86"/>
      <c r="R35" s="86"/>
      <c r="S35" s="78">
        <f>IF($B35="","",IF(OR($O35="Served",$O35="Dropped"),"DONE",IF($L35="",IF($C35="","NO DATE",IF($C35&lt;TODAY(),"OVERDUE","SCHEDULED")),IF($L35&lt;TODAY(),"PREP OVERDUE",IF($L35-TODAY()&lt;=7,"PREP THIS WEEK","SCHEDULED")))))</f>
      </c>
      <c r="T35" s="80"/>
      <c r="U35" s="78">
        <f>IF($B35="",0,IF(COUNTIF('MEAL + BAKING PLAN'!$B$6:$B$155,$B35)&gt;1,1,0))</f>
      </c>
      <c r="V35" s="78">
        <f>IF(OR(N($Q35)&gt;0,N($R35)&gt;0),IF($P35="",1,IF(COUNTIF('MASTER BUDGET'!$D$6:$D$25,$P35)=0,1,0)),0)</f>
      </c>
      <c r="W35" s="78">
        <f>IF($I35="",0,IF(COUNTIF('RECIPE INDEX'!$B$6:$B$105,$I35)=0,1,0))</f>
      </c>
      <c r="X35" s="75"/>
    </row>
    <row r="36" ht="17" customHeight="1" spans="1:24" x14ac:dyDescent="0.25">
      <c r="A36" s="75"/>
      <c r="B36" s="79"/>
      <c r="C36" s="82"/>
      <c r="D36" s="79"/>
      <c r="E36" s="80"/>
      <c r="F36" s="79"/>
      <c r="G36" s="90"/>
      <c r="H36" s="79"/>
      <c r="I36" s="79"/>
      <c r="J36" s="92">
        <f>IF($B36="","",IF($I36="","",IFERROR(IF(INDEX('RECIPE INDEX'!$C$6:$C$105,MATCH($I36,'RECIPE INDEX'!$B$6:$B$105,0))="","",INDEX('RECIPE INDEX'!$C$6:$C$105,MATCH($I36,'RECIPE INDEX'!$B$6:$B$105,0))),"")))</f>
      </c>
      <c r="K36" s="79"/>
      <c r="L36" s="82"/>
      <c r="M36" s="79"/>
      <c r="N36" s="79"/>
      <c r="O36" s="79"/>
      <c r="P36" s="79"/>
      <c r="Q36" s="86"/>
      <c r="R36" s="86"/>
      <c r="S36" s="78">
        <f>IF($B36="","",IF(OR($O36="Served",$O36="Dropped"),"DONE",IF($L36="",IF($C36="","NO DATE",IF($C36&lt;TODAY(),"OVERDUE","SCHEDULED")),IF($L36&lt;TODAY(),"PREP OVERDUE",IF($L36-TODAY()&lt;=7,"PREP THIS WEEK","SCHEDULED")))))</f>
      </c>
      <c r="T36" s="80"/>
      <c r="U36" s="78">
        <f>IF($B36="",0,IF(COUNTIF('MEAL + BAKING PLAN'!$B$6:$B$155,$B36)&gt;1,1,0))</f>
      </c>
      <c r="V36" s="78">
        <f>IF(OR(N($Q36)&gt;0,N($R36)&gt;0),IF($P36="",1,IF(COUNTIF('MASTER BUDGET'!$D$6:$D$25,$P36)=0,1,0)),0)</f>
      </c>
      <c r="W36" s="78">
        <f>IF($I36="",0,IF(COUNTIF('RECIPE INDEX'!$B$6:$B$105,$I36)=0,1,0))</f>
      </c>
      <c r="X36" s="75"/>
    </row>
    <row r="37" ht="17" customHeight="1" spans="1:24" x14ac:dyDescent="0.25">
      <c r="A37" s="75"/>
      <c r="B37" s="79"/>
      <c r="C37" s="82"/>
      <c r="D37" s="79"/>
      <c r="E37" s="80"/>
      <c r="F37" s="79"/>
      <c r="G37" s="90"/>
      <c r="H37" s="79"/>
      <c r="I37" s="79"/>
      <c r="J37" s="92">
        <f>IF($B37="","",IF($I37="","",IFERROR(IF(INDEX('RECIPE INDEX'!$C$6:$C$105,MATCH($I37,'RECIPE INDEX'!$B$6:$B$105,0))="","",INDEX('RECIPE INDEX'!$C$6:$C$105,MATCH($I37,'RECIPE INDEX'!$B$6:$B$105,0))),"")))</f>
      </c>
      <c r="K37" s="79"/>
      <c r="L37" s="82"/>
      <c r="M37" s="79"/>
      <c r="N37" s="79"/>
      <c r="O37" s="79"/>
      <c r="P37" s="79"/>
      <c r="Q37" s="86"/>
      <c r="R37" s="86"/>
      <c r="S37" s="78">
        <f>IF($B37="","",IF(OR($O37="Served",$O37="Dropped"),"DONE",IF($L37="",IF($C37="","NO DATE",IF($C37&lt;TODAY(),"OVERDUE","SCHEDULED")),IF($L37&lt;TODAY(),"PREP OVERDUE",IF($L37-TODAY()&lt;=7,"PREP THIS WEEK","SCHEDULED")))))</f>
      </c>
      <c r="T37" s="80"/>
      <c r="U37" s="78">
        <f>IF($B37="",0,IF(COUNTIF('MEAL + BAKING PLAN'!$B$6:$B$155,$B37)&gt;1,1,0))</f>
      </c>
      <c r="V37" s="78">
        <f>IF(OR(N($Q37)&gt;0,N($R37)&gt;0),IF($P37="",1,IF(COUNTIF('MASTER BUDGET'!$D$6:$D$25,$P37)=0,1,0)),0)</f>
      </c>
      <c r="W37" s="78">
        <f>IF($I37="",0,IF(COUNTIF('RECIPE INDEX'!$B$6:$B$105,$I37)=0,1,0))</f>
      </c>
      <c r="X37" s="75"/>
    </row>
    <row r="38" ht="17" customHeight="1" spans="1:24" x14ac:dyDescent="0.25">
      <c r="A38" s="75"/>
      <c r="B38" s="79"/>
      <c r="C38" s="82"/>
      <c r="D38" s="79"/>
      <c r="E38" s="80"/>
      <c r="F38" s="79"/>
      <c r="G38" s="90"/>
      <c r="H38" s="79"/>
      <c r="I38" s="79"/>
      <c r="J38" s="92">
        <f>IF($B38="","",IF($I38="","",IFERROR(IF(INDEX('RECIPE INDEX'!$C$6:$C$105,MATCH($I38,'RECIPE INDEX'!$B$6:$B$105,0))="","",INDEX('RECIPE INDEX'!$C$6:$C$105,MATCH($I38,'RECIPE INDEX'!$B$6:$B$105,0))),"")))</f>
      </c>
      <c r="K38" s="79"/>
      <c r="L38" s="82"/>
      <c r="M38" s="79"/>
      <c r="N38" s="79"/>
      <c r="O38" s="79"/>
      <c r="P38" s="79"/>
      <c r="Q38" s="86"/>
      <c r="R38" s="86"/>
      <c r="S38" s="78">
        <f>IF($B38="","",IF(OR($O38="Served",$O38="Dropped"),"DONE",IF($L38="",IF($C38="","NO DATE",IF($C38&lt;TODAY(),"OVERDUE","SCHEDULED")),IF($L38&lt;TODAY(),"PREP OVERDUE",IF($L38-TODAY()&lt;=7,"PREP THIS WEEK","SCHEDULED")))))</f>
      </c>
      <c r="T38" s="80"/>
      <c r="U38" s="78">
        <f>IF($B38="",0,IF(COUNTIF('MEAL + BAKING PLAN'!$B$6:$B$155,$B38)&gt;1,1,0))</f>
      </c>
      <c r="V38" s="78">
        <f>IF(OR(N($Q38)&gt;0,N($R38)&gt;0),IF($P38="",1,IF(COUNTIF('MASTER BUDGET'!$D$6:$D$25,$P38)=0,1,0)),0)</f>
      </c>
      <c r="W38" s="78">
        <f>IF($I38="",0,IF(COUNTIF('RECIPE INDEX'!$B$6:$B$105,$I38)=0,1,0))</f>
      </c>
      <c r="X38" s="75"/>
    </row>
    <row r="39" ht="17" customHeight="1" spans="1:24" x14ac:dyDescent="0.25">
      <c r="A39" s="75"/>
      <c r="B39" s="79"/>
      <c r="C39" s="82"/>
      <c r="D39" s="79"/>
      <c r="E39" s="80"/>
      <c r="F39" s="79"/>
      <c r="G39" s="90"/>
      <c r="H39" s="79"/>
      <c r="I39" s="79"/>
      <c r="J39" s="92">
        <f>IF($B39="","",IF($I39="","",IFERROR(IF(INDEX('RECIPE INDEX'!$C$6:$C$105,MATCH($I39,'RECIPE INDEX'!$B$6:$B$105,0))="","",INDEX('RECIPE INDEX'!$C$6:$C$105,MATCH($I39,'RECIPE INDEX'!$B$6:$B$105,0))),"")))</f>
      </c>
      <c r="K39" s="79"/>
      <c r="L39" s="82"/>
      <c r="M39" s="79"/>
      <c r="N39" s="79"/>
      <c r="O39" s="79"/>
      <c r="P39" s="79"/>
      <c r="Q39" s="86"/>
      <c r="R39" s="86"/>
      <c r="S39" s="78">
        <f>IF($B39="","",IF(OR($O39="Served",$O39="Dropped"),"DONE",IF($L39="",IF($C39="","NO DATE",IF($C39&lt;TODAY(),"OVERDUE","SCHEDULED")),IF($L39&lt;TODAY(),"PREP OVERDUE",IF($L39-TODAY()&lt;=7,"PREP THIS WEEK","SCHEDULED")))))</f>
      </c>
      <c r="T39" s="80"/>
      <c r="U39" s="78">
        <f>IF($B39="",0,IF(COUNTIF('MEAL + BAKING PLAN'!$B$6:$B$155,$B39)&gt;1,1,0))</f>
      </c>
      <c r="V39" s="78">
        <f>IF(OR(N($Q39)&gt;0,N($R39)&gt;0),IF($P39="",1,IF(COUNTIF('MASTER BUDGET'!$D$6:$D$25,$P39)=0,1,0)),0)</f>
      </c>
      <c r="W39" s="78">
        <f>IF($I39="",0,IF(COUNTIF('RECIPE INDEX'!$B$6:$B$105,$I39)=0,1,0))</f>
      </c>
      <c r="X39" s="75"/>
    </row>
    <row r="40" ht="17" customHeight="1" spans="1:24" x14ac:dyDescent="0.25">
      <c r="A40" s="75"/>
      <c r="B40" s="79"/>
      <c r="C40" s="82"/>
      <c r="D40" s="79"/>
      <c r="E40" s="80"/>
      <c r="F40" s="79"/>
      <c r="G40" s="90"/>
      <c r="H40" s="79"/>
      <c r="I40" s="79"/>
      <c r="J40" s="92">
        <f>IF($B40="","",IF($I40="","",IFERROR(IF(INDEX('RECIPE INDEX'!$C$6:$C$105,MATCH($I40,'RECIPE INDEX'!$B$6:$B$105,0))="","",INDEX('RECIPE INDEX'!$C$6:$C$105,MATCH($I40,'RECIPE INDEX'!$B$6:$B$105,0))),"")))</f>
      </c>
      <c r="K40" s="79"/>
      <c r="L40" s="82"/>
      <c r="M40" s="79"/>
      <c r="N40" s="79"/>
      <c r="O40" s="79"/>
      <c r="P40" s="79"/>
      <c r="Q40" s="86"/>
      <c r="R40" s="86"/>
      <c r="S40" s="78">
        <f>IF($B40="","",IF(OR($O40="Served",$O40="Dropped"),"DONE",IF($L40="",IF($C40="","NO DATE",IF($C40&lt;TODAY(),"OVERDUE","SCHEDULED")),IF($L40&lt;TODAY(),"PREP OVERDUE",IF($L40-TODAY()&lt;=7,"PREP THIS WEEK","SCHEDULED")))))</f>
      </c>
      <c r="T40" s="80"/>
      <c r="U40" s="78">
        <f>IF($B40="",0,IF(COUNTIF('MEAL + BAKING PLAN'!$B$6:$B$155,$B40)&gt;1,1,0))</f>
      </c>
      <c r="V40" s="78">
        <f>IF(OR(N($Q40)&gt;0,N($R40)&gt;0),IF($P40="",1,IF(COUNTIF('MASTER BUDGET'!$D$6:$D$25,$P40)=0,1,0)),0)</f>
      </c>
      <c r="W40" s="78">
        <f>IF($I40="",0,IF(COUNTIF('RECIPE INDEX'!$B$6:$B$105,$I40)=0,1,0))</f>
      </c>
      <c r="X40" s="75"/>
    </row>
    <row r="41" ht="17" customHeight="1" spans="1:24" x14ac:dyDescent="0.25">
      <c r="A41" s="75"/>
      <c r="B41" s="79"/>
      <c r="C41" s="82"/>
      <c r="D41" s="79"/>
      <c r="E41" s="80"/>
      <c r="F41" s="79"/>
      <c r="G41" s="90"/>
      <c r="H41" s="79"/>
      <c r="I41" s="79"/>
      <c r="J41" s="92">
        <f>IF($B41="","",IF($I41="","",IFERROR(IF(INDEX('RECIPE INDEX'!$C$6:$C$105,MATCH($I41,'RECIPE INDEX'!$B$6:$B$105,0))="","",INDEX('RECIPE INDEX'!$C$6:$C$105,MATCH($I41,'RECIPE INDEX'!$B$6:$B$105,0))),"")))</f>
      </c>
      <c r="K41" s="79"/>
      <c r="L41" s="82"/>
      <c r="M41" s="79"/>
      <c r="N41" s="79"/>
      <c r="O41" s="79"/>
      <c r="P41" s="79"/>
      <c r="Q41" s="86"/>
      <c r="R41" s="86"/>
      <c r="S41" s="78">
        <f>IF($B41="","",IF(OR($O41="Served",$O41="Dropped"),"DONE",IF($L41="",IF($C41="","NO DATE",IF($C41&lt;TODAY(),"OVERDUE","SCHEDULED")),IF($L41&lt;TODAY(),"PREP OVERDUE",IF($L41-TODAY()&lt;=7,"PREP THIS WEEK","SCHEDULED")))))</f>
      </c>
      <c r="T41" s="80"/>
      <c r="U41" s="78">
        <f>IF($B41="",0,IF(COUNTIF('MEAL + BAKING PLAN'!$B$6:$B$155,$B41)&gt;1,1,0))</f>
      </c>
      <c r="V41" s="78">
        <f>IF(OR(N($Q41)&gt;0,N($R41)&gt;0),IF($P41="",1,IF(COUNTIF('MASTER BUDGET'!$D$6:$D$25,$P41)=0,1,0)),0)</f>
      </c>
      <c r="W41" s="78">
        <f>IF($I41="",0,IF(COUNTIF('RECIPE INDEX'!$B$6:$B$105,$I41)=0,1,0))</f>
      </c>
      <c r="X41" s="75"/>
    </row>
    <row r="42" ht="17" customHeight="1" spans="1:24" x14ac:dyDescent="0.25">
      <c r="A42" s="75"/>
      <c r="B42" s="79"/>
      <c r="C42" s="82"/>
      <c r="D42" s="79"/>
      <c r="E42" s="80"/>
      <c r="F42" s="79"/>
      <c r="G42" s="90"/>
      <c r="H42" s="79"/>
      <c r="I42" s="79"/>
      <c r="J42" s="92">
        <f>IF($B42="","",IF($I42="","",IFERROR(IF(INDEX('RECIPE INDEX'!$C$6:$C$105,MATCH($I42,'RECIPE INDEX'!$B$6:$B$105,0))="","",INDEX('RECIPE INDEX'!$C$6:$C$105,MATCH($I42,'RECIPE INDEX'!$B$6:$B$105,0))),"")))</f>
      </c>
      <c r="K42" s="79"/>
      <c r="L42" s="82"/>
      <c r="M42" s="79"/>
      <c r="N42" s="79"/>
      <c r="O42" s="79"/>
      <c r="P42" s="79"/>
      <c r="Q42" s="86"/>
      <c r="R42" s="86"/>
      <c r="S42" s="78">
        <f>IF($B42="","",IF(OR($O42="Served",$O42="Dropped"),"DONE",IF($L42="",IF($C42="","NO DATE",IF($C42&lt;TODAY(),"OVERDUE","SCHEDULED")),IF($L42&lt;TODAY(),"PREP OVERDUE",IF($L42-TODAY()&lt;=7,"PREP THIS WEEK","SCHEDULED")))))</f>
      </c>
      <c r="T42" s="80"/>
      <c r="U42" s="78">
        <f>IF($B42="",0,IF(COUNTIF('MEAL + BAKING PLAN'!$B$6:$B$155,$B42)&gt;1,1,0))</f>
      </c>
      <c r="V42" s="78">
        <f>IF(OR(N($Q42)&gt;0,N($R42)&gt;0),IF($P42="",1,IF(COUNTIF('MASTER BUDGET'!$D$6:$D$25,$P42)=0,1,0)),0)</f>
      </c>
      <c r="W42" s="78">
        <f>IF($I42="",0,IF(COUNTIF('RECIPE INDEX'!$B$6:$B$105,$I42)=0,1,0))</f>
      </c>
      <c r="X42" s="75"/>
    </row>
    <row r="43" ht="17" customHeight="1" spans="1:24" x14ac:dyDescent="0.25">
      <c r="A43" s="75"/>
      <c r="B43" s="79"/>
      <c r="C43" s="82"/>
      <c r="D43" s="79"/>
      <c r="E43" s="80"/>
      <c r="F43" s="79"/>
      <c r="G43" s="90"/>
      <c r="H43" s="79"/>
      <c r="I43" s="79"/>
      <c r="J43" s="92">
        <f>IF($B43="","",IF($I43="","",IFERROR(IF(INDEX('RECIPE INDEX'!$C$6:$C$105,MATCH($I43,'RECIPE INDEX'!$B$6:$B$105,0))="","",INDEX('RECIPE INDEX'!$C$6:$C$105,MATCH($I43,'RECIPE INDEX'!$B$6:$B$105,0))),"")))</f>
      </c>
      <c r="K43" s="79"/>
      <c r="L43" s="82"/>
      <c r="M43" s="79"/>
      <c r="N43" s="79"/>
      <c r="O43" s="79"/>
      <c r="P43" s="79"/>
      <c r="Q43" s="86"/>
      <c r="R43" s="86"/>
      <c r="S43" s="78">
        <f>IF($B43="","",IF(OR($O43="Served",$O43="Dropped"),"DONE",IF($L43="",IF($C43="","NO DATE",IF($C43&lt;TODAY(),"OVERDUE","SCHEDULED")),IF($L43&lt;TODAY(),"PREP OVERDUE",IF($L43-TODAY()&lt;=7,"PREP THIS WEEK","SCHEDULED")))))</f>
      </c>
      <c r="T43" s="80"/>
      <c r="U43" s="78">
        <f>IF($B43="",0,IF(COUNTIF('MEAL + BAKING PLAN'!$B$6:$B$155,$B43)&gt;1,1,0))</f>
      </c>
      <c r="V43" s="78">
        <f>IF(OR(N($Q43)&gt;0,N($R43)&gt;0),IF($P43="",1,IF(COUNTIF('MASTER BUDGET'!$D$6:$D$25,$P43)=0,1,0)),0)</f>
      </c>
      <c r="W43" s="78">
        <f>IF($I43="",0,IF(COUNTIF('RECIPE INDEX'!$B$6:$B$105,$I43)=0,1,0))</f>
      </c>
      <c r="X43" s="75"/>
    </row>
    <row r="44" ht="17" customHeight="1" spans="1:24" x14ac:dyDescent="0.25">
      <c r="A44" s="75"/>
      <c r="B44" s="79"/>
      <c r="C44" s="82"/>
      <c r="D44" s="79"/>
      <c r="E44" s="80"/>
      <c r="F44" s="79"/>
      <c r="G44" s="90"/>
      <c r="H44" s="79"/>
      <c r="I44" s="79"/>
      <c r="J44" s="92">
        <f>IF($B44="","",IF($I44="","",IFERROR(IF(INDEX('RECIPE INDEX'!$C$6:$C$105,MATCH($I44,'RECIPE INDEX'!$B$6:$B$105,0))="","",INDEX('RECIPE INDEX'!$C$6:$C$105,MATCH($I44,'RECIPE INDEX'!$B$6:$B$105,0))),"")))</f>
      </c>
      <c r="K44" s="79"/>
      <c r="L44" s="82"/>
      <c r="M44" s="79"/>
      <c r="N44" s="79"/>
      <c r="O44" s="79"/>
      <c r="P44" s="79"/>
      <c r="Q44" s="86"/>
      <c r="R44" s="86"/>
      <c r="S44" s="78">
        <f>IF($B44="","",IF(OR($O44="Served",$O44="Dropped"),"DONE",IF($L44="",IF($C44="","NO DATE",IF($C44&lt;TODAY(),"OVERDUE","SCHEDULED")),IF($L44&lt;TODAY(),"PREP OVERDUE",IF($L44-TODAY()&lt;=7,"PREP THIS WEEK","SCHEDULED")))))</f>
      </c>
      <c r="T44" s="80"/>
      <c r="U44" s="78">
        <f>IF($B44="",0,IF(COUNTIF('MEAL + BAKING PLAN'!$B$6:$B$155,$B44)&gt;1,1,0))</f>
      </c>
      <c r="V44" s="78">
        <f>IF(OR(N($Q44)&gt;0,N($R44)&gt;0),IF($P44="",1,IF(COUNTIF('MASTER BUDGET'!$D$6:$D$25,$P44)=0,1,0)),0)</f>
      </c>
      <c r="W44" s="78">
        <f>IF($I44="",0,IF(COUNTIF('RECIPE INDEX'!$B$6:$B$105,$I44)=0,1,0))</f>
      </c>
      <c r="X44" s="75"/>
    </row>
    <row r="45" ht="17" customHeight="1" spans="1:24" x14ac:dyDescent="0.25">
      <c r="A45" s="75"/>
      <c r="B45" s="79"/>
      <c r="C45" s="82"/>
      <c r="D45" s="79"/>
      <c r="E45" s="80"/>
      <c r="F45" s="79"/>
      <c r="G45" s="90"/>
      <c r="H45" s="79"/>
      <c r="I45" s="79"/>
      <c r="J45" s="92">
        <f>IF($B45="","",IF($I45="","",IFERROR(IF(INDEX('RECIPE INDEX'!$C$6:$C$105,MATCH($I45,'RECIPE INDEX'!$B$6:$B$105,0))="","",INDEX('RECIPE INDEX'!$C$6:$C$105,MATCH($I45,'RECIPE INDEX'!$B$6:$B$105,0))),"")))</f>
      </c>
      <c r="K45" s="79"/>
      <c r="L45" s="82"/>
      <c r="M45" s="79"/>
      <c r="N45" s="79"/>
      <c r="O45" s="79"/>
      <c r="P45" s="79"/>
      <c r="Q45" s="86"/>
      <c r="R45" s="86"/>
      <c r="S45" s="78">
        <f>IF($B45="","",IF(OR($O45="Served",$O45="Dropped"),"DONE",IF($L45="",IF($C45="","NO DATE",IF($C45&lt;TODAY(),"OVERDUE","SCHEDULED")),IF($L45&lt;TODAY(),"PREP OVERDUE",IF($L45-TODAY()&lt;=7,"PREP THIS WEEK","SCHEDULED")))))</f>
      </c>
      <c r="T45" s="80"/>
      <c r="U45" s="78">
        <f>IF($B45="",0,IF(COUNTIF('MEAL + BAKING PLAN'!$B$6:$B$155,$B45)&gt;1,1,0))</f>
      </c>
      <c r="V45" s="78">
        <f>IF(OR(N($Q45)&gt;0,N($R45)&gt;0),IF($P45="",1,IF(COUNTIF('MASTER BUDGET'!$D$6:$D$25,$P45)=0,1,0)),0)</f>
      </c>
      <c r="W45" s="78">
        <f>IF($I45="",0,IF(COUNTIF('RECIPE INDEX'!$B$6:$B$105,$I45)=0,1,0))</f>
      </c>
      <c r="X45" s="75"/>
    </row>
    <row r="46" ht="17" customHeight="1" spans="1:24" x14ac:dyDescent="0.25">
      <c r="A46" s="75"/>
      <c r="B46" s="79"/>
      <c r="C46" s="82"/>
      <c r="D46" s="79"/>
      <c r="E46" s="80"/>
      <c r="F46" s="79"/>
      <c r="G46" s="90"/>
      <c r="H46" s="79"/>
      <c r="I46" s="79"/>
      <c r="J46" s="92">
        <f>IF($B46="","",IF($I46="","",IFERROR(IF(INDEX('RECIPE INDEX'!$C$6:$C$105,MATCH($I46,'RECIPE INDEX'!$B$6:$B$105,0))="","",INDEX('RECIPE INDEX'!$C$6:$C$105,MATCH($I46,'RECIPE INDEX'!$B$6:$B$105,0))),"")))</f>
      </c>
      <c r="K46" s="79"/>
      <c r="L46" s="82"/>
      <c r="M46" s="79"/>
      <c r="N46" s="79"/>
      <c r="O46" s="79"/>
      <c r="P46" s="79"/>
      <c r="Q46" s="86"/>
      <c r="R46" s="86"/>
      <c r="S46" s="78">
        <f>IF($B46="","",IF(OR($O46="Served",$O46="Dropped"),"DONE",IF($L46="",IF($C46="","NO DATE",IF($C46&lt;TODAY(),"OVERDUE","SCHEDULED")),IF($L46&lt;TODAY(),"PREP OVERDUE",IF($L46-TODAY()&lt;=7,"PREP THIS WEEK","SCHEDULED")))))</f>
      </c>
      <c r="T46" s="80"/>
      <c r="U46" s="78">
        <f>IF($B46="",0,IF(COUNTIF('MEAL + BAKING PLAN'!$B$6:$B$155,$B46)&gt;1,1,0))</f>
      </c>
      <c r="V46" s="78">
        <f>IF(OR(N($Q46)&gt;0,N($R46)&gt;0),IF($P46="",1,IF(COUNTIF('MASTER BUDGET'!$D$6:$D$25,$P46)=0,1,0)),0)</f>
      </c>
      <c r="W46" s="78">
        <f>IF($I46="",0,IF(COUNTIF('RECIPE INDEX'!$B$6:$B$105,$I46)=0,1,0))</f>
      </c>
      <c r="X46" s="75"/>
    </row>
    <row r="47" ht="17" customHeight="1" spans="1:24" x14ac:dyDescent="0.25">
      <c r="A47" s="75"/>
      <c r="B47" s="79"/>
      <c r="C47" s="82"/>
      <c r="D47" s="79"/>
      <c r="E47" s="80"/>
      <c r="F47" s="79"/>
      <c r="G47" s="90"/>
      <c r="H47" s="79"/>
      <c r="I47" s="79"/>
      <c r="J47" s="92">
        <f>IF($B47="","",IF($I47="","",IFERROR(IF(INDEX('RECIPE INDEX'!$C$6:$C$105,MATCH($I47,'RECIPE INDEX'!$B$6:$B$105,0))="","",INDEX('RECIPE INDEX'!$C$6:$C$105,MATCH($I47,'RECIPE INDEX'!$B$6:$B$105,0))),"")))</f>
      </c>
      <c r="K47" s="79"/>
      <c r="L47" s="82"/>
      <c r="M47" s="79"/>
      <c r="N47" s="79"/>
      <c r="O47" s="79"/>
      <c r="P47" s="79"/>
      <c r="Q47" s="86"/>
      <c r="R47" s="86"/>
      <c r="S47" s="78">
        <f>IF($B47="","",IF(OR($O47="Served",$O47="Dropped"),"DONE",IF($L47="",IF($C47="","NO DATE",IF($C47&lt;TODAY(),"OVERDUE","SCHEDULED")),IF($L47&lt;TODAY(),"PREP OVERDUE",IF($L47-TODAY()&lt;=7,"PREP THIS WEEK","SCHEDULED")))))</f>
      </c>
      <c r="T47" s="80"/>
      <c r="U47" s="78">
        <f>IF($B47="",0,IF(COUNTIF('MEAL + BAKING PLAN'!$B$6:$B$155,$B47)&gt;1,1,0))</f>
      </c>
      <c r="V47" s="78">
        <f>IF(OR(N($Q47)&gt;0,N($R47)&gt;0),IF($P47="",1,IF(COUNTIF('MASTER BUDGET'!$D$6:$D$25,$P47)=0,1,0)),0)</f>
      </c>
      <c r="W47" s="78">
        <f>IF($I47="",0,IF(COUNTIF('RECIPE INDEX'!$B$6:$B$105,$I47)=0,1,0))</f>
      </c>
      <c r="X47" s="75"/>
    </row>
    <row r="48" ht="17" customHeight="1" spans="1:24" x14ac:dyDescent="0.25">
      <c r="A48" s="75"/>
      <c r="B48" s="79"/>
      <c r="C48" s="82"/>
      <c r="D48" s="79"/>
      <c r="E48" s="80"/>
      <c r="F48" s="79"/>
      <c r="G48" s="90"/>
      <c r="H48" s="79"/>
      <c r="I48" s="79"/>
      <c r="J48" s="92">
        <f>IF($B48="","",IF($I48="","",IFERROR(IF(INDEX('RECIPE INDEX'!$C$6:$C$105,MATCH($I48,'RECIPE INDEX'!$B$6:$B$105,0))="","",INDEX('RECIPE INDEX'!$C$6:$C$105,MATCH($I48,'RECIPE INDEX'!$B$6:$B$105,0))),"")))</f>
      </c>
      <c r="K48" s="79"/>
      <c r="L48" s="82"/>
      <c r="M48" s="79"/>
      <c r="N48" s="79"/>
      <c r="O48" s="79"/>
      <c r="P48" s="79"/>
      <c r="Q48" s="86"/>
      <c r="R48" s="86"/>
      <c r="S48" s="78">
        <f>IF($B48="","",IF(OR($O48="Served",$O48="Dropped"),"DONE",IF($L48="",IF($C48="","NO DATE",IF($C48&lt;TODAY(),"OVERDUE","SCHEDULED")),IF($L48&lt;TODAY(),"PREP OVERDUE",IF($L48-TODAY()&lt;=7,"PREP THIS WEEK","SCHEDULED")))))</f>
      </c>
      <c r="T48" s="80"/>
      <c r="U48" s="78">
        <f>IF($B48="",0,IF(COUNTIF('MEAL + BAKING PLAN'!$B$6:$B$155,$B48)&gt;1,1,0))</f>
      </c>
      <c r="V48" s="78">
        <f>IF(OR(N($Q48)&gt;0,N($R48)&gt;0),IF($P48="",1,IF(COUNTIF('MASTER BUDGET'!$D$6:$D$25,$P48)=0,1,0)),0)</f>
      </c>
      <c r="W48" s="78">
        <f>IF($I48="",0,IF(COUNTIF('RECIPE INDEX'!$B$6:$B$105,$I48)=0,1,0))</f>
      </c>
      <c r="X48" s="75"/>
    </row>
    <row r="49" ht="17" customHeight="1" spans="1:24" x14ac:dyDescent="0.25">
      <c r="A49" s="75"/>
      <c r="B49" s="79"/>
      <c r="C49" s="82"/>
      <c r="D49" s="79"/>
      <c r="E49" s="80"/>
      <c r="F49" s="79"/>
      <c r="G49" s="90"/>
      <c r="H49" s="79"/>
      <c r="I49" s="79"/>
      <c r="J49" s="92">
        <f>IF($B49="","",IF($I49="","",IFERROR(IF(INDEX('RECIPE INDEX'!$C$6:$C$105,MATCH($I49,'RECIPE INDEX'!$B$6:$B$105,0))="","",INDEX('RECIPE INDEX'!$C$6:$C$105,MATCH($I49,'RECIPE INDEX'!$B$6:$B$105,0))),"")))</f>
      </c>
      <c r="K49" s="79"/>
      <c r="L49" s="82"/>
      <c r="M49" s="79"/>
      <c r="N49" s="79"/>
      <c r="O49" s="79"/>
      <c r="P49" s="79"/>
      <c r="Q49" s="86"/>
      <c r="R49" s="86"/>
      <c r="S49" s="78">
        <f>IF($B49="","",IF(OR($O49="Served",$O49="Dropped"),"DONE",IF($L49="",IF($C49="","NO DATE",IF($C49&lt;TODAY(),"OVERDUE","SCHEDULED")),IF($L49&lt;TODAY(),"PREP OVERDUE",IF($L49-TODAY()&lt;=7,"PREP THIS WEEK","SCHEDULED")))))</f>
      </c>
      <c r="T49" s="80"/>
      <c r="U49" s="78">
        <f>IF($B49="",0,IF(COUNTIF('MEAL + BAKING PLAN'!$B$6:$B$155,$B49)&gt;1,1,0))</f>
      </c>
      <c r="V49" s="78">
        <f>IF(OR(N($Q49)&gt;0,N($R49)&gt;0),IF($P49="",1,IF(COUNTIF('MASTER BUDGET'!$D$6:$D$25,$P49)=0,1,0)),0)</f>
      </c>
      <c r="W49" s="78">
        <f>IF($I49="",0,IF(COUNTIF('RECIPE INDEX'!$B$6:$B$105,$I49)=0,1,0))</f>
      </c>
      <c r="X49" s="75"/>
    </row>
    <row r="50" ht="17" customHeight="1" spans="1:24" x14ac:dyDescent="0.25">
      <c r="A50" s="75"/>
      <c r="B50" s="79"/>
      <c r="C50" s="82"/>
      <c r="D50" s="79"/>
      <c r="E50" s="80"/>
      <c r="F50" s="79"/>
      <c r="G50" s="90"/>
      <c r="H50" s="79"/>
      <c r="I50" s="79"/>
      <c r="J50" s="92">
        <f>IF($B50="","",IF($I50="","",IFERROR(IF(INDEX('RECIPE INDEX'!$C$6:$C$105,MATCH($I50,'RECIPE INDEX'!$B$6:$B$105,0))="","",INDEX('RECIPE INDEX'!$C$6:$C$105,MATCH($I50,'RECIPE INDEX'!$B$6:$B$105,0))),"")))</f>
      </c>
      <c r="K50" s="79"/>
      <c r="L50" s="82"/>
      <c r="M50" s="79"/>
      <c r="N50" s="79"/>
      <c r="O50" s="79"/>
      <c r="P50" s="79"/>
      <c r="Q50" s="86"/>
      <c r="R50" s="86"/>
      <c r="S50" s="78">
        <f>IF($B50="","",IF(OR($O50="Served",$O50="Dropped"),"DONE",IF($L50="",IF($C50="","NO DATE",IF($C50&lt;TODAY(),"OVERDUE","SCHEDULED")),IF($L50&lt;TODAY(),"PREP OVERDUE",IF($L50-TODAY()&lt;=7,"PREP THIS WEEK","SCHEDULED")))))</f>
      </c>
      <c r="T50" s="80"/>
      <c r="U50" s="78">
        <f>IF($B50="",0,IF(COUNTIF('MEAL + BAKING PLAN'!$B$6:$B$155,$B50)&gt;1,1,0))</f>
      </c>
      <c r="V50" s="78">
        <f>IF(OR(N($Q50)&gt;0,N($R50)&gt;0),IF($P50="",1,IF(COUNTIF('MASTER BUDGET'!$D$6:$D$25,$P50)=0,1,0)),0)</f>
      </c>
      <c r="W50" s="78">
        <f>IF($I50="",0,IF(COUNTIF('RECIPE INDEX'!$B$6:$B$105,$I50)=0,1,0))</f>
      </c>
      <c r="X50" s="75"/>
    </row>
    <row r="51" ht="17" customHeight="1" spans="1:24" x14ac:dyDescent="0.25">
      <c r="A51" s="75"/>
      <c r="B51" s="79"/>
      <c r="C51" s="82"/>
      <c r="D51" s="79"/>
      <c r="E51" s="80"/>
      <c r="F51" s="79"/>
      <c r="G51" s="90"/>
      <c r="H51" s="79"/>
      <c r="I51" s="79"/>
      <c r="J51" s="92">
        <f>IF($B51="","",IF($I51="","",IFERROR(IF(INDEX('RECIPE INDEX'!$C$6:$C$105,MATCH($I51,'RECIPE INDEX'!$B$6:$B$105,0))="","",INDEX('RECIPE INDEX'!$C$6:$C$105,MATCH($I51,'RECIPE INDEX'!$B$6:$B$105,0))),"")))</f>
      </c>
      <c r="K51" s="79"/>
      <c r="L51" s="82"/>
      <c r="M51" s="79"/>
      <c r="N51" s="79"/>
      <c r="O51" s="79"/>
      <c r="P51" s="79"/>
      <c r="Q51" s="86"/>
      <c r="R51" s="86"/>
      <c r="S51" s="78">
        <f>IF($B51="","",IF(OR($O51="Served",$O51="Dropped"),"DONE",IF($L51="",IF($C51="","NO DATE",IF($C51&lt;TODAY(),"OVERDUE","SCHEDULED")),IF($L51&lt;TODAY(),"PREP OVERDUE",IF($L51-TODAY()&lt;=7,"PREP THIS WEEK","SCHEDULED")))))</f>
      </c>
      <c r="T51" s="80"/>
      <c r="U51" s="78">
        <f>IF($B51="",0,IF(COUNTIF('MEAL + BAKING PLAN'!$B$6:$B$155,$B51)&gt;1,1,0))</f>
      </c>
      <c r="V51" s="78">
        <f>IF(OR(N($Q51)&gt;0,N($R51)&gt;0),IF($P51="",1,IF(COUNTIF('MASTER BUDGET'!$D$6:$D$25,$P51)=0,1,0)),0)</f>
      </c>
      <c r="W51" s="78">
        <f>IF($I51="",0,IF(COUNTIF('RECIPE INDEX'!$B$6:$B$105,$I51)=0,1,0))</f>
      </c>
      <c r="X51" s="75"/>
    </row>
    <row r="52" ht="17" customHeight="1" spans="1:24" x14ac:dyDescent="0.25">
      <c r="A52" s="75"/>
      <c r="B52" s="79"/>
      <c r="C52" s="82"/>
      <c r="D52" s="79"/>
      <c r="E52" s="80"/>
      <c r="F52" s="79"/>
      <c r="G52" s="90"/>
      <c r="H52" s="79"/>
      <c r="I52" s="79"/>
      <c r="J52" s="92">
        <f>IF($B52="","",IF($I52="","",IFERROR(IF(INDEX('RECIPE INDEX'!$C$6:$C$105,MATCH($I52,'RECIPE INDEX'!$B$6:$B$105,0))="","",INDEX('RECIPE INDEX'!$C$6:$C$105,MATCH($I52,'RECIPE INDEX'!$B$6:$B$105,0))),"")))</f>
      </c>
      <c r="K52" s="79"/>
      <c r="L52" s="82"/>
      <c r="M52" s="79"/>
      <c r="N52" s="79"/>
      <c r="O52" s="79"/>
      <c r="P52" s="79"/>
      <c r="Q52" s="86"/>
      <c r="R52" s="86"/>
      <c r="S52" s="78">
        <f>IF($B52="","",IF(OR($O52="Served",$O52="Dropped"),"DONE",IF($L52="",IF($C52="","NO DATE",IF($C52&lt;TODAY(),"OVERDUE","SCHEDULED")),IF($L52&lt;TODAY(),"PREP OVERDUE",IF($L52-TODAY()&lt;=7,"PREP THIS WEEK","SCHEDULED")))))</f>
      </c>
      <c r="T52" s="80"/>
      <c r="U52" s="78">
        <f>IF($B52="",0,IF(COUNTIF('MEAL + BAKING PLAN'!$B$6:$B$155,$B52)&gt;1,1,0))</f>
      </c>
      <c r="V52" s="78">
        <f>IF(OR(N($Q52)&gt;0,N($R52)&gt;0),IF($P52="",1,IF(COUNTIF('MASTER BUDGET'!$D$6:$D$25,$P52)=0,1,0)),0)</f>
      </c>
      <c r="W52" s="78">
        <f>IF($I52="",0,IF(COUNTIF('RECIPE INDEX'!$B$6:$B$105,$I52)=0,1,0))</f>
      </c>
      <c r="X52" s="75"/>
    </row>
    <row r="53" ht="17" customHeight="1" spans="1:24" x14ac:dyDescent="0.25">
      <c r="A53" s="75"/>
      <c r="B53" s="79"/>
      <c r="C53" s="82"/>
      <c r="D53" s="79"/>
      <c r="E53" s="80"/>
      <c r="F53" s="79"/>
      <c r="G53" s="90"/>
      <c r="H53" s="79"/>
      <c r="I53" s="79"/>
      <c r="J53" s="92">
        <f>IF($B53="","",IF($I53="","",IFERROR(IF(INDEX('RECIPE INDEX'!$C$6:$C$105,MATCH($I53,'RECIPE INDEX'!$B$6:$B$105,0))="","",INDEX('RECIPE INDEX'!$C$6:$C$105,MATCH($I53,'RECIPE INDEX'!$B$6:$B$105,0))),"")))</f>
      </c>
      <c r="K53" s="79"/>
      <c r="L53" s="82"/>
      <c r="M53" s="79"/>
      <c r="N53" s="79"/>
      <c r="O53" s="79"/>
      <c r="P53" s="79"/>
      <c r="Q53" s="86"/>
      <c r="R53" s="86"/>
      <c r="S53" s="78">
        <f>IF($B53="","",IF(OR($O53="Served",$O53="Dropped"),"DONE",IF($L53="",IF($C53="","NO DATE",IF($C53&lt;TODAY(),"OVERDUE","SCHEDULED")),IF($L53&lt;TODAY(),"PREP OVERDUE",IF($L53-TODAY()&lt;=7,"PREP THIS WEEK","SCHEDULED")))))</f>
      </c>
      <c r="T53" s="80"/>
      <c r="U53" s="78">
        <f>IF($B53="",0,IF(COUNTIF('MEAL + BAKING PLAN'!$B$6:$B$155,$B53)&gt;1,1,0))</f>
      </c>
      <c r="V53" s="78">
        <f>IF(OR(N($Q53)&gt;0,N($R53)&gt;0),IF($P53="",1,IF(COUNTIF('MASTER BUDGET'!$D$6:$D$25,$P53)=0,1,0)),0)</f>
      </c>
      <c r="W53" s="78">
        <f>IF($I53="",0,IF(COUNTIF('RECIPE INDEX'!$B$6:$B$105,$I53)=0,1,0))</f>
      </c>
      <c r="X53" s="75"/>
    </row>
    <row r="54" ht="17" customHeight="1" spans="1:24" x14ac:dyDescent="0.25">
      <c r="A54" s="75"/>
      <c r="B54" s="79"/>
      <c r="C54" s="82"/>
      <c r="D54" s="79"/>
      <c r="E54" s="80"/>
      <c r="F54" s="79"/>
      <c r="G54" s="90"/>
      <c r="H54" s="79"/>
      <c r="I54" s="79"/>
      <c r="J54" s="92">
        <f>IF($B54="","",IF($I54="","",IFERROR(IF(INDEX('RECIPE INDEX'!$C$6:$C$105,MATCH($I54,'RECIPE INDEX'!$B$6:$B$105,0))="","",INDEX('RECIPE INDEX'!$C$6:$C$105,MATCH($I54,'RECIPE INDEX'!$B$6:$B$105,0))),"")))</f>
      </c>
      <c r="K54" s="79"/>
      <c r="L54" s="82"/>
      <c r="M54" s="79"/>
      <c r="N54" s="79"/>
      <c r="O54" s="79"/>
      <c r="P54" s="79"/>
      <c r="Q54" s="86"/>
      <c r="R54" s="86"/>
      <c r="S54" s="78">
        <f>IF($B54="","",IF(OR($O54="Served",$O54="Dropped"),"DONE",IF($L54="",IF($C54="","NO DATE",IF($C54&lt;TODAY(),"OVERDUE","SCHEDULED")),IF($L54&lt;TODAY(),"PREP OVERDUE",IF($L54-TODAY()&lt;=7,"PREP THIS WEEK","SCHEDULED")))))</f>
      </c>
      <c r="T54" s="80"/>
      <c r="U54" s="78">
        <f>IF($B54="",0,IF(COUNTIF('MEAL + BAKING PLAN'!$B$6:$B$155,$B54)&gt;1,1,0))</f>
      </c>
      <c r="V54" s="78">
        <f>IF(OR(N($Q54)&gt;0,N($R54)&gt;0),IF($P54="",1,IF(COUNTIF('MASTER BUDGET'!$D$6:$D$25,$P54)=0,1,0)),0)</f>
      </c>
      <c r="W54" s="78">
        <f>IF($I54="",0,IF(COUNTIF('RECIPE INDEX'!$B$6:$B$105,$I54)=0,1,0))</f>
      </c>
      <c r="X54" s="75"/>
    </row>
    <row r="55" ht="17" customHeight="1" spans="1:24" x14ac:dyDescent="0.25">
      <c r="A55" s="75"/>
      <c r="B55" s="79"/>
      <c r="C55" s="82"/>
      <c r="D55" s="79"/>
      <c r="E55" s="80"/>
      <c r="F55" s="79"/>
      <c r="G55" s="90"/>
      <c r="H55" s="79"/>
      <c r="I55" s="79"/>
      <c r="J55" s="92">
        <f>IF($B55="","",IF($I55="","",IFERROR(IF(INDEX('RECIPE INDEX'!$C$6:$C$105,MATCH($I55,'RECIPE INDEX'!$B$6:$B$105,0))="","",INDEX('RECIPE INDEX'!$C$6:$C$105,MATCH($I55,'RECIPE INDEX'!$B$6:$B$105,0))),"")))</f>
      </c>
      <c r="K55" s="79"/>
      <c r="L55" s="82"/>
      <c r="M55" s="79"/>
      <c r="N55" s="79"/>
      <c r="O55" s="79"/>
      <c r="P55" s="79"/>
      <c r="Q55" s="86"/>
      <c r="R55" s="86"/>
      <c r="S55" s="78">
        <f>IF($B55="","",IF(OR($O55="Served",$O55="Dropped"),"DONE",IF($L55="",IF($C55="","NO DATE",IF($C55&lt;TODAY(),"OVERDUE","SCHEDULED")),IF($L55&lt;TODAY(),"PREP OVERDUE",IF($L55-TODAY()&lt;=7,"PREP THIS WEEK","SCHEDULED")))))</f>
      </c>
      <c r="T55" s="80"/>
      <c r="U55" s="78">
        <f>IF($B55="",0,IF(COUNTIF('MEAL + BAKING PLAN'!$B$6:$B$155,$B55)&gt;1,1,0))</f>
      </c>
      <c r="V55" s="78">
        <f>IF(OR(N($Q55)&gt;0,N($R55)&gt;0),IF($P55="",1,IF(COUNTIF('MASTER BUDGET'!$D$6:$D$25,$P55)=0,1,0)),0)</f>
      </c>
      <c r="W55" s="78">
        <f>IF($I55="",0,IF(COUNTIF('RECIPE INDEX'!$B$6:$B$105,$I55)=0,1,0))</f>
      </c>
      <c r="X55" s="75"/>
    </row>
    <row r="56" ht="17" customHeight="1" spans="1:24" x14ac:dyDescent="0.25">
      <c r="A56" s="75"/>
      <c r="B56" s="79"/>
      <c r="C56" s="82"/>
      <c r="D56" s="79"/>
      <c r="E56" s="80"/>
      <c r="F56" s="79"/>
      <c r="G56" s="90"/>
      <c r="H56" s="79"/>
      <c r="I56" s="79"/>
      <c r="J56" s="92">
        <f>IF($B56="","",IF($I56="","",IFERROR(IF(INDEX('RECIPE INDEX'!$C$6:$C$105,MATCH($I56,'RECIPE INDEX'!$B$6:$B$105,0))="","",INDEX('RECIPE INDEX'!$C$6:$C$105,MATCH($I56,'RECIPE INDEX'!$B$6:$B$105,0))),"")))</f>
      </c>
      <c r="K56" s="79"/>
      <c r="L56" s="82"/>
      <c r="M56" s="79"/>
      <c r="N56" s="79"/>
      <c r="O56" s="79"/>
      <c r="P56" s="79"/>
      <c r="Q56" s="86"/>
      <c r="R56" s="86"/>
      <c r="S56" s="78">
        <f>IF($B56="","",IF(OR($O56="Served",$O56="Dropped"),"DONE",IF($L56="",IF($C56="","NO DATE",IF($C56&lt;TODAY(),"OVERDUE","SCHEDULED")),IF($L56&lt;TODAY(),"PREP OVERDUE",IF($L56-TODAY()&lt;=7,"PREP THIS WEEK","SCHEDULED")))))</f>
      </c>
      <c r="T56" s="80"/>
      <c r="U56" s="78">
        <f>IF($B56="",0,IF(COUNTIF('MEAL + BAKING PLAN'!$B$6:$B$155,$B56)&gt;1,1,0))</f>
      </c>
      <c r="V56" s="78">
        <f>IF(OR(N($Q56)&gt;0,N($R56)&gt;0),IF($P56="",1,IF(COUNTIF('MASTER BUDGET'!$D$6:$D$25,$P56)=0,1,0)),0)</f>
      </c>
      <c r="W56" s="78">
        <f>IF($I56="",0,IF(COUNTIF('RECIPE INDEX'!$B$6:$B$105,$I56)=0,1,0))</f>
      </c>
      <c r="X56" s="75"/>
    </row>
    <row r="57" ht="17" customHeight="1" spans="1:24" x14ac:dyDescent="0.25">
      <c r="A57" s="75"/>
      <c r="B57" s="79"/>
      <c r="C57" s="82"/>
      <c r="D57" s="79"/>
      <c r="E57" s="80"/>
      <c r="F57" s="79"/>
      <c r="G57" s="90"/>
      <c r="H57" s="79"/>
      <c r="I57" s="79"/>
      <c r="J57" s="92">
        <f>IF($B57="","",IF($I57="","",IFERROR(IF(INDEX('RECIPE INDEX'!$C$6:$C$105,MATCH($I57,'RECIPE INDEX'!$B$6:$B$105,0))="","",INDEX('RECIPE INDEX'!$C$6:$C$105,MATCH($I57,'RECIPE INDEX'!$B$6:$B$105,0))),"")))</f>
      </c>
      <c r="K57" s="79"/>
      <c r="L57" s="82"/>
      <c r="M57" s="79"/>
      <c r="N57" s="79"/>
      <c r="O57" s="79"/>
      <c r="P57" s="79"/>
      <c r="Q57" s="86"/>
      <c r="R57" s="86"/>
      <c r="S57" s="78">
        <f>IF($B57="","",IF(OR($O57="Served",$O57="Dropped"),"DONE",IF($L57="",IF($C57="","NO DATE",IF($C57&lt;TODAY(),"OVERDUE","SCHEDULED")),IF($L57&lt;TODAY(),"PREP OVERDUE",IF($L57-TODAY()&lt;=7,"PREP THIS WEEK","SCHEDULED")))))</f>
      </c>
      <c r="T57" s="80"/>
      <c r="U57" s="78">
        <f>IF($B57="",0,IF(COUNTIF('MEAL + BAKING PLAN'!$B$6:$B$155,$B57)&gt;1,1,0))</f>
      </c>
      <c r="V57" s="78">
        <f>IF(OR(N($Q57)&gt;0,N($R57)&gt;0),IF($P57="",1,IF(COUNTIF('MASTER BUDGET'!$D$6:$D$25,$P57)=0,1,0)),0)</f>
      </c>
      <c r="W57" s="78">
        <f>IF($I57="",0,IF(COUNTIF('RECIPE INDEX'!$B$6:$B$105,$I57)=0,1,0))</f>
      </c>
      <c r="X57" s="75"/>
    </row>
    <row r="58" ht="17" customHeight="1" spans="1:24" x14ac:dyDescent="0.25">
      <c r="A58" s="75"/>
      <c r="B58" s="79"/>
      <c r="C58" s="82"/>
      <c r="D58" s="79"/>
      <c r="E58" s="80"/>
      <c r="F58" s="79"/>
      <c r="G58" s="90"/>
      <c r="H58" s="79"/>
      <c r="I58" s="79"/>
      <c r="J58" s="92">
        <f>IF($B58="","",IF($I58="","",IFERROR(IF(INDEX('RECIPE INDEX'!$C$6:$C$105,MATCH($I58,'RECIPE INDEX'!$B$6:$B$105,0))="","",INDEX('RECIPE INDEX'!$C$6:$C$105,MATCH($I58,'RECIPE INDEX'!$B$6:$B$105,0))),"")))</f>
      </c>
      <c r="K58" s="79"/>
      <c r="L58" s="82"/>
      <c r="M58" s="79"/>
      <c r="N58" s="79"/>
      <c r="O58" s="79"/>
      <c r="P58" s="79"/>
      <c r="Q58" s="86"/>
      <c r="R58" s="86"/>
      <c r="S58" s="78">
        <f>IF($B58="","",IF(OR($O58="Served",$O58="Dropped"),"DONE",IF($L58="",IF($C58="","NO DATE",IF($C58&lt;TODAY(),"OVERDUE","SCHEDULED")),IF($L58&lt;TODAY(),"PREP OVERDUE",IF($L58-TODAY()&lt;=7,"PREP THIS WEEK","SCHEDULED")))))</f>
      </c>
      <c r="T58" s="80"/>
      <c r="U58" s="78">
        <f>IF($B58="",0,IF(COUNTIF('MEAL + BAKING PLAN'!$B$6:$B$155,$B58)&gt;1,1,0))</f>
      </c>
      <c r="V58" s="78">
        <f>IF(OR(N($Q58)&gt;0,N($R58)&gt;0),IF($P58="",1,IF(COUNTIF('MASTER BUDGET'!$D$6:$D$25,$P58)=0,1,0)),0)</f>
      </c>
      <c r="W58" s="78">
        <f>IF($I58="",0,IF(COUNTIF('RECIPE INDEX'!$B$6:$B$105,$I58)=0,1,0))</f>
      </c>
      <c r="X58" s="75"/>
    </row>
    <row r="59" ht="17" customHeight="1" spans="1:24" x14ac:dyDescent="0.25">
      <c r="A59" s="75"/>
      <c r="B59" s="79"/>
      <c r="C59" s="82"/>
      <c r="D59" s="79"/>
      <c r="E59" s="80"/>
      <c r="F59" s="79"/>
      <c r="G59" s="90"/>
      <c r="H59" s="79"/>
      <c r="I59" s="79"/>
      <c r="J59" s="92">
        <f>IF($B59="","",IF($I59="","",IFERROR(IF(INDEX('RECIPE INDEX'!$C$6:$C$105,MATCH($I59,'RECIPE INDEX'!$B$6:$B$105,0))="","",INDEX('RECIPE INDEX'!$C$6:$C$105,MATCH($I59,'RECIPE INDEX'!$B$6:$B$105,0))),"")))</f>
      </c>
      <c r="K59" s="79"/>
      <c r="L59" s="82"/>
      <c r="M59" s="79"/>
      <c r="N59" s="79"/>
      <c r="O59" s="79"/>
      <c r="P59" s="79"/>
      <c r="Q59" s="86"/>
      <c r="R59" s="86"/>
      <c r="S59" s="78">
        <f>IF($B59="","",IF(OR($O59="Served",$O59="Dropped"),"DONE",IF($L59="",IF($C59="","NO DATE",IF($C59&lt;TODAY(),"OVERDUE","SCHEDULED")),IF($L59&lt;TODAY(),"PREP OVERDUE",IF($L59-TODAY()&lt;=7,"PREP THIS WEEK","SCHEDULED")))))</f>
      </c>
      <c r="T59" s="80"/>
      <c r="U59" s="78">
        <f>IF($B59="",0,IF(COUNTIF('MEAL + BAKING PLAN'!$B$6:$B$155,$B59)&gt;1,1,0))</f>
      </c>
      <c r="V59" s="78">
        <f>IF(OR(N($Q59)&gt;0,N($R59)&gt;0),IF($P59="",1,IF(COUNTIF('MASTER BUDGET'!$D$6:$D$25,$P59)=0,1,0)),0)</f>
      </c>
      <c r="W59" s="78">
        <f>IF($I59="",0,IF(COUNTIF('RECIPE INDEX'!$B$6:$B$105,$I59)=0,1,0))</f>
      </c>
      <c r="X59" s="75"/>
    </row>
    <row r="60" ht="17" customHeight="1" spans="1:24" x14ac:dyDescent="0.25">
      <c r="A60" s="75"/>
      <c r="B60" s="79"/>
      <c r="C60" s="82"/>
      <c r="D60" s="79"/>
      <c r="E60" s="80"/>
      <c r="F60" s="79"/>
      <c r="G60" s="90"/>
      <c r="H60" s="79"/>
      <c r="I60" s="79"/>
      <c r="J60" s="92">
        <f>IF($B60="","",IF($I60="","",IFERROR(IF(INDEX('RECIPE INDEX'!$C$6:$C$105,MATCH($I60,'RECIPE INDEX'!$B$6:$B$105,0))="","",INDEX('RECIPE INDEX'!$C$6:$C$105,MATCH($I60,'RECIPE INDEX'!$B$6:$B$105,0))),"")))</f>
      </c>
      <c r="K60" s="79"/>
      <c r="L60" s="82"/>
      <c r="M60" s="79"/>
      <c r="N60" s="79"/>
      <c r="O60" s="79"/>
      <c r="P60" s="79"/>
      <c r="Q60" s="86"/>
      <c r="R60" s="86"/>
      <c r="S60" s="78">
        <f>IF($B60="","",IF(OR($O60="Served",$O60="Dropped"),"DONE",IF($L60="",IF($C60="","NO DATE",IF($C60&lt;TODAY(),"OVERDUE","SCHEDULED")),IF($L60&lt;TODAY(),"PREP OVERDUE",IF($L60-TODAY()&lt;=7,"PREP THIS WEEK","SCHEDULED")))))</f>
      </c>
      <c r="T60" s="80"/>
      <c r="U60" s="78">
        <f>IF($B60="",0,IF(COUNTIF('MEAL + BAKING PLAN'!$B$6:$B$155,$B60)&gt;1,1,0))</f>
      </c>
      <c r="V60" s="78">
        <f>IF(OR(N($Q60)&gt;0,N($R60)&gt;0),IF($P60="",1,IF(COUNTIF('MASTER BUDGET'!$D$6:$D$25,$P60)=0,1,0)),0)</f>
      </c>
      <c r="W60" s="78">
        <f>IF($I60="",0,IF(COUNTIF('RECIPE INDEX'!$B$6:$B$105,$I60)=0,1,0))</f>
      </c>
      <c r="X60" s="75"/>
    </row>
    <row r="61" ht="17" customHeight="1" spans="1:24" x14ac:dyDescent="0.25">
      <c r="A61" s="75"/>
      <c r="B61" s="79"/>
      <c r="C61" s="82"/>
      <c r="D61" s="79"/>
      <c r="E61" s="80"/>
      <c r="F61" s="79"/>
      <c r="G61" s="90"/>
      <c r="H61" s="79"/>
      <c r="I61" s="79"/>
      <c r="J61" s="92">
        <f>IF($B61="","",IF($I61="","",IFERROR(IF(INDEX('RECIPE INDEX'!$C$6:$C$105,MATCH($I61,'RECIPE INDEX'!$B$6:$B$105,0))="","",INDEX('RECIPE INDEX'!$C$6:$C$105,MATCH($I61,'RECIPE INDEX'!$B$6:$B$105,0))),"")))</f>
      </c>
      <c r="K61" s="79"/>
      <c r="L61" s="82"/>
      <c r="M61" s="79"/>
      <c r="N61" s="79"/>
      <c r="O61" s="79"/>
      <c r="P61" s="79"/>
      <c r="Q61" s="86"/>
      <c r="R61" s="86"/>
      <c r="S61" s="78">
        <f>IF($B61="","",IF(OR($O61="Served",$O61="Dropped"),"DONE",IF($L61="",IF($C61="","NO DATE",IF($C61&lt;TODAY(),"OVERDUE","SCHEDULED")),IF($L61&lt;TODAY(),"PREP OVERDUE",IF($L61-TODAY()&lt;=7,"PREP THIS WEEK","SCHEDULED")))))</f>
      </c>
      <c r="T61" s="80"/>
      <c r="U61" s="78">
        <f>IF($B61="",0,IF(COUNTIF('MEAL + BAKING PLAN'!$B$6:$B$155,$B61)&gt;1,1,0))</f>
      </c>
      <c r="V61" s="78">
        <f>IF(OR(N($Q61)&gt;0,N($R61)&gt;0),IF($P61="",1,IF(COUNTIF('MASTER BUDGET'!$D$6:$D$25,$P61)=0,1,0)),0)</f>
      </c>
      <c r="W61" s="78">
        <f>IF($I61="",0,IF(COUNTIF('RECIPE INDEX'!$B$6:$B$105,$I61)=0,1,0))</f>
      </c>
      <c r="X61" s="75"/>
    </row>
    <row r="62" ht="17" customHeight="1" spans="1:24" x14ac:dyDescent="0.25">
      <c r="A62" s="75"/>
      <c r="B62" s="79"/>
      <c r="C62" s="82"/>
      <c r="D62" s="79"/>
      <c r="E62" s="80"/>
      <c r="F62" s="79"/>
      <c r="G62" s="90"/>
      <c r="H62" s="79"/>
      <c r="I62" s="79"/>
      <c r="J62" s="92">
        <f>IF($B62="","",IF($I62="","",IFERROR(IF(INDEX('RECIPE INDEX'!$C$6:$C$105,MATCH($I62,'RECIPE INDEX'!$B$6:$B$105,0))="","",INDEX('RECIPE INDEX'!$C$6:$C$105,MATCH($I62,'RECIPE INDEX'!$B$6:$B$105,0))),"")))</f>
      </c>
      <c r="K62" s="79"/>
      <c r="L62" s="82"/>
      <c r="M62" s="79"/>
      <c r="N62" s="79"/>
      <c r="O62" s="79"/>
      <c r="P62" s="79"/>
      <c r="Q62" s="86"/>
      <c r="R62" s="86"/>
      <c r="S62" s="78">
        <f>IF($B62="","",IF(OR($O62="Served",$O62="Dropped"),"DONE",IF($L62="",IF($C62="","NO DATE",IF($C62&lt;TODAY(),"OVERDUE","SCHEDULED")),IF($L62&lt;TODAY(),"PREP OVERDUE",IF($L62-TODAY()&lt;=7,"PREP THIS WEEK","SCHEDULED")))))</f>
      </c>
      <c r="T62" s="80"/>
      <c r="U62" s="78">
        <f>IF($B62="",0,IF(COUNTIF('MEAL + BAKING PLAN'!$B$6:$B$155,$B62)&gt;1,1,0))</f>
      </c>
      <c r="V62" s="78">
        <f>IF(OR(N($Q62)&gt;0,N($R62)&gt;0),IF($P62="",1,IF(COUNTIF('MASTER BUDGET'!$D$6:$D$25,$P62)=0,1,0)),0)</f>
      </c>
      <c r="W62" s="78">
        <f>IF($I62="",0,IF(COUNTIF('RECIPE INDEX'!$B$6:$B$105,$I62)=0,1,0))</f>
      </c>
      <c r="X62" s="75"/>
    </row>
    <row r="63" ht="17" customHeight="1" spans="1:24" x14ac:dyDescent="0.25">
      <c r="A63" s="75"/>
      <c r="B63" s="79"/>
      <c r="C63" s="82"/>
      <c r="D63" s="79"/>
      <c r="E63" s="80"/>
      <c r="F63" s="79"/>
      <c r="G63" s="90"/>
      <c r="H63" s="79"/>
      <c r="I63" s="79"/>
      <c r="J63" s="92">
        <f>IF($B63="","",IF($I63="","",IFERROR(IF(INDEX('RECIPE INDEX'!$C$6:$C$105,MATCH($I63,'RECIPE INDEX'!$B$6:$B$105,0))="","",INDEX('RECIPE INDEX'!$C$6:$C$105,MATCH($I63,'RECIPE INDEX'!$B$6:$B$105,0))),"")))</f>
      </c>
      <c r="K63" s="79"/>
      <c r="L63" s="82"/>
      <c r="M63" s="79"/>
      <c r="N63" s="79"/>
      <c r="O63" s="79"/>
      <c r="P63" s="79"/>
      <c r="Q63" s="86"/>
      <c r="R63" s="86"/>
      <c r="S63" s="78">
        <f>IF($B63="","",IF(OR($O63="Served",$O63="Dropped"),"DONE",IF($L63="",IF($C63="","NO DATE",IF($C63&lt;TODAY(),"OVERDUE","SCHEDULED")),IF($L63&lt;TODAY(),"PREP OVERDUE",IF($L63-TODAY()&lt;=7,"PREP THIS WEEK","SCHEDULED")))))</f>
      </c>
      <c r="T63" s="80"/>
      <c r="U63" s="78">
        <f>IF($B63="",0,IF(COUNTIF('MEAL + BAKING PLAN'!$B$6:$B$155,$B63)&gt;1,1,0))</f>
      </c>
      <c r="V63" s="78">
        <f>IF(OR(N($Q63)&gt;0,N($R63)&gt;0),IF($P63="",1,IF(COUNTIF('MASTER BUDGET'!$D$6:$D$25,$P63)=0,1,0)),0)</f>
      </c>
      <c r="W63" s="78">
        <f>IF($I63="",0,IF(COUNTIF('RECIPE INDEX'!$B$6:$B$105,$I63)=0,1,0))</f>
      </c>
      <c r="X63" s="75"/>
    </row>
    <row r="64" ht="17" customHeight="1" spans="1:24" x14ac:dyDescent="0.25">
      <c r="A64" s="75"/>
      <c r="B64" s="79"/>
      <c r="C64" s="82"/>
      <c r="D64" s="79"/>
      <c r="E64" s="80"/>
      <c r="F64" s="79"/>
      <c r="G64" s="90"/>
      <c r="H64" s="79"/>
      <c r="I64" s="79"/>
      <c r="J64" s="92">
        <f>IF($B64="","",IF($I64="","",IFERROR(IF(INDEX('RECIPE INDEX'!$C$6:$C$105,MATCH($I64,'RECIPE INDEX'!$B$6:$B$105,0))="","",INDEX('RECIPE INDEX'!$C$6:$C$105,MATCH($I64,'RECIPE INDEX'!$B$6:$B$105,0))),"")))</f>
      </c>
      <c r="K64" s="79"/>
      <c r="L64" s="82"/>
      <c r="M64" s="79"/>
      <c r="N64" s="79"/>
      <c r="O64" s="79"/>
      <c r="P64" s="79"/>
      <c r="Q64" s="86"/>
      <c r="R64" s="86"/>
      <c r="S64" s="78">
        <f>IF($B64="","",IF(OR($O64="Served",$O64="Dropped"),"DONE",IF($L64="",IF($C64="","NO DATE",IF($C64&lt;TODAY(),"OVERDUE","SCHEDULED")),IF($L64&lt;TODAY(),"PREP OVERDUE",IF($L64-TODAY()&lt;=7,"PREP THIS WEEK","SCHEDULED")))))</f>
      </c>
      <c r="T64" s="80"/>
      <c r="U64" s="78">
        <f>IF($B64="",0,IF(COUNTIF('MEAL + BAKING PLAN'!$B$6:$B$155,$B64)&gt;1,1,0))</f>
      </c>
      <c r="V64" s="78">
        <f>IF(OR(N($Q64)&gt;0,N($R64)&gt;0),IF($P64="",1,IF(COUNTIF('MASTER BUDGET'!$D$6:$D$25,$P64)=0,1,0)),0)</f>
      </c>
      <c r="W64" s="78">
        <f>IF($I64="",0,IF(COUNTIF('RECIPE INDEX'!$B$6:$B$105,$I64)=0,1,0))</f>
      </c>
      <c r="X64" s="75"/>
    </row>
    <row r="65" ht="17" customHeight="1" spans="1:24" x14ac:dyDescent="0.25">
      <c r="A65" s="75"/>
      <c r="B65" s="79"/>
      <c r="C65" s="82"/>
      <c r="D65" s="79"/>
      <c r="E65" s="80"/>
      <c r="F65" s="79"/>
      <c r="G65" s="90"/>
      <c r="H65" s="79"/>
      <c r="I65" s="79"/>
      <c r="J65" s="92">
        <f>IF($B65="","",IF($I65="","",IFERROR(IF(INDEX('RECIPE INDEX'!$C$6:$C$105,MATCH($I65,'RECIPE INDEX'!$B$6:$B$105,0))="","",INDEX('RECIPE INDEX'!$C$6:$C$105,MATCH($I65,'RECIPE INDEX'!$B$6:$B$105,0))),"")))</f>
      </c>
      <c r="K65" s="79"/>
      <c r="L65" s="82"/>
      <c r="M65" s="79"/>
      <c r="N65" s="79"/>
      <c r="O65" s="79"/>
      <c r="P65" s="79"/>
      <c r="Q65" s="86"/>
      <c r="R65" s="86"/>
      <c r="S65" s="78">
        <f>IF($B65="","",IF(OR($O65="Served",$O65="Dropped"),"DONE",IF($L65="",IF($C65="","NO DATE",IF($C65&lt;TODAY(),"OVERDUE","SCHEDULED")),IF($L65&lt;TODAY(),"PREP OVERDUE",IF($L65-TODAY()&lt;=7,"PREP THIS WEEK","SCHEDULED")))))</f>
      </c>
      <c r="T65" s="80"/>
      <c r="U65" s="78">
        <f>IF($B65="",0,IF(COUNTIF('MEAL + BAKING PLAN'!$B$6:$B$155,$B65)&gt;1,1,0))</f>
      </c>
      <c r="V65" s="78">
        <f>IF(OR(N($Q65)&gt;0,N($R65)&gt;0),IF($P65="",1,IF(COUNTIF('MASTER BUDGET'!$D$6:$D$25,$P65)=0,1,0)),0)</f>
      </c>
      <c r="W65" s="78">
        <f>IF($I65="",0,IF(COUNTIF('RECIPE INDEX'!$B$6:$B$105,$I65)=0,1,0))</f>
      </c>
      <c r="X65" s="75"/>
    </row>
    <row r="66" ht="17" customHeight="1" spans="1:24" x14ac:dyDescent="0.25">
      <c r="A66" s="75"/>
      <c r="B66" s="79"/>
      <c r="C66" s="82"/>
      <c r="D66" s="79"/>
      <c r="E66" s="80"/>
      <c r="F66" s="79"/>
      <c r="G66" s="90"/>
      <c r="H66" s="79"/>
      <c r="I66" s="79"/>
      <c r="J66" s="92">
        <f>IF($B66="","",IF($I66="","",IFERROR(IF(INDEX('RECIPE INDEX'!$C$6:$C$105,MATCH($I66,'RECIPE INDEX'!$B$6:$B$105,0))="","",INDEX('RECIPE INDEX'!$C$6:$C$105,MATCH($I66,'RECIPE INDEX'!$B$6:$B$105,0))),"")))</f>
      </c>
      <c r="K66" s="79"/>
      <c r="L66" s="82"/>
      <c r="M66" s="79"/>
      <c r="N66" s="79"/>
      <c r="O66" s="79"/>
      <c r="P66" s="79"/>
      <c r="Q66" s="86"/>
      <c r="R66" s="86"/>
      <c r="S66" s="78">
        <f>IF($B66="","",IF(OR($O66="Served",$O66="Dropped"),"DONE",IF($L66="",IF($C66="","NO DATE",IF($C66&lt;TODAY(),"OVERDUE","SCHEDULED")),IF($L66&lt;TODAY(),"PREP OVERDUE",IF($L66-TODAY()&lt;=7,"PREP THIS WEEK","SCHEDULED")))))</f>
      </c>
      <c r="T66" s="80"/>
      <c r="U66" s="78">
        <f>IF($B66="",0,IF(COUNTIF('MEAL + BAKING PLAN'!$B$6:$B$155,$B66)&gt;1,1,0))</f>
      </c>
      <c r="V66" s="78">
        <f>IF(OR(N($Q66)&gt;0,N($R66)&gt;0),IF($P66="",1,IF(COUNTIF('MASTER BUDGET'!$D$6:$D$25,$P66)=0,1,0)),0)</f>
      </c>
      <c r="W66" s="78">
        <f>IF($I66="",0,IF(COUNTIF('RECIPE INDEX'!$B$6:$B$105,$I66)=0,1,0))</f>
      </c>
      <c r="X66" s="75"/>
    </row>
    <row r="67" ht="17" customHeight="1" spans="1:24" x14ac:dyDescent="0.25">
      <c r="A67" s="75"/>
      <c r="B67" s="79"/>
      <c r="C67" s="82"/>
      <c r="D67" s="79"/>
      <c r="E67" s="80"/>
      <c r="F67" s="79"/>
      <c r="G67" s="90"/>
      <c r="H67" s="79"/>
      <c r="I67" s="79"/>
      <c r="J67" s="92">
        <f>IF($B67="","",IF($I67="","",IFERROR(IF(INDEX('RECIPE INDEX'!$C$6:$C$105,MATCH($I67,'RECIPE INDEX'!$B$6:$B$105,0))="","",INDEX('RECIPE INDEX'!$C$6:$C$105,MATCH($I67,'RECIPE INDEX'!$B$6:$B$105,0))),"")))</f>
      </c>
      <c r="K67" s="79"/>
      <c r="L67" s="82"/>
      <c r="M67" s="79"/>
      <c r="N67" s="79"/>
      <c r="O67" s="79"/>
      <c r="P67" s="79"/>
      <c r="Q67" s="86"/>
      <c r="R67" s="86"/>
      <c r="S67" s="78">
        <f>IF($B67="","",IF(OR($O67="Served",$O67="Dropped"),"DONE",IF($L67="",IF($C67="","NO DATE",IF($C67&lt;TODAY(),"OVERDUE","SCHEDULED")),IF($L67&lt;TODAY(),"PREP OVERDUE",IF($L67-TODAY()&lt;=7,"PREP THIS WEEK","SCHEDULED")))))</f>
      </c>
      <c r="T67" s="80"/>
      <c r="U67" s="78">
        <f>IF($B67="",0,IF(COUNTIF('MEAL + BAKING PLAN'!$B$6:$B$155,$B67)&gt;1,1,0))</f>
      </c>
      <c r="V67" s="78">
        <f>IF(OR(N($Q67)&gt;0,N($R67)&gt;0),IF($P67="",1,IF(COUNTIF('MASTER BUDGET'!$D$6:$D$25,$P67)=0,1,0)),0)</f>
      </c>
      <c r="W67" s="78">
        <f>IF($I67="",0,IF(COUNTIF('RECIPE INDEX'!$B$6:$B$105,$I67)=0,1,0))</f>
      </c>
      <c r="X67" s="75"/>
    </row>
    <row r="68" ht="17" customHeight="1" spans="1:24" x14ac:dyDescent="0.25">
      <c r="A68" s="75"/>
      <c r="B68" s="79"/>
      <c r="C68" s="82"/>
      <c r="D68" s="79"/>
      <c r="E68" s="80"/>
      <c r="F68" s="79"/>
      <c r="G68" s="90"/>
      <c r="H68" s="79"/>
      <c r="I68" s="79"/>
      <c r="J68" s="92">
        <f>IF($B68="","",IF($I68="","",IFERROR(IF(INDEX('RECIPE INDEX'!$C$6:$C$105,MATCH($I68,'RECIPE INDEX'!$B$6:$B$105,0))="","",INDEX('RECIPE INDEX'!$C$6:$C$105,MATCH($I68,'RECIPE INDEX'!$B$6:$B$105,0))),"")))</f>
      </c>
      <c r="K68" s="79"/>
      <c r="L68" s="82"/>
      <c r="M68" s="79"/>
      <c r="N68" s="79"/>
      <c r="O68" s="79"/>
      <c r="P68" s="79"/>
      <c r="Q68" s="86"/>
      <c r="R68" s="86"/>
      <c r="S68" s="78">
        <f>IF($B68="","",IF(OR($O68="Served",$O68="Dropped"),"DONE",IF($L68="",IF($C68="","NO DATE",IF($C68&lt;TODAY(),"OVERDUE","SCHEDULED")),IF($L68&lt;TODAY(),"PREP OVERDUE",IF($L68-TODAY()&lt;=7,"PREP THIS WEEK","SCHEDULED")))))</f>
      </c>
      <c r="T68" s="80"/>
      <c r="U68" s="78">
        <f>IF($B68="",0,IF(COUNTIF('MEAL + BAKING PLAN'!$B$6:$B$155,$B68)&gt;1,1,0))</f>
      </c>
      <c r="V68" s="78">
        <f>IF(OR(N($Q68)&gt;0,N($R68)&gt;0),IF($P68="",1,IF(COUNTIF('MASTER BUDGET'!$D$6:$D$25,$P68)=0,1,0)),0)</f>
      </c>
      <c r="W68" s="78">
        <f>IF($I68="",0,IF(COUNTIF('RECIPE INDEX'!$B$6:$B$105,$I68)=0,1,0))</f>
      </c>
      <c r="X68" s="75"/>
    </row>
    <row r="69" ht="17" customHeight="1" spans="1:24" x14ac:dyDescent="0.25">
      <c r="A69" s="75"/>
      <c r="B69" s="79"/>
      <c r="C69" s="82"/>
      <c r="D69" s="79"/>
      <c r="E69" s="80"/>
      <c r="F69" s="79"/>
      <c r="G69" s="90"/>
      <c r="H69" s="79"/>
      <c r="I69" s="79"/>
      <c r="J69" s="92">
        <f>IF($B69="","",IF($I69="","",IFERROR(IF(INDEX('RECIPE INDEX'!$C$6:$C$105,MATCH($I69,'RECIPE INDEX'!$B$6:$B$105,0))="","",INDEX('RECIPE INDEX'!$C$6:$C$105,MATCH($I69,'RECIPE INDEX'!$B$6:$B$105,0))),"")))</f>
      </c>
      <c r="K69" s="79"/>
      <c r="L69" s="82"/>
      <c r="M69" s="79"/>
      <c r="N69" s="79"/>
      <c r="O69" s="79"/>
      <c r="P69" s="79"/>
      <c r="Q69" s="86"/>
      <c r="R69" s="86"/>
      <c r="S69" s="78">
        <f>IF($B69="","",IF(OR($O69="Served",$O69="Dropped"),"DONE",IF($L69="",IF($C69="","NO DATE",IF($C69&lt;TODAY(),"OVERDUE","SCHEDULED")),IF($L69&lt;TODAY(),"PREP OVERDUE",IF($L69-TODAY()&lt;=7,"PREP THIS WEEK","SCHEDULED")))))</f>
      </c>
      <c r="T69" s="80"/>
      <c r="U69" s="78">
        <f>IF($B69="",0,IF(COUNTIF('MEAL + BAKING PLAN'!$B$6:$B$155,$B69)&gt;1,1,0))</f>
      </c>
      <c r="V69" s="78">
        <f>IF(OR(N($Q69)&gt;0,N($R69)&gt;0),IF($P69="",1,IF(COUNTIF('MASTER BUDGET'!$D$6:$D$25,$P69)=0,1,0)),0)</f>
      </c>
      <c r="W69" s="78">
        <f>IF($I69="",0,IF(COUNTIF('RECIPE INDEX'!$B$6:$B$105,$I69)=0,1,0))</f>
      </c>
      <c r="X69" s="75"/>
    </row>
    <row r="70" ht="17" customHeight="1" spans="1:24" x14ac:dyDescent="0.25">
      <c r="A70" s="75"/>
      <c r="B70" s="79"/>
      <c r="C70" s="82"/>
      <c r="D70" s="79"/>
      <c r="E70" s="80"/>
      <c r="F70" s="79"/>
      <c r="G70" s="90"/>
      <c r="H70" s="79"/>
      <c r="I70" s="79"/>
      <c r="J70" s="92">
        <f>IF($B70="","",IF($I70="","",IFERROR(IF(INDEX('RECIPE INDEX'!$C$6:$C$105,MATCH($I70,'RECIPE INDEX'!$B$6:$B$105,0))="","",INDEX('RECIPE INDEX'!$C$6:$C$105,MATCH($I70,'RECIPE INDEX'!$B$6:$B$105,0))),"")))</f>
      </c>
      <c r="K70" s="79"/>
      <c r="L70" s="82"/>
      <c r="M70" s="79"/>
      <c r="N70" s="79"/>
      <c r="O70" s="79"/>
      <c r="P70" s="79"/>
      <c r="Q70" s="86"/>
      <c r="R70" s="86"/>
      <c r="S70" s="78">
        <f>IF($B70="","",IF(OR($O70="Served",$O70="Dropped"),"DONE",IF($L70="",IF($C70="","NO DATE",IF($C70&lt;TODAY(),"OVERDUE","SCHEDULED")),IF($L70&lt;TODAY(),"PREP OVERDUE",IF($L70-TODAY()&lt;=7,"PREP THIS WEEK","SCHEDULED")))))</f>
      </c>
      <c r="T70" s="80"/>
      <c r="U70" s="78">
        <f>IF($B70="",0,IF(COUNTIF('MEAL + BAKING PLAN'!$B$6:$B$155,$B70)&gt;1,1,0))</f>
      </c>
      <c r="V70" s="78">
        <f>IF(OR(N($Q70)&gt;0,N($R70)&gt;0),IF($P70="",1,IF(COUNTIF('MASTER BUDGET'!$D$6:$D$25,$P70)=0,1,0)),0)</f>
      </c>
      <c r="W70" s="78">
        <f>IF($I70="",0,IF(COUNTIF('RECIPE INDEX'!$B$6:$B$105,$I70)=0,1,0))</f>
      </c>
      <c r="X70" s="75"/>
    </row>
    <row r="71" ht="17" customHeight="1" spans="1:24" x14ac:dyDescent="0.25">
      <c r="A71" s="75"/>
      <c r="B71" s="79"/>
      <c r="C71" s="82"/>
      <c r="D71" s="79"/>
      <c r="E71" s="80"/>
      <c r="F71" s="79"/>
      <c r="G71" s="90"/>
      <c r="H71" s="79"/>
      <c r="I71" s="79"/>
      <c r="J71" s="92">
        <f>IF($B71="","",IF($I71="","",IFERROR(IF(INDEX('RECIPE INDEX'!$C$6:$C$105,MATCH($I71,'RECIPE INDEX'!$B$6:$B$105,0))="","",INDEX('RECIPE INDEX'!$C$6:$C$105,MATCH($I71,'RECIPE INDEX'!$B$6:$B$105,0))),"")))</f>
      </c>
      <c r="K71" s="79"/>
      <c r="L71" s="82"/>
      <c r="M71" s="79"/>
      <c r="N71" s="79"/>
      <c r="O71" s="79"/>
      <c r="P71" s="79"/>
      <c r="Q71" s="86"/>
      <c r="R71" s="86"/>
      <c r="S71" s="78">
        <f>IF($B71="","",IF(OR($O71="Served",$O71="Dropped"),"DONE",IF($L71="",IF($C71="","NO DATE",IF($C71&lt;TODAY(),"OVERDUE","SCHEDULED")),IF($L71&lt;TODAY(),"PREP OVERDUE",IF($L71-TODAY()&lt;=7,"PREP THIS WEEK","SCHEDULED")))))</f>
      </c>
      <c r="T71" s="80"/>
      <c r="U71" s="78">
        <f>IF($B71="",0,IF(COUNTIF('MEAL + BAKING PLAN'!$B$6:$B$155,$B71)&gt;1,1,0))</f>
      </c>
      <c r="V71" s="78">
        <f>IF(OR(N($Q71)&gt;0,N($R71)&gt;0),IF($P71="",1,IF(COUNTIF('MASTER BUDGET'!$D$6:$D$25,$P71)=0,1,0)),0)</f>
      </c>
      <c r="W71" s="78">
        <f>IF($I71="",0,IF(COUNTIF('RECIPE INDEX'!$B$6:$B$105,$I71)=0,1,0))</f>
      </c>
      <c r="X71" s="75"/>
    </row>
    <row r="72" ht="17" customHeight="1" spans="1:24" x14ac:dyDescent="0.25">
      <c r="A72" s="75"/>
      <c r="B72" s="79"/>
      <c r="C72" s="82"/>
      <c r="D72" s="79"/>
      <c r="E72" s="80"/>
      <c r="F72" s="79"/>
      <c r="G72" s="90"/>
      <c r="H72" s="79"/>
      <c r="I72" s="79"/>
      <c r="J72" s="92">
        <f>IF($B72="","",IF($I72="","",IFERROR(IF(INDEX('RECIPE INDEX'!$C$6:$C$105,MATCH($I72,'RECIPE INDEX'!$B$6:$B$105,0))="","",INDEX('RECIPE INDEX'!$C$6:$C$105,MATCH($I72,'RECIPE INDEX'!$B$6:$B$105,0))),"")))</f>
      </c>
      <c r="K72" s="79"/>
      <c r="L72" s="82"/>
      <c r="M72" s="79"/>
      <c r="N72" s="79"/>
      <c r="O72" s="79"/>
      <c r="P72" s="79"/>
      <c r="Q72" s="86"/>
      <c r="R72" s="86"/>
      <c r="S72" s="78">
        <f>IF($B72="","",IF(OR($O72="Served",$O72="Dropped"),"DONE",IF($L72="",IF($C72="","NO DATE",IF($C72&lt;TODAY(),"OVERDUE","SCHEDULED")),IF($L72&lt;TODAY(),"PREP OVERDUE",IF($L72-TODAY()&lt;=7,"PREP THIS WEEK","SCHEDULED")))))</f>
      </c>
      <c r="T72" s="80"/>
      <c r="U72" s="78">
        <f>IF($B72="",0,IF(COUNTIF('MEAL + BAKING PLAN'!$B$6:$B$155,$B72)&gt;1,1,0))</f>
      </c>
      <c r="V72" s="78">
        <f>IF(OR(N($Q72)&gt;0,N($R72)&gt;0),IF($P72="",1,IF(COUNTIF('MASTER BUDGET'!$D$6:$D$25,$P72)=0,1,0)),0)</f>
      </c>
      <c r="W72" s="78">
        <f>IF($I72="",0,IF(COUNTIF('RECIPE INDEX'!$B$6:$B$105,$I72)=0,1,0))</f>
      </c>
      <c r="X72" s="75"/>
    </row>
    <row r="73" ht="17" customHeight="1" spans="1:24" x14ac:dyDescent="0.25">
      <c r="A73" s="75"/>
      <c r="B73" s="79"/>
      <c r="C73" s="82"/>
      <c r="D73" s="79"/>
      <c r="E73" s="80"/>
      <c r="F73" s="79"/>
      <c r="G73" s="90"/>
      <c r="H73" s="79"/>
      <c r="I73" s="79"/>
      <c r="J73" s="92">
        <f>IF($B73="","",IF($I73="","",IFERROR(IF(INDEX('RECIPE INDEX'!$C$6:$C$105,MATCH($I73,'RECIPE INDEX'!$B$6:$B$105,0))="","",INDEX('RECIPE INDEX'!$C$6:$C$105,MATCH($I73,'RECIPE INDEX'!$B$6:$B$105,0))),"")))</f>
      </c>
      <c r="K73" s="79"/>
      <c r="L73" s="82"/>
      <c r="M73" s="79"/>
      <c r="N73" s="79"/>
      <c r="O73" s="79"/>
      <c r="P73" s="79"/>
      <c r="Q73" s="86"/>
      <c r="R73" s="86"/>
      <c r="S73" s="78">
        <f>IF($B73="","",IF(OR($O73="Served",$O73="Dropped"),"DONE",IF($L73="",IF($C73="","NO DATE",IF($C73&lt;TODAY(),"OVERDUE","SCHEDULED")),IF($L73&lt;TODAY(),"PREP OVERDUE",IF($L73-TODAY()&lt;=7,"PREP THIS WEEK","SCHEDULED")))))</f>
      </c>
      <c r="T73" s="80"/>
      <c r="U73" s="78">
        <f>IF($B73="",0,IF(COUNTIF('MEAL + BAKING PLAN'!$B$6:$B$155,$B73)&gt;1,1,0))</f>
      </c>
      <c r="V73" s="78">
        <f>IF(OR(N($Q73)&gt;0,N($R73)&gt;0),IF($P73="",1,IF(COUNTIF('MASTER BUDGET'!$D$6:$D$25,$P73)=0,1,0)),0)</f>
      </c>
      <c r="W73" s="78">
        <f>IF($I73="",0,IF(COUNTIF('RECIPE INDEX'!$B$6:$B$105,$I73)=0,1,0))</f>
      </c>
      <c r="X73" s="75"/>
    </row>
    <row r="74" ht="17" customHeight="1" spans="1:24" x14ac:dyDescent="0.25">
      <c r="A74" s="75"/>
      <c r="B74" s="79"/>
      <c r="C74" s="82"/>
      <c r="D74" s="79"/>
      <c r="E74" s="80"/>
      <c r="F74" s="79"/>
      <c r="G74" s="90"/>
      <c r="H74" s="79"/>
      <c r="I74" s="79"/>
      <c r="J74" s="92">
        <f>IF($B74="","",IF($I74="","",IFERROR(IF(INDEX('RECIPE INDEX'!$C$6:$C$105,MATCH($I74,'RECIPE INDEX'!$B$6:$B$105,0))="","",INDEX('RECIPE INDEX'!$C$6:$C$105,MATCH($I74,'RECIPE INDEX'!$B$6:$B$105,0))),"")))</f>
      </c>
      <c r="K74" s="79"/>
      <c r="L74" s="82"/>
      <c r="M74" s="79"/>
      <c r="N74" s="79"/>
      <c r="O74" s="79"/>
      <c r="P74" s="79"/>
      <c r="Q74" s="86"/>
      <c r="R74" s="86"/>
      <c r="S74" s="78">
        <f>IF($B74="","",IF(OR($O74="Served",$O74="Dropped"),"DONE",IF($L74="",IF($C74="","NO DATE",IF($C74&lt;TODAY(),"OVERDUE","SCHEDULED")),IF($L74&lt;TODAY(),"PREP OVERDUE",IF($L74-TODAY()&lt;=7,"PREP THIS WEEK","SCHEDULED")))))</f>
      </c>
      <c r="T74" s="80"/>
      <c r="U74" s="78">
        <f>IF($B74="",0,IF(COUNTIF('MEAL + BAKING PLAN'!$B$6:$B$155,$B74)&gt;1,1,0))</f>
      </c>
      <c r="V74" s="78">
        <f>IF(OR(N($Q74)&gt;0,N($R74)&gt;0),IF($P74="",1,IF(COUNTIF('MASTER BUDGET'!$D$6:$D$25,$P74)=0,1,0)),0)</f>
      </c>
      <c r="W74" s="78">
        <f>IF($I74="",0,IF(COUNTIF('RECIPE INDEX'!$B$6:$B$105,$I74)=0,1,0))</f>
      </c>
      <c r="X74" s="75"/>
    </row>
    <row r="75" ht="17" customHeight="1" spans="1:24" x14ac:dyDescent="0.25">
      <c r="A75" s="75"/>
      <c r="B75" s="79"/>
      <c r="C75" s="82"/>
      <c r="D75" s="79"/>
      <c r="E75" s="80"/>
      <c r="F75" s="79"/>
      <c r="G75" s="90"/>
      <c r="H75" s="79"/>
      <c r="I75" s="79"/>
      <c r="J75" s="92">
        <f>IF($B75="","",IF($I75="","",IFERROR(IF(INDEX('RECIPE INDEX'!$C$6:$C$105,MATCH($I75,'RECIPE INDEX'!$B$6:$B$105,0))="","",INDEX('RECIPE INDEX'!$C$6:$C$105,MATCH($I75,'RECIPE INDEX'!$B$6:$B$105,0))),"")))</f>
      </c>
      <c r="K75" s="79"/>
      <c r="L75" s="82"/>
      <c r="M75" s="79"/>
      <c r="N75" s="79"/>
      <c r="O75" s="79"/>
      <c r="P75" s="79"/>
      <c r="Q75" s="86"/>
      <c r="R75" s="86"/>
      <c r="S75" s="78">
        <f>IF($B75="","",IF(OR($O75="Served",$O75="Dropped"),"DONE",IF($L75="",IF($C75="","NO DATE",IF($C75&lt;TODAY(),"OVERDUE","SCHEDULED")),IF($L75&lt;TODAY(),"PREP OVERDUE",IF($L75-TODAY()&lt;=7,"PREP THIS WEEK","SCHEDULED")))))</f>
      </c>
      <c r="T75" s="80"/>
      <c r="U75" s="78">
        <f>IF($B75="",0,IF(COUNTIF('MEAL + BAKING PLAN'!$B$6:$B$155,$B75)&gt;1,1,0))</f>
      </c>
      <c r="V75" s="78">
        <f>IF(OR(N($Q75)&gt;0,N($R75)&gt;0),IF($P75="",1,IF(COUNTIF('MASTER BUDGET'!$D$6:$D$25,$P75)=0,1,0)),0)</f>
      </c>
      <c r="W75" s="78">
        <f>IF($I75="",0,IF(COUNTIF('RECIPE INDEX'!$B$6:$B$105,$I75)=0,1,0))</f>
      </c>
      <c r="X75" s="75"/>
    </row>
    <row r="76" ht="17" customHeight="1" spans="1:24" x14ac:dyDescent="0.25">
      <c r="A76" s="75"/>
      <c r="B76" s="79"/>
      <c r="C76" s="82"/>
      <c r="D76" s="79"/>
      <c r="E76" s="80"/>
      <c r="F76" s="79"/>
      <c r="G76" s="90"/>
      <c r="H76" s="79"/>
      <c r="I76" s="79"/>
      <c r="J76" s="92">
        <f>IF($B76="","",IF($I76="","",IFERROR(IF(INDEX('RECIPE INDEX'!$C$6:$C$105,MATCH($I76,'RECIPE INDEX'!$B$6:$B$105,0))="","",INDEX('RECIPE INDEX'!$C$6:$C$105,MATCH($I76,'RECIPE INDEX'!$B$6:$B$105,0))),"")))</f>
      </c>
      <c r="K76" s="79"/>
      <c r="L76" s="82"/>
      <c r="M76" s="79"/>
      <c r="N76" s="79"/>
      <c r="O76" s="79"/>
      <c r="P76" s="79"/>
      <c r="Q76" s="86"/>
      <c r="R76" s="86"/>
      <c r="S76" s="78">
        <f>IF($B76="","",IF(OR($O76="Served",$O76="Dropped"),"DONE",IF($L76="",IF($C76="","NO DATE",IF($C76&lt;TODAY(),"OVERDUE","SCHEDULED")),IF($L76&lt;TODAY(),"PREP OVERDUE",IF($L76-TODAY()&lt;=7,"PREP THIS WEEK","SCHEDULED")))))</f>
      </c>
      <c r="T76" s="80"/>
      <c r="U76" s="78">
        <f>IF($B76="",0,IF(COUNTIF('MEAL + BAKING PLAN'!$B$6:$B$155,$B76)&gt;1,1,0))</f>
      </c>
      <c r="V76" s="78">
        <f>IF(OR(N($Q76)&gt;0,N($R76)&gt;0),IF($P76="",1,IF(COUNTIF('MASTER BUDGET'!$D$6:$D$25,$P76)=0,1,0)),0)</f>
      </c>
      <c r="W76" s="78">
        <f>IF($I76="",0,IF(COUNTIF('RECIPE INDEX'!$B$6:$B$105,$I76)=0,1,0))</f>
      </c>
      <c r="X76" s="75"/>
    </row>
    <row r="77" ht="17" customHeight="1" spans="1:24" x14ac:dyDescent="0.25">
      <c r="A77" s="75"/>
      <c r="B77" s="79"/>
      <c r="C77" s="82"/>
      <c r="D77" s="79"/>
      <c r="E77" s="80"/>
      <c r="F77" s="79"/>
      <c r="G77" s="90"/>
      <c r="H77" s="79"/>
      <c r="I77" s="79"/>
      <c r="J77" s="92">
        <f>IF($B77="","",IF($I77="","",IFERROR(IF(INDEX('RECIPE INDEX'!$C$6:$C$105,MATCH($I77,'RECIPE INDEX'!$B$6:$B$105,0))="","",INDEX('RECIPE INDEX'!$C$6:$C$105,MATCH($I77,'RECIPE INDEX'!$B$6:$B$105,0))),"")))</f>
      </c>
      <c r="K77" s="79"/>
      <c r="L77" s="82"/>
      <c r="M77" s="79"/>
      <c r="N77" s="79"/>
      <c r="O77" s="79"/>
      <c r="P77" s="79"/>
      <c r="Q77" s="86"/>
      <c r="R77" s="86"/>
      <c r="S77" s="78">
        <f>IF($B77="","",IF(OR($O77="Served",$O77="Dropped"),"DONE",IF($L77="",IF($C77="","NO DATE",IF($C77&lt;TODAY(),"OVERDUE","SCHEDULED")),IF($L77&lt;TODAY(),"PREP OVERDUE",IF($L77-TODAY()&lt;=7,"PREP THIS WEEK","SCHEDULED")))))</f>
      </c>
      <c r="T77" s="80"/>
      <c r="U77" s="78">
        <f>IF($B77="",0,IF(COUNTIF('MEAL + BAKING PLAN'!$B$6:$B$155,$B77)&gt;1,1,0))</f>
      </c>
      <c r="V77" s="78">
        <f>IF(OR(N($Q77)&gt;0,N($R77)&gt;0),IF($P77="",1,IF(COUNTIF('MASTER BUDGET'!$D$6:$D$25,$P77)=0,1,0)),0)</f>
      </c>
      <c r="W77" s="78">
        <f>IF($I77="",0,IF(COUNTIF('RECIPE INDEX'!$B$6:$B$105,$I77)=0,1,0))</f>
      </c>
      <c r="X77" s="75"/>
    </row>
    <row r="78" ht="17" customHeight="1" spans="1:24" x14ac:dyDescent="0.25">
      <c r="A78" s="75"/>
      <c r="B78" s="79"/>
      <c r="C78" s="82"/>
      <c r="D78" s="79"/>
      <c r="E78" s="80"/>
      <c r="F78" s="79"/>
      <c r="G78" s="90"/>
      <c r="H78" s="79"/>
      <c r="I78" s="79"/>
      <c r="J78" s="92">
        <f>IF($B78="","",IF($I78="","",IFERROR(IF(INDEX('RECIPE INDEX'!$C$6:$C$105,MATCH($I78,'RECIPE INDEX'!$B$6:$B$105,0))="","",INDEX('RECIPE INDEX'!$C$6:$C$105,MATCH($I78,'RECIPE INDEX'!$B$6:$B$105,0))),"")))</f>
      </c>
      <c r="K78" s="79"/>
      <c r="L78" s="82"/>
      <c r="M78" s="79"/>
      <c r="N78" s="79"/>
      <c r="O78" s="79"/>
      <c r="P78" s="79"/>
      <c r="Q78" s="86"/>
      <c r="R78" s="86"/>
      <c r="S78" s="78">
        <f>IF($B78="","",IF(OR($O78="Served",$O78="Dropped"),"DONE",IF($L78="",IF($C78="","NO DATE",IF($C78&lt;TODAY(),"OVERDUE","SCHEDULED")),IF($L78&lt;TODAY(),"PREP OVERDUE",IF($L78-TODAY()&lt;=7,"PREP THIS WEEK","SCHEDULED")))))</f>
      </c>
      <c r="T78" s="80"/>
      <c r="U78" s="78">
        <f>IF($B78="",0,IF(COUNTIF('MEAL + BAKING PLAN'!$B$6:$B$155,$B78)&gt;1,1,0))</f>
      </c>
      <c r="V78" s="78">
        <f>IF(OR(N($Q78)&gt;0,N($R78)&gt;0),IF($P78="",1,IF(COUNTIF('MASTER BUDGET'!$D$6:$D$25,$P78)=0,1,0)),0)</f>
      </c>
      <c r="W78" s="78">
        <f>IF($I78="",0,IF(COUNTIF('RECIPE INDEX'!$B$6:$B$105,$I78)=0,1,0))</f>
      </c>
      <c r="X78" s="75"/>
    </row>
    <row r="79" ht="17" customHeight="1" spans="1:24" x14ac:dyDescent="0.25">
      <c r="A79" s="75"/>
      <c r="B79" s="79"/>
      <c r="C79" s="82"/>
      <c r="D79" s="79"/>
      <c r="E79" s="80"/>
      <c r="F79" s="79"/>
      <c r="G79" s="90"/>
      <c r="H79" s="79"/>
      <c r="I79" s="79"/>
      <c r="J79" s="92">
        <f>IF($B79="","",IF($I79="","",IFERROR(IF(INDEX('RECIPE INDEX'!$C$6:$C$105,MATCH($I79,'RECIPE INDEX'!$B$6:$B$105,0))="","",INDEX('RECIPE INDEX'!$C$6:$C$105,MATCH($I79,'RECIPE INDEX'!$B$6:$B$105,0))),"")))</f>
      </c>
      <c r="K79" s="79"/>
      <c r="L79" s="82"/>
      <c r="M79" s="79"/>
      <c r="N79" s="79"/>
      <c r="O79" s="79"/>
      <c r="P79" s="79"/>
      <c r="Q79" s="86"/>
      <c r="R79" s="86"/>
      <c r="S79" s="78">
        <f>IF($B79="","",IF(OR($O79="Served",$O79="Dropped"),"DONE",IF($L79="",IF($C79="","NO DATE",IF($C79&lt;TODAY(),"OVERDUE","SCHEDULED")),IF($L79&lt;TODAY(),"PREP OVERDUE",IF($L79-TODAY()&lt;=7,"PREP THIS WEEK","SCHEDULED")))))</f>
      </c>
      <c r="T79" s="80"/>
      <c r="U79" s="78">
        <f>IF($B79="",0,IF(COUNTIF('MEAL + BAKING PLAN'!$B$6:$B$155,$B79)&gt;1,1,0))</f>
      </c>
      <c r="V79" s="78">
        <f>IF(OR(N($Q79)&gt;0,N($R79)&gt;0),IF($P79="",1,IF(COUNTIF('MASTER BUDGET'!$D$6:$D$25,$P79)=0,1,0)),0)</f>
      </c>
      <c r="W79" s="78">
        <f>IF($I79="",0,IF(COUNTIF('RECIPE INDEX'!$B$6:$B$105,$I79)=0,1,0))</f>
      </c>
      <c r="X79" s="75"/>
    </row>
    <row r="80" ht="17" customHeight="1" spans="1:24" x14ac:dyDescent="0.25">
      <c r="A80" s="75"/>
      <c r="B80" s="79"/>
      <c r="C80" s="82"/>
      <c r="D80" s="79"/>
      <c r="E80" s="80"/>
      <c r="F80" s="79"/>
      <c r="G80" s="90"/>
      <c r="H80" s="79"/>
      <c r="I80" s="79"/>
      <c r="J80" s="92">
        <f>IF($B80="","",IF($I80="","",IFERROR(IF(INDEX('RECIPE INDEX'!$C$6:$C$105,MATCH($I80,'RECIPE INDEX'!$B$6:$B$105,0))="","",INDEX('RECIPE INDEX'!$C$6:$C$105,MATCH($I80,'RECIPE INDEX'!$B$6:$B$105,0))),"")))</f>
      </c>
      <c r="K80" s="79"/>
      <c r="L80" s="82"/>
      <c r="M80" s="79"/>
      <c r="N80" s="79"/>
      <c r="O80" s="79"/>
      <c r="P80" s="79"/>
      <c r="Q80" s="86"/>
      <c r="R80" s="86"/>
      <c r="S80" s="78">
        <f>IF($B80="","",IF(OR($O80="Served",$O80="Dropped"),"DONE",IF($L80="",IF($C80="","NO DATE",IF($C80&lt;TODAY(),"OVERDUE","SCHEDULED")),IF($L80&lt;TODAY(),"PREP OVERDUE",IF($L80-TODAY()&lt;=7,"PREP THIS WEEK","SCHEDULED")))))</f>
      </c>
      <c r="T80" s="80"/>
      <c r="U80" s="78">
        <f>IF($B80="",0,IF(COUNTIF('MEAL + BAKING PLAN'!$B$6:$B$155,$B80)&gt;1,1,0))</f>
      </c>
      <c r="V80" s="78">
        <f>IF(OR(N($Q80)&gt;0,N($R80)&gt;0),IF($P80="",1,IF(COUNTIF('MASTER BUDGET'!$D$6:$D$25,$P80)=0,1,0)),0)</f>
      </c>
      <c r="W80" s="78">
        <f>IF($I80="",0,IF(COUNTIF('RECIPE INDEX'!$B$6:$B$105,$I80)=0,1,0))</f>
      </c>
      <c r="X80" s="75"/>
    </row>
    <row r="81" ht="17" customHeight="1" spans="1:24" x14ac:dyDescent="0.25">
      <c r="A81" s="75"/>
      <c r="B81" s="79"/>
      <c r="C81" s="82"/>
      <c r="D81" s="79"/>
      <c r="E81" s="80"/>
      <c r="F81" s="79"/>
      <c r="G81" s="90"/>
      <c r="H81" s="79"/>
      <c r="I81" s="79"/>
      <c r="J81" s="92">
        <f>IF($B81="","",IF($I81="","",IFERROR(IF(INDEX('RECIPE INDEX'!$C$6:$C$105,MATCH($I81,'RECIPE INDEX'!$B$6:$B$105,0))="","",INDEX('RECIPE INDEX'!$C$6:$C$105,MATCH($I81,'RECIPE INDEX'!$B$6:$B$105,0))),"")))</f>
      </c>
      <c r="K81" s="79"/>
      <c r="L81" s="82"/>
      <c r="M81" s="79"/>
      <c r="N81" s="79"/>
      <c r="O81" s="79"/>
      <c r="P81" s="79"/>
      <c r="Q81" s="86"/>
      <c r="R81" s="86"/>
      <c r="S81" s="78">
        <f>IF($B81="","",IF(OR($O81="Served",$O81="Dropped"),"DONE",IF($L81="",IF($C81="","NO DATE",IF($C81&lt;TODAY(),"OVERDUE","SCHEDULED")),IF($L81&lt;TODAY(),"PREP OVERDUE",IF($L81-TODAY()&lt;=7,"PREP THIS WEEK","SCHEDULED")))))</f>
      </c>
      <c r="T81" s="80"/>
      <c r="U81" s="78">
        <f>IF($B81="",0,IF(COUNTIF('MEAL + BAKING PLAN'!$B$6:$B$155,$B81)&gt;1,1,0))</f>
      </c>
      <c r="V81" s="78">
        <f>IF(OR(N($Q81)&gt;0,N($R81)&gt;0),IF($P81="",1,IF(COUNTIF('MASTER BUDGET'!$D$6:$D$25,$P81)=0,1,0)),0)</f>
      </c>
      <c r="W81" s="78">
        <f>IF($I81="",0,IF(COUNTIF('RECIPE INDEX'!$B$6:$B$105,$I81)=0,1,0))</f>
      </c>
      <c r="X81" s="75"/>
    </row>
    <row r="82" ht="17" customHeight="1" spans="1:24" x14ac:dyDescent="0.25">
      <c r="A82" s="75"/>
      <c r="B82" s="79"/>
      <c r="C82" s="82"/>
      <c r="D82" s="79"/>
      <c r="E82" s="80"/>
      <c r="F82" s="79"/>
      <c r="G82" s="90"/>
      <c r="H82" s="79"/>
      <c r="I82" s="79"/>
      <c r="J82" s="92">
        <f>IF($B82="","",IF($I82="","",IFERROR(IF(INDEX('RECIPE INDEX'!$C$6:$C$105,MATCH($I82,'RECIPE INDEX'!$B$6:$B$105,0))="","",INDEX('RECIPE INDEX'!$C$6:$C$105,MATCH($I82,'RECIPE INDEX'!$B$6:$B$105,0))),"")))</f>
      </c>
      <c r="K82" s="79"/>
      <c r="L82" s="82"/>
      <c r="M82" s="79"/>
      <c r="N82" s="79"/>
      <c r="O82" s="79"/>
      <c r="P82" s="79"/>
      <c r="Q82" s="86"/>
      <c r="R82" s="86"/>
      <c r="S82" s="78">
        <f>IF($B82="","",IF(OR($O82="Served",$O82="Dropped"),"DONE",IF($L82="",IF($C82="","NO DATE",IF($C82&lt;TODAY(),"OVERDUE","SCHEDULED")),IF($L82&lt;TODAY(),"PREP OVERDUE",IF($L82-TODAY()&lt;=7,"PREP THIS WEEK","SCHEDULED")))))</f>
      </c>
      <c r="T82" s="80"/>
      <c r="U82" s="78">
        <f>IF($B82="",0,IF(COUNTIF('MEAL + BAKING PLAN'!$B$6:$B$155,$B82)&gt;1,1,0))</f>
      </c>
      <c r="V82" s="78">
        <f>IF(OR(N($Q82)&gt;0,N($R82)&gt;0),IF($P82="",1,IF(COUNTIF('MASTER BUDGET'!$D$6:$D$25,$P82)=0,1,0)),0)</f>
      </c>
      <c r="W82" s="78">
        <f>IF($I82="",0,IF(COUNTIF('RECIPE INDEX'!$B$6:$B$105,$I82)=0,1,0))</f>
      </c>
      <c r="X82" s="75"/>
    </row>
    <row r="83" ht="17" customHeight="1" spans="1:24" x14ac:dyDescent="0.25">
      <c r="A83" s="75"/>
      <c r="B83" s="79"/>
      <c r="C83" s="82"/>
      <c r="D83" s="79"/>
      <c r="E83" s="80"/>
      <c r="F83" s="79"/>
      <c r="G83" s="90"/>
      <c r="H83" s="79"/>
      <c r="I83" s="79"/>
      <c r="J83" s="92">
        <f>IF($B83="","",IF($I83="","",IFERROR(IF(INDEX('RECIPE INDEX'!$C$6:$C$105,MATCH($I83,'RECIPE INDEX'!$B$6:$B$105,0))="","",INDEX('RECIPE INDEX'!$C$6:$C$105,MATCH($I83,'RECIPE INDEX'!$B$6:$B$105,0))),"")))</f>
      </c>
      <c r="K83" s="79"/>
      <c r="L83" s="82"/>
      <c r="M83" s="79"/>
      <c r="N83" s="79"/>
      <c r="O83" s="79"/>
      <c r="P83" s="79"/>
      <c r="Q83" s="86"/>
      <c r="R83" s="86"/>
      <c r="S83" s="78">
        <f>IF($B83="","",IF(OR($O83="Served",$O83="Dropped"),"DONE",IF($L83="",IF($C83="","NO DATE",IF($C83&lt;TODAY(),"OVERDUE","SCHEDULED")),IF($L83&lt;TODAY(),"PREP OVERDUE",IF($L83-TODAY()&lt;=7,"PREP THIS WEEK","SCHEDULED")))))</f>
      </c>
      <c r="T83" s="80"/>
      <c r="U83" s="78">
        <f>IF($B83="",0,IF(COUNTIF('MEAL + BAKING PLAN'!$B$6:$B$155,$B83)&gt;1,1,0))</f>
      </c>
      <c r="V83" s="78">
        <f>IF(OR(N($Q83)&gt;0,N($R83)&gt;0),IF($P83="",1,IF(COUNTIF('MASTER BUDGET'!$D$6:$D$25,$P83)=0,1,0)),0)</f>
      </c>
      <c r="W83" s="78">
        <f>IF($I83="",0,IF(COUNTIF('RECIPE INDEX'!$B$6:$B$105,$I83)=0,1,0))</f>
      </c>
      <c r="X83" s="75"/>
    </row>
    <row r="84" ht="17" customHeight="1" spans="1:24" x14ac:dyDescent="0.25">
      <c r="A84" s="75"/>
      <c r="B84" s="79"/>
      <c r="C84" s="82"/>
      <c r="D84" s="79"/>
      <c r="E84" s="80"/>
      <c r="F84" s="79"/>
      <c r="G84" s="90"/>
      <c r="H84" s="79"/>
      <c r="I84" s="79"/>
      <c r="J84" s="92">
        <f>IF($B84="","",IF($I84="","",IFERROR(IF(INDEX('RECIPE INDEX'!$C$6:$C$105,MATCH($I84,'RECIPE INDEX'!$B$6:$B$105,0))="","",INDEX('RECIPE INDEX'!$C$6:$C$105,MATCH($I84,'RECIPE INDEX'!$B$6:$B$105,0))),"")))</f>
      </c>
      <c r="K84" s="79"/>
      <c r="L84" s="82"/>
      <c r="M84" s="79"/>
      <c r="N84" s="79"/>
      <c r="O84" s="79"/>
      <c r="P84" s="79"/>
      <c r="Q84" s="86"/>
      <c r="R84" s="86"/>
      <c r="S84" s="78">
        <f>IF($B84="","",IF(OR($O84="Served",$O84="Dropped"),"DONE",IF($L84="",IF($C84="","NO DATE",IF($C84&lt;TODAY(),"OVERDUE","SCHEDULED")),IF($L84&lt;TODAY(),"PREP OVERDUE",IF($L84-TODAY()&lt;=7,"PREP THIS WEEK","SCHEDULED")))))</f>
      </c>
      <c r="T84" s="80"/>
      <c r="U84" s="78">
        <f>IF($B84="",0,IF(COUNTIF('MEAL + BAKING PLAN'!$B$6:$B$155,$B84)&gt;1,1,0))</f>
      </c>
      <c r="V84" s="78">
        <f>IF(OR(N($Q84)&gt;0,N($R84)&gt;0),IF($P84="",1,IF(COUNTIF('MASTER BUDGET'!$D$6:$D$25,$P84)=0,1,0)),0)</f>
      </c>
      <c r="W84" s="78">
        <f>IF($I84="",0,IF(COUNTIF('RECIPE INDEX'!$B$6:$B$105,$I84)=0,1,0))</f>
      </c>
      <c r="X84" s="75"/>
    </row>
    <row r="85" ht="17" customHeight="1" spans="1:24" x14ac:dyDescent="0.25">
      <c r="A85" s="75"/>
      <c r="B85" s="79"/>
      <c r="C85" s="82"/>
      <c r="D85" s="79"/>
      <c r="E85" s="80"/>
      <c r="F85" s="79"/>
      <c r="G85" s="90"/>
      <c r="H85" s="79"/>
      <c r="I85" s="79"/>
      <c r="J85" s="92">
        <f>IF($B85="","",IF($I85="","",IFERROR(IF(INDEX('RECIPE INDEX'!$C$6:$C$105,MATCH($I85,'RECIPE INDEX'!$B$6:$B$105,0))="","",INDEX('RECIPE INDEX'!$C$6:$C$105,MATCH($I85,'RECIPE INDEX'!$B$6:$B$105,0))),"")))</f>
      </c>
      <c r="K85" s="79"/>
      <c r="L85" s="82"/>
      <c r="M85" s="79"/>
      <c r="N85" s="79"/>
      <c r="O85" s="79"/>
      <c r="P85" s="79"/>
      <c r="Q85" s="86"/>
      <c r="R85" s="86"/>
      <c r="S85" s="78">
        <f>IF($B85="","",IF(OR($O85="Served",$O85="Dropped"),"DONE",IF($L85="",IF($C85="","NO DATE",IF($C85&lt;TODAY(),"OVERDUE","SCHEDULED")),IF($L85&lt;TODAY(),"PREP OVERDUE",IF($L85-TODAY()&lt;=7,"PREP THIS WEEK","SCHEDULED")))))</f>
      </c>
      <c r="T85" s="80"/>
      <c r="U85" s="78">
        <f>IF($B85="",0,IF(COUNTIF('MEAL + BAKING PLAN'!$B$6:$B$155,$B85)&gt;1,1,0))</f>
      </c>
      <c r="V85" s="78">
        <f>IF(OR(N($Q85)&gt;0,N($R85)&gt;0),IF($P85="",1,IF(COUNTIF('MASTER BUDGET'!$D$6:$D$25,$P85)=0,1,0)),0)</f>
      </c>
      <c r="W85" s="78">
        <f>IF($I85="",0,IF(COUNTIF('RECIPE INDEX'!$B$6:$B$105,$I85)=0,1,0))</f>
      </c>
      <c r="X85" s="75"/>
    </row>
    <row r="86" ht="17" customHeight="1" spans="1:24" x14ac:dyDescent="0.25">
      <c r="A86" s="75"/>
      <c r="B86" s="79"/>
      <c r="C86" s="82"/>
      <c r="D86" s="79"/>
      <c r="E86" s="80"/>
      <c r="F86" s="79"/>
      <c r="G86" s="90"/>
      <c r="H86" s="79"/>
      <c r="I86" s="79"/>
      <c r="J86" s="92">
        <f>IF($B86="","",IF($I86="","",IFERROR(IF(INDEX('RECIPE INDEX'!$C$6:$C$105,MATCH($I86,'RECIPE INDEX'!$B$6:$B$105,0))="","",INDEX('RECIPE INDEX'!$C$6:$C$105,MATCH($I86,'RECIPE INDEX'!$B$6:$B$105,0))),"")))</f>
      </c>
      <c r="K86" s="79"/>
      <c r="L86" s="82"/>
      <c r="M86" s="79"/>
      <c r="N86" s="79"/>
      <c r="O86" s="79"/>
      <c r="P86" s="79"/>
      <c r="Q86" s="86"/>
      <c r="R86" s="86"/>
      <c r="S86" s="78">
        <f>IF($B86="","",IF(OR($O86="Served",$O86="Dropped"),"DONE",IF($L86="",IF($C86="","NO DATE",IF($C86&lt;TODAY(),"OVERDUE","SCHEDULED")),IF($L86&lt;TODAY(),"PREP OVERDUE",IF($L86-TODAY()&lt;=7,"PREP THIS WEEK","SCHEDULED")))))</f>
      </c>
      <c r="T86" s="80"/>
      <c r="U86" s="78">
        <f>IF($B86="",0,IF(COUNTIF('MEAL + BAKING PLAN'!$B$6:$B$155,$B86)&gt;1,1,0))</f>
      </c>
      <c r="V86" s="78">
        <f>IF(OR(N($Q86)&gt;0,N($R86)&gt;0),IF($P86="",1,IF(COUNTIF('MASTER BUDGET'!$D$6:$D$25,$P86)=0,1,0)),0)</f>
      </c>
      <c r="W86" s="78">
        <f>IF($I86="",0,IF(COUNTIF('RECIPE INDEX'!$B$6:$B$105,$I86)=0,1,0))</f>
      </c>
      <c r="X86" s="75"/>
    </row>
    <row r="87" ht="17" customHeight="1" spans="1:24" x14ac:dyDescent="0.25">
      <c r="A87" s="75"/>
      <c r="B87" s="79"/>
      <c r="C87" s="82"/>
      <c r="D87" s="79"/>
      <c r="E87" s="80"/>
      <c r="F87" s="79"/>
      <c r="G87" s="90"/>
      <c r="H87" s="79"/>
      <c r="I87" s="79"/>
      <c r="J87" s="92">
        <f>IF($B87="","",IF($I87="","",IFERROR(IF(INDEX('RECIPE INDEX'!$C$6:$C$105,MATCH($I87,'RECIPE INDEX'!$B$6:$B$105,0))="","",INDEX('RECIPE INDEX'!$C$6:$C$105,MATCH($I87,'RECIPE INDEX'!$B$6:$B$105,0))),"")))</f>
      </c>
      <c r="K87" s="79"/>
      <c r="L87" s="82"/>
      <c r="M87" s="79"/>
      <c r="N87" s="79"/>
      <c r="O87" s="79"/>
      <c r="P87" s="79"/>
      <c r="Q87" s="86"/>
      <c r="R87" s="86"/>
      <c r="S87" s="78">
        <f>IF($B87="","",IF(OR($O87="Served",$O87="Dropped"),"DONE",IF($L87="",IF($C87="","NO DATE",IF($C87&lt;TODAY(),"OVERDUE","SCHEDULED")),IF($L87&lt;TODAY(),"PREP OVERDUE",IF($L87-TODAY()&lt;=7,"PREP THIS WEEK","SCHEDULED")))))</f>
      </c>
      <c r="T87" s="80"/>
      <c r="U87" s="78">
        <f>IF($B87="",0,IF(COUNTIF('MEAL + BAKING PLAN'!$B$6:$B$155,$B87)&gt;1,1,0))</f>
      </c>
      <c r="V87" s="78">
        <f>IF(OR(N($Q87)&gt;0,N($R87)&gt;0),IF($P87="",1,IF(COUNTIF('MASTER BUDGET'!$D$6:$D$25,$P87)=0,1,0)),0)</f>
      </c>
      <c r="W87" s="78">
        <f>IF($I87="",0,IF(COUNTIF('RECIPE INDEX'!$B$6:$B$105,$I87)=0,1,0))</f>
      </c>
      <c r="X87" s="75"/>
    </row>
    <row r="88" ht="17" customHeight="1" spans="1:24" x14ac:dyDescent="0.25">
      <c r="A88" s="75"/>
      <c r="B88" s="79"/>
      <c r="C88" s="82"/>
      <c r="D88" s="79"/>
      <c r="E88" s="80"/>
      <c r="F88" s="79"/>
      <c r="G88" s="90"/>
      <c r="H88" s="79"/>
      <c r="I88" s="79"/>
      <c r="J88" s="92">
        <f>IF($B88="","",IF($I88="","",IFERROR(IF(INDEX('RECIPE INDEX'!$C$6:$C$105,MATCH($I88,'RECIPE INDEX'!$B$6:$B$105,0))="","",INDEX('RECIPE INDEX'!$C$6:$C$105,MATCH($I88,'RECIPE INDEX'!$B$6:$B$105,0))),"")))</f>
      </c>
      <c r="K88" s="79"/>
      <c r="L88" s="82"/>
      <c r="M88" s="79"/>
      <c r="N88" s="79"/>
      <c r="O88" s="79"/>
      <c r="P88" s="79"/>
      <c r="Q88" s="86"/>
      <c r="R88" s="86"/>
      <c r="S88" s="78">
        <f>IF($B88="","",IF(OR($O88="Served",$O88="Dropped"),"DONE",IF($L88="",IF($C88="","NO DATE",IF($C88&lt;TODAY(),"OVERDUE","SCHEDULED")),IF($L88&lt;TODAY(),"PREP OVERDUE",IF($L88-TODAY()&lt;=7,"PREP THIS WEEK","SCHEDULED")))))</f>
      </c>
      <c r="T88" s="80"/>
      <c r="U88" s="78">
        <f>IF($B88="",0,IF(COUNTIF('MEAL + BAKING PLAN'!$B$6:$B$155,$B88)&gt;1,1,0))</f>
      </c>
      <c r="V88" s="78">
        <f>IF(OR(N($Q88)&gt;0,N($R88)&gt;0),IF($P88="",1,IF(COUNTIF('MASTER BUDGET'!$D$6:$D$25,$P88)=0,1,0)),0)</f>
      </c>
      <c r="W88" s="78">
        <f>IF($I88="",0,IF(COUNTIF('RECIPE INDEX'!$B$6:$B$105,$I88)=0,1,0))</f>
      </c>
      <c r="X88" s="75"/>
    </row>
    <row r="89" ht="17" customHeight="1" spans="1:24" x14ac:dyDescent="0.25">
      <c r="A89" s="75"/>
      <c r="B89" s="79"/>
      <c r="C89" s="82"/>
      <c r="D89" s="79"/>
      <c r="E89" s="80"/>
      <c r="F89" s="79"/>
      <c r="G89" s="90"/>
      <c r="H89" s="79"/>
      <c r="I89" s="79"/>
      <c r="J89" s="92">
        <f>IF($B89="","",IF($I89="","",IFERROR(IF(INDEX('RECIPE INDEX'!$C$6:$C$105,MATCH($I89,'RECIPE INDEX'!$B$6:$B$105,0))="","",INDEX('RECIPE INDEX'!$C$6:$C$105,MATCH($I89,'RECIPE INDEX'!$B$6:$B$105,0))),"")))</f>
      </c>
      <c r="K89" s="79"/>
      <c r="L89" s="82"/>
      <c r="M89" s="79"/>
      <c r="N89" s="79"/>
      <c r="O89" s="79"/>
      <c r="P89" s="79"/>
      <c r="Q89" s="86"/>
      <c r="R89" s="86"/>
      <c r="S89" s="78">
        <f>IF($B89="","",IF(OR($O89="Served",$O89="Dropped"),"DONE",IF($L89="",IF($C89="","NO DATE",IF($C89&lt;TODAY(),"OVERDUE","SCHEDULED")),IF($L89&lt;TODAY(),"PREP OVERDUE",IF($L89-TODAY()&lt;=7,"PREP THIS WEEK","SCHEDULED")))))</f>
      </c>
      <c r="T89" s="80"/>
      <c r="U89" s="78">
        <f>IF($B89="",0,IF(COUNTIF('MEAL + BAKING PLAN'!$B$6:$B$155,$B89)&gt;1,1,0))</f>
      </c>
      <c r="V89" s="78">
        <f>IF(OR(N($Q89)&gt;0,N($R89)&gt;0),IF($P89="",1,IF(COUNTIF('MASTER BUDGET'!$D$6:$D$25,$P89)=0,1,0)),0)</f>
      </c>
      <c r="W89" s="78">
        <f>IF($I89="",0,IF(COUNTIF('RECIPE INDEX'!$B$6:$B$105,$I89)=0,1,0))</f>
      </c>
      <c r="X89" s="75"/>
    </row>
    <row r="90" ht="17" customHeight="1" spans="1:24" x14ac:dyDescent="0.25">
      <c r="A90" s="75"/>
      <c r="B90" s="79"/>
      <c r="C90" s="82"/>
      <c r="D90" s="79"/>
      <c r="E90" s="80"/>
      <c r="F90" s="79"/>
      <c r="G90" s="90"/>
      <c r="H90" s="79"/>
      <c r="I90" s="79"/>
      <c r="J90" s="92">
        <f>IF($B90="","",IF($I90="","",IFERROR(IF(INDEX('RECIPE INDEX'!$C$6:$C$105,MATCH($I90,'RECIPE INDEX'!$B$6:$B$105,0))="","",INDEX('RECIPE INDEX'!$C$6:$C$105,MATCH($I90,'RECIPE INDEX'!$B$6:$B$105,0))),"")))</f>
      </c>
      <c r="K90" s="79"/>
      <c r="L90" s="82"/>
      <c r="M90" s="79"/>
      <c r="N90" s="79"/>
      <c r="O90" s="79"/>
      <c r="P90" s="79"/>
      <c r="Q90" s="86"/>
      <c r="R90" s="86"/>
      <c r="S90" s="78">
        <f>IF($B90="","",IF(OR($O90="Served",$O90="Dropped"),"DONE",IF($L90="",IF($C90="","NO DATE",IF($C90&lt;TODAY(),"OVERDUE","SCHEDULED")),IF($L90&lt;TODAY(),"PREP OVERDUE",IF($L90-TODAY()&lt;=7,"PREP THIS WEEK","SCHEDULED")))))</f>
      </c>
      <c r="T90" s="80"/>
      <c r="U90" s="78">
        <f>IF($B90="",0,IF(COUNTIF('MEAL + BAKING PLAN'!$B$6:$B$155,$B90)&gt;1,1,0))</f>
      </c>
      <c r="V90" s="78">
        <f>IF(OR(N($Q90)&gt;0,N($R90)&gt;0),IF($P90="",1,IF(COUNTIF('MASTER BUDGET'!$D$6:$D$25,$P90)=0,1,0)),0)</f>
      </c>
      <c r="W90" s="78">
        <f>IF($I90="",0,IF(COUNTIF('RECIPE INDEX'!$B$6:$B$105,$I90)=0,1,0))</f>
      </c>
      <c r="X90" s="75"/>
    </row>
    <row r="91" ht="17" customHeight="1" spans="1:24" x14ac:dyDescent="0.25">
      <c r="A91" s="75"/>
      <c r="B91" s="79"/>
      <c r="C91" s="82"/>
      <c r="D91" s="79"/>
      <c r="E91" s="80"/>
      <c r="F91" s="79"/>
      <c r="G91" s="90"/>
      <c r="H91" s="79"/>
      <c r="I91" s="79"/>
      <c r="J91" s="92">
        <f>IF($B91="","",IF($I91="","",IFERROR(IF(INDEX('RECIPE INDEX'!$C$6:$C$105,MATCH($I91,'RECIPE INDEX'!$B$6:$B$105,0))="","",INDEX('RECIPE INDEX'!$C$6:$C$105,MATCH($I91,'RECIPE INDEX'!$B$6:$B$105,0))),"")))</f>
      </c>
      <c r="K91" s="79"/>
      <c r="L91" s="82"/>
      <c r="M91" s="79"/>
      <c r="N91" s="79"/>
      <c r="O91" s="79"/>
      <c r="P91" s="79"/>
      <c r="Q91" s="86"/>
      <c r="R91" s="86"/>
      <c r="S91" s="78">
        <f>IF($B91="","",IF(OR($O91="Served",$O91="Dropped"),"DONE",IF($L91="",IF($C91="","NO DATE",IF($C91&lt;TODAY(),"OVERDUE","SCHEDULED")),IF($L91&lt;TODAY(),"PREP OVERDUE",IF($L91-TODAY()&lt;=7,"PREP THIS WEEK","SCHEDULED")))))</f>
      </c>
      <c r="T91" s="80"/>
      <c r="U91" s="78">
        <f>IF($B91="",0,IF(COUNTIF('MEAL + BAKING PLAN'!$B$6:$B$155,$B91)&gt;1,1,0))</f>
      </c>
      <c r="V91" s="78">
        <f>IF(OR(N($Q91)&gt;0,N($R91)&gt;0),IF($P91="",1,IF(COUNTIF('MASTER BUDGET'!$D$6:$D$25,$P91)=0,1,0)),0)</f>
      </c>
      <c r="W91" s="78">
        <f>IF($I91="",0,IF(COUNTIF('RECIPE INDEX'!$B$6:$B$105,$I91)=0,1,0))</f>
      </c>
      <c r="X91" s="75"/>
    </row>
    <row r="92" ht="17" customHeight="1" spans="1:24" x14ac:dyDescent="0.25">
      <c r="A92" s="75"/>
      <c r="B92" s="79"/>
      <c r="C92" s="82"/>
      <c r="D92" s="79"/>
      <c r="E92" s="80"/>
      <c r="F92" s="79"/>
      <c r="G92" s="90"/>
      <c r="H92" s="79"/>
      <c r="I92" s="79"/>
      <c r="J92" s="92">
        <f>IF($B92="","",IF($I92="","",IFERROR(IF(INDEX('RECIPE INDEX'!$C$6:$C$105,MATCH($I92,'RECIPE INDEX'!$B$6:$B$105,0))="","",INDEX('RECIPE INDEX'!$C$6:$C$105,MATCH($I92,'RECIPE INDEX'!$B$6:$B$105,0))),"")))</f>
      </c>
      <c r="K92" s="79"/>
      <c r="L92" s="82"/>
      <c r="M92" s="79"/>
      <c r="N92" s="79"/>
      <c r="O92" s="79"/>
      <c r="P92" s="79"/>
      <c r="Q92" s="86"/>
      <c r="R92" s="86"/>
      <c r="S92" s="78">
        <f>IF($B92="","",IF(OR($O92="Served",$O92="Dropped"),"DONE",IF($L92="",IF($C92="","NO DATE",IF($C92&lt;TODAY(),"OVERDUE","SCHEDULED")),IF($L92&lt;TODAY(),"PREP OVERDUE",IF($L92-TODAY()&lt;=7,"PREP THIS WEEK","SCHEDULED")))))</f>
      </c>
      <c r="T92" s="80"/>
      <c r="U92" s="78">
        <f>IF($B92="",0,IF(COUNTIF('MEAL + BAKING PLAN'!$B$6:$B$155,$B92)&gt;1,1,0))</f>
      </c>
      <c r="V92" s="78">
        <f>IF(OR(N($Q92)&gt;0,N($R92)&gt;0),IF($P92="",1,IF(COUNTIF('MASTER BUDGET'!$D$6:$D$25,$P92)=0,1,0)),0)</f>
      </c>
      <c r="W92" s="78">
        <f>IF($I92="",0,IF(COUNTIF('RECIPE INDEX'!$B$6:$B$105,$I92)=0,1,0))</f>
      </c>
      <c r="X92" s="75"/>
    </row>
    <row r="93" ht="17" customHeight="1" spans="1:24" x14ac:dyDescent="0.25">
      <c r="A93" s="75"/>
      <c r="B93" s="79"/>
      <c r="C93" s="82"/>
      <c r="D93" s="79"/>
      <c r="E93" s="80"/>
      <c r="F93" s="79"/>
      <c r="G93" s="90"/>
      <c r="H93" s="79"/>
      <c r="I93" s="79"/>
      <c r="J93" s="92">
        <f>IF($B93="","",IF($I93="","",IFERROR(IF(INDEX('RECIPE INDEX'!$C$6:$C$105,MATCH($I93,'RECIPE INDEX'!$B$6:$B$105,0))="","",INDEX('RECIPE INDEX'!$C$6:$C$105,MATCH($I93,'RECIPE INDEX'!$B$6:$B$105,0))),"")))</f>
      </c>
      <c r="K93" s="79"/>
      <c r="L93" s="82"/>
      <c r="M93" s="79"/>
      <c r="N93" s="79"/>
      <c r="O93" s="79"/>
      <c r="P93" s="79"/>
      <c r="Q93" s="86"/>
      <c r="R93" s="86"/>
      <c r="S93" s="78">
        <f>IF($B93="","",IF(OR($O93="Served",$O93="Dropped"),"DONE",IF($L93="",IF($C93="","NO DATE",IF($C93&lt;TODAY(),"OVERDUE","SCHEDULED")),IF($L93&lt;TODAY(),"PREP OVERDUE",IF($L93-TODAY()&lt;=7,"PREP THIS WEEK","SCHEDULED")))))</f>
      </c>
      <c r="T93" s="80"/>
      <c r="U93" s="78">
        <f>IF($B93="",0,IF(COUNTIF('MEAL + BAKING PLAN'!$B$6:$B$155,$B93)&gt;1,1,0))</f>
      </c>
      <c r="V93" s="78">
        <f>IF(OR(N($Q93)&gt;0,N($R93)&gt;0),IF($P93="",1,IF(COUNTIF('MASTER BUDGET'!$D$6:$D$25,$P93)=0,1,0)),0)</f>
      </c>
      <c r="W93" s="78">
        <f>IF($I93="",0,IF(COUNTIF('RECIPE INDEX'!$B$6:$B$105,$I93)=0,1,0))</f>
      </c>
      <c r="X93" s="75"/>
    </row>
    <row r="94" ht="17" customHeight="1" spans="1:24" x14ac:dyDescent="0.25">
      <c r="A94" s="75"/>
      <c r="B94" s="79"/>
      <c r="C94" s="82"/>
      <c r="D94" s="79"/>
      <c r="E94" s="80"/>
      <c r="F94" s="79"/>
      <c r="G94" s="90"/>
      <c r="H94" s="79"/>
      <c r="I94" s="79"/>
      <c r="J94" s="92">
        <f>IF($B94="","",IF($I94="","",IFERROR(IF(INDEX('RECIPE INDEX'!$C$6:$C$105,MATCH($I94,'RECIPE INDEX'!$B$6:$B$105,0))="","",INDEX('RECIPE INDEX'!$C$6:$C$105,MATCH($I94,'RECIPE INDEX'!$B$6:$B$105,0))),"")))</f>
      </c>
      <c r="K94" s="79"/>
      <c r="L94" s="82"/>
      <c r="M94" s="79"/>
      <c r="N94" s="79"/>
      <c r="O94" s="79"/>
      <c r="P94" s="79"/>
      <c r="Q94" s="86"/>
      <c r="R94" s="86"/>
      <c r="S94" s="78">
        <f>IF($B94="","",IF(OR($O94="Served",$O94="Dropped"),"DONE",IF($L94="",IF($C94="","NO DATE",IF($C94&lt;TODAY(),"OVERDUE","SCHEDULED")),IF($L94&lt;TODAY(),"PREP OVERDUE",IF($L94-TODAY()&lt;=7,"PREP THIS WEEK","SCHEDULED")))))</f>
      </c>
      <c r="T94" s="80"/>
      <c r="U94" s="78">
        <f>IF($B94="",0,IF(COUNTIF('MEAL + BAKING PLAN'!$B$6:$B$155,$B94)&gt;1,1,0))</f>
      </c>
      <c r="V94" s="78">
        <f>IF(OR(N($Q94)&gt;0,N($R94)&gt;0),IF($P94="",1,IF(COUNTIF('MASTER BUDGET'!$D$6:$D$25,$P94)=0,1,0)),0)</f>
      </c>
      <c r="W94" s="78">
        <f>IF($I94="",0,IF(COUNTIF('RECIPE INDEX'!$B$6:$B$105,$I94)=0,1,0))</f>
      </c>
      <c r="X94" s="75"/>
    </row>
    <row r="95" ht="17" customHeight="1" spans="1:24" x14ac:dyDescent="0.25">
      <c r="A95" s="75"/>
      <c r="B95" s="79"/>
      <c r="C95" s="82"/>
      <c r="D95" s="79"/>
      <c r="E95" s="80"/>
      <c r="F95" s="79"/>
      <c r="G95" s="90"/>
      <c r="H95" s="79"/>
      <c r="I95" s="79"/>
      <c r="J95" s="92">
        <f>IF($B95="","",IF($I95="","",IFERROR(IF(INDEX('RECIPE INDEX'!$C$6:$C$105,MATCH($I95,'RECIPE INDEX'!$B$6:$B$105,0))="","",INDEX('RECIPE INDEX'!$C$6:$C$105,MATCH($I95,'RECIPE INDEX'!$B$6:$B$105,0))),"")))</f>
      </c>
      <c r="K95" s="79"/>
      <c r="L95" s="82"/>
      <c r="M95" s="79"/>
      <c r="N95" s="79"/>
      <c r="O95" s="79"/>
      <c r="P95" s="79"/>
      <c r="Q95" s="86"/>
      <c r="R95" s="86"/>
      <c r="S95" s="78">
        <f>IF($B95="","",IF(OR($O95="Served",$O95="Dropped"),"DONE",IF($L95="",IF($C95="","NO DATE",IF($C95&lt;TODAY(),"OVERDUE","SCHEDULED")),IF($L95&lt;TODAY(),"PREP OVERDUE",IF($L95-TODAY()&lt;=7,"PREP THIS WEEK","SCHEDULED")))))</f>
      </c>
      <c r="T95" s="80"/>
      <c r="U95" s="78">
        <f>IF($B95="",0,IF(COUNTIF('MEAL + BAKING PLAN'!$B$6:$B$155,$B95)&gt;1,1,0))</f>
      </c>
      <c r="V95" s="78">
        <f>IF(OR(N($Q95)&gt;0,N($R95)&gt;0),IF($P95="",1,IF(COUNTIF('MASTER BUDGET'!$D$6:$D$25,$P95)=0,1,0)),0)</f>
      </c>
      <c r="W95" s="78">
        <f>IF($I95="",0,IF(COUNTIF('RECIPE INDEX'!$B$6:$B$105,$I95)=0,1,0))</f>
      </c>
      <c r="X95" s="75"/>
    </row>
    <row r="96" ht="17" customHeight="1" spans="1:24" x14ac:dyDescent="0.25">
      <c r="A96" s="75"/>
      <c r="B96" s="79"/>
      <c r="C96" s="82"/>
      <c r="D96" s="79"/>
      <c r="E96" s="80"/>
      <c r="F96" s="79"/>
      <c r="G96" s="90"/>
      <c r="H96" s="79"/>
      <c r="I96" s="79"/>
      <c r="J96" s="92">
        <f>IF($B96="","",IF($I96="","",IFERROR(IF(INDEX('RECIPE INDEX'!$C$6:$C$105,MATCH($I96,'RECIPE INDEX'!$B$6:$B$105,0))="","",INDEX('RECIPE INDEX'!$C$6:$C$105,MATCH($I96,'RECIPE INDEX'!$B$6:$B$105,0))),"")))</f>
      </c>
      <c r="K96" s="79"/>
      <c r="L96" s="82"/>
      <c r="M96" s="79"/>
      <c r="N96" s="79"/>
      <c r="O96" s="79"/>
      <c r="P96" s="79"/>
      <c r="Q96" s="86"/>
      <c r="R96" s="86"/>
      <c r="S96" s="78">
        <f>IF($B96="","",IF(OR($O96="Served",$O96="Dropped"),"DONE",IF($L96="",IF($C96="","NO DATE",IF($C96&lt;TODAY(),"OVERDUE","SCHEDULED")),IF($L96&lt;TODAY(),"PREP OVERDUE",IF($L96-TODAY()&lt;=7,"PREP THIS WEEK","SCHEDULED")))))</f>
      </c>
      <c r="T96" s="80"/>
      <c r="U96" s="78">
        <f>IF($B96="",0,IF(COUNTIF('MEAL + BAKING PLAN'!$B$6:$B$155,$B96)&gt;1,1,0))</f>
      </c>
      <c r="V96" s="78">
        <f>IF(OR(N($Q96)&gt;0,N($R96)&gt;0),IF($P96="",1,IF(COUNTIF('MASTER BUDGET'!$D$6:$D$25,$P96)=0,1,0)),0)</f>
      </c>
      <c r="W96" s="78">
        <f>IF($I96="",0,IF(COUNTIF('RECIPE INDEX'!$B$6:$B$105,$I96)=0,1,0))</f>
      </c>
      <c r="X96" s="75"/>
    </row>
    <row r="97" ht="17" customHeight="1" spans="1:24" x14ac:dyDescent="0.25">
      <c r="A97" s="75"/>
      <c r="B97" s="79"/>
      <c r="C97" s="82"/>
      <c r="D97" s="79"/>
      <c r="E97" s="80"/>
      <c r="F97" s="79"/>
      <c r="G97" s="90"/>
      <c r="H97" s="79"/>
      <c r="I97" s="79"/>
      <c r="J97" s="92">
        <f>IF($B97="","",IF($I97="","",IFERROR(IF(INDEX('RECIPE INDEX'!$C$6:$C$105,MATCH($I97,'RECIPE INDEX'!$B$6:$B$105,0))="","",INDEX('RECIPE INDEX'!$C$6:$C$105,MATCH($I97,'RECIPE INDEX'!$B$6:$B$105,0))),"")))</f>
      </c>
      <c r="K97" s="79"/>
      <c r="L97" s="82"/>
      <c r="M97" s="79"/>
      <c r="N97" s="79"/>
      <c r="O97" s="79"/>
      <c r="P97" s="79"/>
      <c r="Q97" s="86"/>
      <c r="R97" s="86"/>
      <c r="S97" s="78">
        <f>IF($B97="","",IF(OR($O97="Served",$O97="Dropped"),"DONE",IF($L97="",IF($C97="","NO DATE",IF($C97&lt;TODAY(),"OVERDUE","SCHEDULED")),IF($L97&lt;TODAY(),"PREP OVERDUE",IF($L97-TODAY()&lt;=7,"PREP THIS WEEK","SCHEDULED")))))</f>
      </c>
      <c r="T97" s="80"/>
      <c r="U97" s="78">
        <f>IF($B97="",0,IF(COUNTIF('MEAL + BAKING PLAN'!$B$6:$B$155,$B97)&gt;1,1,0))</f>
      </c>
      <c r="V97" s="78">
        <f>IF(OR(N($Q97)&gt;0,N($R97)&gt;0),IF($P97="",1,IF(COUNTIF('MASTER BUDGET'!$D$6:$D$25,$P97)=0,1,0)),0)</f>
      </c>
      <c r="W97" s="78">
        <f>IF($I97="",0,IF(COUNTIF('RECIPE INDEX'!$B$6:$B$105,$I97)=0,1,0))</f>
      </c>
      <c r="X97" s="75"/>
    </row>
    <row r="98" ht="17" customHeight="1" spans="1:24" x14ac:dyDescent="0.25">
      <c r="A98" s="75"/>
      <c r="B98" s="79"/>
      <c r="C98" s="82"/>
      <c r="D98" s="79"/>
      <c r="E98" s="80"/>
      <c r="F98" s="79"/>
      <c r="G98" s="90"/>
      <c r="H98" s="79"/>
      <c r="I98" s="79"/>
      <c r="J98" s="92">
        <f>IF($B98="","",IF($I98="","",IFERROR(IF(INDEX('RECIPE INDEX'!$C$6:$C$105,MATCH($I98,'RECIPE INDEX'!$B$6:$B$105,0))="","",INDEX('RECIPE INDEX'!$C$6:$C$105,MATCH($I98,'RECIPE INDEX'!$B$6:$B$105,0))),"")))</f>
      </c>
      <c r="K98" s="79"/>
      <c r="L98" s="82"/>
      <c r="M98" s="79"/>
      <c r="N98" s="79"/>
      <c r="O98" s="79"/>
      <c r="P98" s="79"/>
      <c r="Q98" s="86"/>
      <c r="R98" s="86"/>
      <c r="S98" s="78">
        <f>IF($B98="","",IF(OR($O98="Served",$O98="Dropped"),"DONE",IF($L98="",IF($C98="","NO DATE",IF($C98&lt;TODAY(),"OVERDUE","SCHEDULED")),IF($L98&lt;TODAY(),"PREP OVERDUE",IF($L98-TODAY()&lt;=7,"PREP THIS WEEK","SCHEDULED")))))</f>
      </c>
      <c r="T98" s="80"/>
      <c r="U98" s="78">
        <f>IF($B98="",0,IF(COUNTIF('MEAL + BAKING PLAN'!$B$6:$B$155,$B98)&gt;1,1,0))</f>
      </c>
      <c r="V98" s="78">
        <f>IF(OR(N($Q98)&gt;0,N($R98)&gt;0),IF($P98="",1,IF(COUNTIF('MASTER BUDGET'!$D$6:$D$25,$P98)=0,1,0)),0)</f>
      </c>
      <c r="W98" s="78">
        <f>IF($I98="",0,IF(COUNTIF('RECIPE INDEX'!$B$6:$B$105,$I98)=0,1,0))</f>
      </c>
      <c r="X98" s="75"/>
    </row>
    <row r="99" ht="17" customHeight="1" spans="1:24" x14ac:dyDescent="0.25">
      <c r="A99" s="75"/>
      <c r="B99" s="79"/>
      <c r="C99" s="82"/>
      <c r="D99" s="79"/>
      <c r="E99" s="80"/>
      <c r="F99" s="79"/>
      <c r="G99" s="90"/>
      <c r="H99" s="79"/>
      <c r="I99" s="79"/>
      <c r="J99" s="92">
        <f>IF($B99="","",IF($I99="","",IFERROR(IF(INDEX('RECIPE INDEX'!$C$6:$C$105,MATCH($I99,'RECIPE INDEX'!$B$6:$B$105,0))="","",INDEX('RECIPE INDEX'!$C$6:$C$105,MATCH($I99,'RECIPE INDEX'!$B$6:$B$105,0))),"")))</f>
      </c>
      <c r="K99" s="79"/>
      <c r="L99" s="82"/>
      <c r="M99" s="79"/>
      <c r="N99" s="79"/>
      <c r="O99" s="79"/>
      <c r="P99" s="79"/>
      <c r="Q99" s="86"/>
      <c r="R99" s="86"/>
      <c r="S99" s="78">
        <f>IF($B99="","",IF(OR($O99="Served",$O99="Dropped"),"DONE",IF($L99="",IF($C99="","NO DATE",IF($C99&lt;TODAY(),"OVERDUE","SCHEDULED")),IF($L99&lt;TODAY(),"PREP OVERDUE",IF($L99-TODAY()&lt;=7,"PREP THIS WEEK","SCHEDULED")))))</f>
      </c>
      <c r="T99" s="80"/>
      <c r="U99" s="78">
        <f>IF($B99="",0,IF(COUNTIF('MEAL + BAKING PLAN'!$B$6:$B$155,$B99)&gt;1,1,0))</f>
      </c>
      <c r="V99" s="78">
        <f>IF(OR(N($Q99)&gt;0,N($R99)&gt;0),IF($P99="",1,IF(COUNTIF('MASTER BUDGET'!$D$6:$D$25,$P99)=0,1,0)),0)</f>
      </c>
      <c r="W99" s="78">
        <f>IF($I99="",0,IF(COUNTIF('RECIPE INDEX'!$B$6:$B$105,$I99)=0,1,0))</f>
      </c>
      <c r="X99" s="75"/>
    </row>
    <row r="100" ht="17" customHeight="1" spans="1:24" x14ac:dyDescent="0.25">
      <c r="A100" s="75"/>
      <c r="B100" s="79"/>
      <c r="C100" s="82"/>
      <c r="D100" s="79"/>
      <c r="E100" s="80"/>
      <c r="F100" s="79"/>
      <c r="G100" s="90"/>
      <c r="H100" s="79"/>
      <c r="I100" s="79"/>
      <c r="J100" s="92">
        <f>IF($B100="","",IF($I100="","",IFERROR(IF(INDEX('RECIPE INDEX'!$C$6:$C$105,MATCH($I100,'RECIPE INDEX'!$B$6:$B$105,0))="","",INDEX('RECIPE INDEX'!$C$6:$C$105,MATCH($I100,'RECIPE INDEX'!$B$6:$B$105,0))),"")))</f>
      </c>
      <c r="K100" s="79"/>
      <c r="L100" s="82"/>
      <c r="M100" s="79"/>
      <c r="N100" s="79"/>
      <c r="O100" s="79"/>
      <c r="P100" s="79"/>
      <c r="Q100" s="86"/>
      <c r="R100" s="86"/>
      <c r="S100" s="78">
        <f>IF($B100="","",IF(OR($O100="Served",$O100="Dropped"),"DONE",IF($L100="",IF($C100="","NO DATE",IF($C100&lt;TODAY(),"OVERDUE","SCHEDULED")),IF($L100&lt;TODAY(),"PREP OVERDUE",IF($L100-TODAY()&lt;=7,"PREP THIS WEEK","SCHEDULED")))))</f>
      </c>
      <c r="T100" s="80"/>
      <c r="U100" s="78">
        <f>IF($B100="",0,IF(COUNTIF('MEAL + BAKING PLAN'!$B$6:$B$155,$B100)&gt;1,1,0))</f>
      </c>
      <c r="V100" s="78">
        <f>IF(OR(N($Q100)&gt;0,N($R100)&gt;0),IF($P100="",1,IF(COUNTIF('MASTER BUDGET'!$D$6:$D$25,$P100)=0,1,0)),0)</f>
      </c>
      <c r="W100" s="78">
        <f>IF($I100="",0,IF(COUNTIF('RECIPE INDEX'!$B$6:$B$105,$I100)=0,1,0))</f>
      </c>
      <c r="X100" s="75"/>
    </row>
    <row r="101" ht="17" customHeight="1" spans="1:24" x14ac:dyDescent="0.25">
      <c r="A101" s="75"/>
      <c r="B101" s="79"/>
      <c r="C101" s="82"/>
      <c r="D101" s="79"/>
      <c r="E101" s="80"/>
      <c r="F101" s="79"/>
      <c r="G101" s="90"/>
      <c r="H101" s="79"/>
      <c r="I101" s="79"/>
      <c r="J101" s="92">
        <f>IF($B101="","",IF($I101="","",IFERROR(IF(INDEX('RECIPE INDEX'!$C$6:$C$105,MATCH($I101,'RECIPE INDEX'!$B$6:$B$105,0))="","",INDEX('RECIPE INDEX'!$C$6:$C$105,MATCH($I101,'RECIPE INDEX'!$B$6:$B$105,0))),"")))</f>
      </c>
      <c r="K101" s="79"/>
      <c r="L101" s="82"/>
      <c r="M101" s="79"/>
      <c r="N101" s="79"/>
      <c r="O101" s="79"/>
      <c r="P101" s="79"/>
      <c r="Q101" s="86"/>
      <c r="R101" s="86"/>
      <c r="S101" s="78">
        <f>IF($B101="","",IF(OR($O101="Served",$O101="Dropped"),"DONE",IF($L101="",IF($C101="","NO DATE",IF($C101&lt;TODAY(),"OVERDUE","SCHEDULED")),IF($L101&lt;TODAY(),"PREP OVERDUE",IF($L101-TODAY()&lt;=7,"PREP THIS WEEK","SCHEDULED")))))</f>
      </c>
      <c r="T101" s="80"/>
      <c r="U101" s="78">
        <f>IF($B101="",0,IF(COUNTIF('MEAL + BAKING PLAN'!$B$6:$B$155,$B101)&gt;1,1,0))</f>
      </c>
      <c r="V101" s="78">
        <f>IF(OR(N($Q101)&gt;0,N($R101)&gt;0),IF($P101="",1,IF(COUNTIF('MASTER BUDGET'!$D$6:$D$25,$P101)=0,1,0)),0)</f>
      </c>
      <c r="W101" s="78">
        <f>IF($I101="",0,IF(COUNTIF('RECIPE INDEX'!$B$6:$B$105,$I101)=0,1,0))</f>
      </c>
      <c r="X101" s="75"/>
    </row>
    <row r="102" ht="17" customHeight="1" spans="1:24" x14ac:dyDescent="0.25">
      <c r="A102" s="75"/>
      <c r="B102" s="79"/>
      <c r="C102" s="82"/>
      <c r="D102" s="79"/>
      <c r="E102" s="80"/>
      <c r="F102" s="79"/>
      <c r="G102" s="90"/>
      <c r="H102" s="79"/>
      <c r="I102" s="79"/>
      <c r="J102" s="92">
        <f>IF($B102="","",IF($I102="","",IFERROR(IF(INDEX('RECIPE INDEX'!$C$6:$C$105,MATCH($I102,'RECIPE INDEX'!$B$6:$B$105,0))="","",INDEX('RECIPE INDEX'!$C$6:$C$105,MATCH($I102,'RECIPE INDEX'!$B$6:$B$105,0))),"")))</f>
      </c>
      <c r="K102" s="79"/>
      <c r="L102" s="82"/>
      <c r="M102" s="79"/>
      <c r="N102" s="79"/>
      <c r="O102" s="79"/>
      <c r="P102" s="79"/>
      <c r="Q102" s="86"/>
      <c r="R102" s="86"/>
      <c r="S102" s="78">
        <f>IF($B102="","",IF(OR($O102="Served",$O102="Dropped"),"DONE",IF($L102="",IF($C102="","NO DATE",IF($C102&lt;TODAY(),"OVERDUE","SCHEDULED")),IF($L102&lt;TODAY(),"PREP OVERDUE",IF($L102-TODAY()&lt;=7,"PREP THIS WEEK","SCHEDULED")))))</f>
      </c>
      <c r="T102" s="80"/>
      <c r="U102" s="78">
        <f>IF($B102="",0,IF(COUNTIF('MEAL + BAKING PLAN'!$B$6:$B$155,$B102)&gt;1,1,0))</f>
      </c>
      <c r="V102" s="78">
        <f>IF(OR(N($Q102)&gt;0,N($R102)&gt;0),IF($P102="",1,IF(COUNTIF('MASTER BUDGET'!$D$6:$D$25,$P102)=0,1,0)),0)</f>
      </c>
      <c r="W102" s="78">
        <f>IF($I102="",0,IF(COUNTIF('RECIPE INDEX'!$B$6:$B$105,$I102)=0,1,0))</f>
      </c>
      <c r="X102" s="75"/>
    </row>
    <row r="103" ht="17" customHeight="1" spans="1:24" x14ac:dyDescent="0.25">
      <c r="A103" s="75"/>
      <c r="B103" s="79"/>
      <c r="C103" s="82"/>
      <c r="D103" s="79"/>
      <c r="E103" s="80"/>
      <c r="F103" s="79"/>
      <c r="G103" s="90"/>
      <c r="H103" s="79"/>
      <c r="I103" s="79"/>
      <c r="J103" s="92">
        <f>IF($B103="","",IF($I103="","",IFERROR(IF(INDEX('RECIPE INDEX'!$C$6:$C$105,MATCH($I103,'RECIPE INDEX'!$B$6:$B$105,0))="","",INDEX('RECIPE INDEX'!$C$6:$C$105,MATCH($I103,'RECIPE INDEX'!$B$6:$B$105,0))),"")))</f>
      </c>
      <c r="K103" s="79"/>
      <c r="L103" s="82"/>
      <c r="M103" s="79"/>
      <c r="N103" s="79"/>
      <c r="O103" s="79"/>
      <c r="P103" s="79"/>
      <c r="Q103" s="86"/>
      <c r="R103" s="86"/>
      <c r="S103" s="78">
        <f>IF($B103="","",IF(OR($O103="Served",$O103="Dropped"),"DONE",IF($L103="",IF($C103="","NO DATE",IF($C103&lt;TODAY(),"OVERDUE","SCHEDULED")),IF($L103&lt;TODAY(),"PREP OVERDUE",IF($L103-TODAY()&lt;=7,"PREP THIS WEEK","SCHEDULED")))))</f>
      </c>
      <c r="T103" s="80"/>
      <c r="U103" s="78">
        <f>IF($B103="",0,IF(COUNTIF('MEAL + BAKING PLAN'!$B$6:$B$155,$B103)&gt;1,1,0))</f>
      </c>
      <c r="V103" s="78">
        <f>IF(OR(N($Q103)&gt;0,N($R103)&gt;0),IF($P103="",1,IF(COUNTIF('MASTER BUDGET'!$D$6:$D$25,$P103)=0,1,0)),0)</f>
      </c>
      <c r="W103" s="78">
        <f>IF($I103="",0,IF(COUNTIF('RECIPE INDEX'!$B$6:$B$105,$I103)=0,1,0))</f>
      </c>
      <c r="X103" s="75"/>
    </row>
    <row r="104" ht="17" customHeight="1" spans="1:24" x14ac:dyDescent="0.25">
      <c r="A104" s="75"/>
      <c r="B104" s="79"/>
      <c r="C104" s="82"/>
      <c r="D104" s="79"/>
      <c r="E104" s="80"/>
      <c r="F104" s="79"/>
      <c r="G104" s="90"/>
      <c r="H104" s="79"/>
      <c r="I104" s="79"/>
      <c r="J104" s="92">
        <f>IF($B104="","",IF($I104="","",IFERROR(IF(INDEX('RECIPE INDEX'!$C$6:$C$105,MATCH($I104,'RECIPE INDEX'!$B$6:$B$105,0))="","",INDEX('RECIPE INDEX'!$C$6:$C$105,MATCH($I104,'RECIPE INDEX'!$B$6:$B$105,0))),"")))</f>
      </c>
      <c r="K104" s="79"/>
      <c r="L104" s="82"/>
      <c r="M104" s="79"/>
      <c r="N104" s="79"/>
      <c r="O104" s="79"/>
      <c r="P104" s="79"/>
      <c r="Q104" s="86"/>
      <c r="R104" s="86"/>
      <c r="S104" s="78">
        <f>IF($B104="","",IF(OR($O104="Served",$O104="Dropped"),"DONE",IF($L104="",IF($C104="","NO DATE",IF($C104&lt;TODAY(),"OVERDUE","SCHEDULED")),IF($L104&lt;TODAY(),"PREP OVERDUE",IF($L104-TODAY()&lt;=7,"PREP THIS WEEK","SCHEDULED")))))</f>
      </c>
      <c r="T104" s="80"/>
      <c r="U104" s="78">
        <f>IF($B104="",0,IF(COUNTIF('MEAL + BAKING PLAN'!$B$6:$B$155,$B104)&gt;1,1,0))</f>
      </c>
      <c r="V104" s="78">
        <f>IF(OR(N($Q104)&gt;0,N($R104)&gt;0),IF($P104="",1,IF(COUNTIF('MASTER BUDGET'!$D$6:$D$25,$P104)=0,1,0)),0)</f>
      </c>
      <c r="W104" s="78">
        <f>IF($I104="",0,IF(COUNTIF('RECIPE INDEX'!$B$6:$B$105,$I104)=0,1,0))</f>
      </c>
      <c r="X104" s="75"/>
    </row>
    <row r="105" ht="17" customHeight="1" spans="1:24" x14ac:dyDescent="0.25">
      <c r="A105" s="75"/>
      <c r="B105" s="79"/>
      <c r="C105" s="82"/>
      <c r="D105" s="79"/>
      <c r="E105" s="80"/>
      <c r="F105" s="79"/>
      <c r="G105" s="90"/>
      <c r="H105" s="79"/>
      <c r="I105" s="79"/>
      <c r="J105" s="92">
        <f>IF($B105="","",IF($I105="","",IFERROR(IF(INDEX('RECIPE INDEX'!$C$6:$C$105,MATCH($I105,'RECIPE INDEX'!$B$6:$B$105,0))="","",INDEX('RECIPE INDEX'!$C$6:$C$105,MATCH($I105,'RECIPE INDEX'!$B$6:$B$105,0))),"")))</f>
      </c>
      <c r="K105" s="79"/>
      <c r="L105" s="82"/>
      <c r="M105" s="79"/>
      <c r="N105" s="79"/>
      <c r="O105" s="79"/>
      <c r="P105" s="79"/>
      <c r="Q105" s="86"/>
      <c r="R105" s="86"/>
      <c r="S105" s="78">
        <f>IF($B105="","",IF(OR($O105="Served",$O105="Dropped"),"DONE",IF($L105="",IF($C105="","NO DATE",IF($C105&lt;TODAY(),"OVERDUE","SCHEDULED")),IF($L105&lt;TODAY(),"PREP OVERDUE",IF($L105-TODAY()&lt;=7,"PREP THIS WEEK","SCHEDULED")))))</f>
      </c>
      <c r="T105" s="80"/>
      <c r="U105" s="78">
        <f>IF($B105="",0,IF(COUNTIF('MEAL + BAKING PLAN'!$B$6:$B$155,$B105)&gt;1,1,0))</f>
      </c>
      <c r="V105" s="78">
        <f>IF(OR(N($Q105)&gt;0,N($R105)&gt;0),IF($P105="",1,IF(COUNTIF('MASTER BUDGET'!$D$6:$D$25,$P105)=0,1,0)),0)</f>
      </c>
      <c r="W105" s="78">
        <f>IF($I105="",0,IF(COUNTIF('RECIPE INDEX'!$B$6:$B$105,$I105)=0,1,0))</f>
      </c>
      <c r="X105" s="75"/>
    </row>
    <row r="106" ht="17" customHeight="1" spans="1:24" x14ac:dyDescent="0.25">
      <c r="A106" s="75"/>
      <c r="B106" s="79"/>
      <c r="C106" s="82"/>
      <c r="D106" s="79"/>
      <c r="E106" s="80"/>
      <c r="F106" s="79"/>
      <c r="G106" s="90"/>
      <c r="H106" s="79"/>
      <c r="I106" s="79"/>
      <c r="J106" s="92">
        <f>IF($B106="","",IF($I106="","",IFERROR(IF(INDEX('RECIPE INDEX'!$C$6:$C$105,MATCH($I106,'RECIPE INDEX'!$B$6:$B$105,0))="","",INDEX('RECIPE INDEX'!$C$6:$C$105,MATCH($I106,'RECIPE INDEX'!$B$6:$B$105,0))),"")))</f>
      </c>
      <c r="K106" s="79"/>
      <c r="L106" s="82"/>
      <c r="M106" s="79"/>
      <c r="N106" s="79"/>
      <c r="O106" s="79"/>
      <c r="P106" s="79"/>
      <c r="Q106" s="86"/>
      <c r="R106" s="86"/>
      <c r="S106" s="78">
        <f>IF($B106="","",IF(OR($O106="Served",$O106="Dropped"),"DONE",IF($L106="",IF($C106="","NO DATE",IF($C106&lt;TODAY(),"OVERDUE","SCHEDULED")),IF($L106&lt;TODAY(),"PREP OVERDUE",IF($L106-TODAY()&lt;=7,"PREP THIS WEEK","SCHEDULED")))))</f>
      </c>
      <c r="T106" s="80"/>
      <c r="U106" s="78">
        <f>IF($B106="",0,IF(COUNTIF('MEAL + BAKING PLAN'!$B$6:$B$155,$B106)&gt;1,1,0))</f>
      </c>
      <c r="V106" s="78">
        <f>IF(OR(N($Q106)&gt;0,N($R106)&gt;0),IF($P106="",1,IF(COUNTIF('MASTER BUDGET'!$D$6:$D$25,$P106)=0,1,0)),0)</f>
      </c>
      <c r="W106" s="78">
        <f>IF($I106="",0,IF(COUNTIF('RECIPE INDEX'!$B$6:$B$105,$I106)=0,1,0))</f>
      </c>
      <c r="X106" s="75"/>
    </row>
    <row r="107" ht="17" customHeight="1" spans="1:24" x14ac:dyDescent="0.25">
      <c r="A107" s="75"/>
      <c r="B107" s="79"/>
      <c r="C107" s="82"/>
      <c r="D107" s="79"/>
      <c r="E107" s="80"/>
      <c r="F107" s="79"/>
      <c r="G107" s="90"/>
      <c r="H107" s="79"/>
      <c r="I107" s="79"/>
      <c r="J107" s="92">
        <f>IF($B107="","",IF($I107="","",IFERROR(IF(INDEX('RECIPE INDEX'!$C$6:$C$105,MATCH($I107,'RECIPE INDEX'!$B$6:$B$105,0))="","",INDEX('RECIPE INDEX'!$C$6:$C$105,MATCH($I107,'RECIPE INDEX'!$B$6:$B$105,0))),"")))</f>
      </c>
      <c r="K107" s="79"/>
      <c r="L107" s="82"/>
      <c r="M107" s="79"/>
      <c r="N107" s="79"/>
      <c r="O107" s="79"/>
      <c r="P107" s="79"/>
      <c r="Q107" s="86"/>
      <c r="R107" s="86"/>
      <c r="S107" s="78">
        <f>IF($B107="","",IF(OR($O107="Served",$O107="Dropped"),"DONE",IF($L107="",IF($C107="","NO DATE",IF($C107&lt;TODAY(),"OVERDUE","SCHEDULED")),IF($L107&lt;TODAY(),"PREP OVERDUE",IF($L107-TODAY()&lt;=7,"PREP THIS WEEK","SCHEDULED")))))</f>
      </c>
      <c r="T107" s="80"/>
      <c r="U107" s="78">
        <f>IF($B107="",0,IF(COUNTIF('MEAL + BAKING PLAN'!$B$6:$B$155,$B107)&gt;1,1,0))</f>
      </c>
      <c r="V107" s="78">
        <f>IF(OR(N($Q107)&gt;0,N($R107)&gt;0),IF($P107="",1,IF(COUNTIF('MASTER BUDGET'!$D$6:$D$25,$P107)=0,1,0)),0)</f>
      </c>
      <c r="W107" s="78">
        <f>IF($I107="",0,IF(COUNTIF('RECIPE INDEX'!$B$6:$B$105,$I107)=0,1,0))</f>
      </c>
      <c r="X107" s="75"/>
    </row>
    <row r="108" ht="17" customHeight="1" spans="1:24" x14ac:dyDescent="0.25">
      <c r="A108" s="75"/>
      <c r="B108" s="79"/>
      <c r="C108" s="82"/>
      <c r="D108" s="79"/>
      <c r="E108" s="80"/>
      <c r="F108" s="79"/>
      <c r="G108" s="90"/>
      <c r="H108" s="79"/>
      <c r="I108" s="79"/>
      <c r="J108" s="92">
        <f>IF($B108="","",IF($I108="","",IFERROR(IF(INDEX('RECIPE INDEX'!$C$6:$C$105,MATCH($I108,'RECIPE INDEX'!$B$6:$B$105,0))="","",INDEX('RECIPE INDEX'!$C$6:$C$105,MATCH($I108,'RECIPE INDEX'!$B$6:$B$105,0))),"")))</f>
      </c>
      <c r="K108" s="79"/>
      <c r="L108" s="82"/>
      <c r="M108" s="79"/>
      <c r="N108" s="79"/>
      <c r="O108" s="79"/>
      <c r="P108" s="79"/>
      <c r="Q108" s="86"/>
      <c r="R108" s="86"/>
      <c r="S108" s="78">
        <f>IF($B108="","",IF(OR($O108="Served",$O108="Dropped"),"DONE",IF($L108="",IF($C108="","NO DATE",IF($C108&lt;TODAY(),"OVERDUE","SCHEDULED")),IF($L108&lt;TODAY(),"PREP OVERDUE",IF($L108-TODAY()&lt;=7,"PREP THIS WEEK","SCHEDULED")))))</f>
      </c>
      <c r="T108" s="80"/>
      <c r="U108" s="78">
        <f>IF($B108="",0,IF(COUNTIF('MEAL + BAKING PLAN'!$B$6:$B$155,$B108)&gt;1,1,0))</f>
      </c>
      <c r="V108" s="78">
        <f>IF(OR(N($Q108)&gt;0,N($R108)&gt;0),IF($P108="",1,IF(COUNTIF('MASTER BUDGET'!$D$6:$D$25,$P108)=0,1,0)),0)</f>
      </c>
      <c r="W108" s="78">
        <f>IF($I108="",0,IF(COUNTIF('RECIPE INDEX'!$B$6:$B$105,$I108)=0,1,0))</f>
      </c>
      <c r="X108" s="75"/>
    </row>
    <row r="109" ht="17" customHeight="1" spans="1:24" x14ac:dyDescent="0.25">
      <c r="A109" s="75"/>
      <c r="B109" s="79"/>
      <c r="C109" s="82"/>
      <c r="D109" s="79"/>
      <c r="E109" s="80"/>
      <c r="F109" s="79"/>
      <c r="G109" s="90"/>
      <c r="H109" s="79"/>
      <c r="I109" s="79"/>
      <c r="J109" s="92">
        <f>IF($B109="","",IF($I109="","",IFERROR(IF(INDEX('RECIPE INDEX'!$C$6:$C$105,MATCH($I109,'RECIPE INDEX'!$B$6:$B$105,0))="","",INDEX('RECIPE INDEX'!$C$6:$C$105,MATCH($I109,'RECIPE INDEX'!$B$6:$B$105,0))),"")))</f>
      </c>
      <c r="K109" s="79"/>
      <c r="L109" s="82"/>
      <c r="M109" s="79"/>
      <c r="N109" s="79"/>
      <c r="O109" s="79"/>
      <c r="P109" s="79"/>
      <c r="Q109" s="86"/>
      <c r="R109" s="86"/>
      <c r="S109" s="78">
        <f>IF($B109="","",IF(OR($O109="Served",$O109="Dropped"),"DONE",IF($L109="",IF($C109="","NO DATE",IF($C109&lt;TODAY(),"OVERDUE","SCHEDULED")),IF($L109&lt;TODAY(),"PREP OVERDUE",IF($L109-TODAY()&lt;=7,"PREP THIS WEEK","SCHEDULED")))))</f>
      </c>
      <c r="T109" s="80"/>
      <c r="U109" s="78">
        <f>IF($B109="",0,IF(COUNTIF('MEAL + BAKING PLAN'!$B$6:$B$155,$B109)&gt;1,1,0))</f>
      </c>
      <c r="V109" s="78">
        <f>IF(OR(N($Q109)&gt;0,N($R109)&gt;0),IF($P109="",1,IF(COUNTIF('MASTER BUDGET'!$D$6:$D$25,$P109)=0,1,0)),0)</f>
      </c>
      <c r="W109" s="78">
        <f>IF($I109="",0,IF(COUNTIF('RECIPE INDEX'!$B$6:$B$105,$I109)=0,1,0))</f>
      </c>
      <c r="X109" s="75"/>
    </row>
    <row r="110" ht="17" customHeight="1" spans="1:24" x14ac:dyDescent="0.25">
      <c r="A110" s="75"/>
      <c r="B110" s="79"/>
      <c r="C110" s="82"/>
      <c r="D110" s="79"/>
      <c r="E110" s="80"/>
      <c r="F110" s="79"/>
      <c r="G110" s="90"/>
      <c r="H110" s="79"/>
      <c r="I110" s="79"/>
      <c r="J110" s="92">
        <f>IF($B110="","",IF($I110="","",IFERROR(IF(INDEX('RECIPE INDEX'!$C$6:$C$105,MATCH($I110,'RECIPE INDEX'!$B$6:$B$105,0))="","",INDEX('RECIPE INDEX'!$C$6:$C$105,MATCH($I110,'RECIPE INDEX'!$B$6:$B$105,0))),"")))</f>
      </c>
      <c r="K110" s="79"/>
      <c r="L110" s="82"/>
      <c r="M110" s="79"/>
      <c r="N110" s="79"/>
      <c r="O110" s="79"/>
      <c r="P110" s="79"/>
      <c r="Q110" s="86"/>
      <c r="R110" s="86"/>
      <c r="S110" s="78">
        <f>IF($B110="","",IF(OR($O110="Served",$O110="Dropped"),"DONE",IF($L110="",IF($C110="","NO DATE",IF($C110&lt;TODAY(),"OVERDUE","SCHEDULED")),IF($L110&lt;TODAY(),"PREP OVERDUE",IF($L110-TODAY()&lt;=7,"PREP THIS WEEK","SCHEDULED")))))</f>
      </c>
      <c r="T110" s="80"/>
      <c r="U110" s="78">
        <f>IF($B110="",0,IF(COUNTIF('MEAL + BAKING PLAN'!$B$6:$B$155,$B110)&gt;1,1,0))</f>
      </c>
      <c r="V110" s="78">
        <f>IF(OR(N($Q110)&gt;0,N($R110)&gt;0),IF($P110="",1,IF(COUNTIF('MASTER BUDGET'!$D$6:$D$25,$P110)=0,1,0)),0)</f>
      </c>
      <c r="W110" s="78">
        <f>IF($I110="",0,IF(COUNTIF('RECIPE INDEX'!$B$6:$B$105,$I110)=0,1,0))</f>
      </c>
      <c r="X110" s="75"/>
    </row>
    <row r="111" ht="17" customHeight="1" spans="1:24" x14ac:dyDescent="0.25">
      <c r="A111" s="75"/>
      <c r="B111" s="79"/>
      <c r="C111" s="82"/>
      <c r="D111" s="79"/>
      <c r="E111" s="80"/>
      <c r="F111" s="79"/>
      <c r="G111" s="90"/>
      <c r="H111" s="79"/>
      <c r="I111" s="79"/>
      <c r="J111" s="92">
        <f>IF($B111="","",IF($I111="","",IFERROR(IF(INDEX('RECIPE INDEX'!$C$6:$C$105,MATCH($I111,'RECIPE INDEX'!$B$6:$B$105,0))="","",INDEX('RECIPE INDEX'!$C$6:$C$105,MATCH($I111,'RECIPE INDEX'!$B$6:$B$105,0))),"")))</f>
      </c>
      <c r="K111" s="79"/>
      <c r="L111" s="82"/>
      <c r="M111" s="79"/>
      <c r="N111" s="79"/>
      <c r="O111" s="79"/>
      <c r="P111" s="79"/>
      <c r="Q111" s="86"/>
      <c r="R111" s="86"/>
      <c r="S111" s="78">
        <f>IF($B111="","",IF(OR($O111="Served",$O111="Dropped"),"DONE",IF($L111="",IF($C111="","NO DATE",IF($C111&lt;TODAY(),"OVERDUE","SCHEDULED")),IF($L111&lt;TODAY(),"PREP OVERDUE",IF($L111-TODAY()&lt;=7,"PREP THIS WEEK","SCHEDULED")))))</f>
      </c>
      <c r="T111" s="80"/>
      <c r="U111" s="78">
        <f>IF($B111="",0,IF(COUNTIF('MEAL + BAKING PLAN'!$B$6:$B$155,$B111)&gt;1,1,0))</f>
      </c>
      <c r="V111" s="78">
        <f>IF(OR(N($Q111)&gt;0,N($R111)&gt;0),IF($P111="",1,IF(COUNTIF('MASTER BUDGET'!$D$6:$D$25,$P111)=0,1,0)),0)</f>
      </c>
      <c r="W111" s="78">
        <f>IF($I111="",0,IF(COUNTIF('RECIPE INDEX'!$B$6:$B$105,$I111)=0,1,0))</f>
      </c>
      <c r="X111" s="75"/>
    </row>
    <row r="112" ht="17" customHeight="1" spans="1:24" x14ac:dyDescent="0.25">
      <c r="A112" s="75"/>
      <c r="B112" s="79"/>
      <c r="C112" s="82"/>
      <c r="D112" s="79"/>
      <c r="E112" s="80"/>
      <c r="F112" s="79"/>
      <c r="G112" s="90"/>
      <c r="H112" s="79"/>
      <c r="I112" s="79"/>
      <c r="J112" s="92">
        <f>IF($B112="","",IF($I112="","",IFERROR(IF(INDEX('RECIPE INDEX'!$C$6:$C$105,MATCH($I112,'RECIPE INDEX'!$B$6:$B$105,0))="","",INDEX('RECIPE INDEX'!$C$6:$C$105,MATCH($I112,'RECIPE INDEX'!$B$6:$B$105,0))),"")))</f>
      </c>
      <c r="K112" s="79"/>
      <c r="L112" s="82"/>
      <c r="M112" s="79"/>
      <c r="N112" s="79"/>
      <c r="O112" s="79"/>
      <c r="P112" s="79"/>
      <c r="Q112" s="86"/>
      <c r="R112" s="86"/>
      <c r="S112" s="78">
        <f>IF($B112="","",IF(OR($O112="Served",$O112="Dropped"),"DONE",IF($L112="",IF($C112="","NO DATE",IF($C112&lt;TODAY(),"OVERDUE","SCHEDULED")),IF($L112&lt;TODAY(),"PREP OVERDUE",IF($L112-TODAY()&lt;=7,"PREP THIS WEEK","SCHEDULED")))))</f>
      </c>
      <c r="T112" s="80"/>
      <c r="U112" s="78">
        <f>IF($B112="",0,IF(COUNTIF('MEAL + BAKING PLAN'!$B$6:$B$155,$B112)&gt;1,1,0))</f>
      </c>
      <c r="V112" s="78">
        <f>IF(OR(N($Q112)&gt;0,N($R112)&gt;0),IF($P112="",1,IF(COUNTIF('MASTER BUDGET'!$D$6:$D$25,$P112)=0,1,0)),0)</f>
      </c>
      <c r="W112" s="78">
        <f>IF($I112="",0,IF(COUNTIF('RECIPE INDEX'!$B$6:$B$105,$I112)=0,1,0))</f>
      </c>
      <c r="X112" s="75"/>
    </row>
    <row r="113" ht="17" customHeight="1" spans="1:24" x14ac:dyDescent="0.25">
      <c r="A113" s="75"/>
      <c r="B113" s="79"/>
      <c r="C113" s="82"/>
      <c r="D113" s="79"/>
      <c r="E113" s="80"/>
      <c r="F113" s="79"/>
      <c r="G113" s="90"/>
      <c r="H113" s="79"/>
      <c r="I113" s="79"/>
      <c r="J113" s="92">
        <f>IF($B113="","",IF($I113="","",IFERROR(IF(INDEX('RECIPE INDEX'!$C$6:$C$105,MATCH($I113,'RECIPE INDEX'!$B$6:$B$105,0))="","",INDEX('RECIPE INDEX'!$C$6:$C$105,MATCH($I113,'RECIPE INDEX'!$B$6:$B$105,0))),"")))</f>
      </c>
      <c r="K113" s="79"/>
      <c r="L113" s="82"/>
      <c r="M113" s="79"/>
      <c r="N113" s="79"/>
      <c r="O113" s="79"/>
      <c r="P113" s="79"/>
      <c r="Q113" s="86"/>
      <c r="R113" s="86"/>
      <c r="S113" s="78">
        <f>IF($B113="","",IF(OR($O113="Served",$O113="Dropped"),"DONE",IF($L113="",IF($C113="","NO DATE",IF($C113&lt;TODAY(),"OVERDUE","SCHEDULED")),IF($L113&lt;TODAY(),"PREP OVERDUE",IF($L113-TODAY()&lt;=7,"PREP THIS WEEK","SCHEDULED")))))</f>
      </c>
      <c r="T113" s="80"/>
      <c r="U113" s="78">
        <f>IF($B113="",0,IF(COUNTIF('MEAL + BAKING PLAN'!$B$6:$B$155,$B113)&gt;1,1,0))</f>
      </c>
      <c r="V113" s="78">
        <f>IF(OR(N($Q113)&gt;0,N($R113)&gt;0),IF($P113="",1,IF(COUNTIF('MASTER BUDGET'!$D$6:$D$25,$P113)=0,1,0)),0)</f>
      </c>
      <c r="W113" s="78">
        <f>IF($I113="",0,IF(COUNTIF('RECIPE INDEX'!$B$6:$B$105,$I113)=0,1,0))</f>
      </c>
      <c r="X113" s="75"/>
    </row>
    <row r="114" ht="17" customHeight="1" spans="1:24" x14ac:dyDescent="0.25">
      <c r="A114" s="75"/>
      <c r="B114" s="79"/>
      <c r="C114" s="82"/>
      <c r="D114" s="79"/>
      <c r="E114" s="80"/>
      <c r="F114" s="79"/>
      <c r="G114" s="90"/>
      <c r="H114" s="79"/>
      <c r="I114" s="79"/>
      <c r="J114" s="92">
        <f>IF($B114="","",IF($I114="","",IFERROR(IF(INDEX('RECIPE INDEX'!$C$6:$C$105,MATCH($I114,'RECIPE INDEX'!$B$6:$B$105,0))="","",INDEX('RECIPE INDEX'!$C$6:$C$105,MATCH($I114,'RECIPE INDEX'!$B$6:$B$105,0))),"")))</f>
      </c>
      <c r="K114" s="79"/>
      <c r="L114" s="82"/>
      <c r="M114" s="79"/>
      <c r="N114" s="79"/>
      <c r="O114" s="79"/>
      <c r="P114" s="79"/>
      <c r="Q114" s="86"/>
      <c r="R114" s="86"/>
      <c r="S114" s="78">
        <f>IF($B114="","",IF(OR($O114="Served",$O114="Dropped"),"DONE",IF($L114="",IF($C114="","NO DATE",IF($C114&lt;TODAY(),"OVERDUE","SCHEDULED")),IF($L114&lt;TODAY(),"PREP OVERDUE",IF($L114-TODAY()&lt;=7,"PREP THIS WEEK","SCHEDULED")))))</f>
      </c>
      <c r="T114" s="80"/>
      <c r="U114" s="78">
        <f>IF($B114="",0,IF(COUNTIF('MEAL + BAKING PLAN'!$B$6:$B$155,$B114)&gt;1,1,0))</f>
      </c>
      <c r="V114" s="78">
        <f>IF(OR(N($Q114)&gt;0,N($R114)&gt;0),IF($P114="",1,IF(COUNTIF('MASTER BUDGET'!$D$6:$D$25,$P114)=0,1,0)),0)</f>
      </c>
      <c r="W114" s="78">
        <f>IF($I114="",0,IF(COUNTIF('RECIPE INDEX'!$B$6:$B$105,$I114)=0,1,0))</f>
      </c>
      <c r="X114" s="75"/>
    </row>
    <row r="115" ht="17" customHeight="1" spans="1:24" x14ac:dyDescent="0.25">
      <c r="A115" s="75"/>
      <c r="B115" s="79"/>
      <c r="C115" s="82"/>
      <c r="D115" s="79"/>
      <c r="E115" s="80"/>
      <c r="F115" s="79"/>
      <c r="G115" s="90"/>
      <c r="H115" s="79"/>
      <c r="I115" s="79"/>
      <c r="J115" s="92">
        <f>IF($B115="","",IF($I115="","",IFERROR(IF(INDEX('RECIPE INDEX'!$C$6:$C$105,MATCH($I115,'RECIPE INDEX'!$B$6:$B$105,0))="","",INDEX('RECIPE INDEX'!$C$6:$C$105,MATCH($I115,'RECIPE INDEX'!$B$6:$B$105,0))),"")))</f>
      </c>
      <c r="K115" s="79"/>
      <c r="L115" s="82"/>
      <c r="M115" s="79"/>
      <c r="N115" s="79"/>
      <c r="O115" s="79"/>
      <c r="P115" s="79"/>
      <c r="Q115" s="86"/>
      <c r="R115" s="86"/>
      <c r="S115" s="78">
        <f>IF($B115="","",IF(OR($O115="Served",$O115="Dropped"),"DONE",IF($L115="",IF($C115="","NO DATE",IF($C115&lt;TODAY(),"OVERDUE","SCHEDULED")),IF($L115&lt;TODAY(),"PREP OVERDUE",IF($L115-TODAY()&lt;=7,"PREP THIS WEEK","SCHEDULED")))))</f>
      </c>
      <c r="T115" s="80"/>
      <c r="U115" s="78">
        <f>IF($B115="",0,IF(COUNTIF('MEAL + BAKING PLAN'!$B$6:$B$155,$B115)&gt;1,1,0))</f>
      </c>
      <c r="V115" s="78">
        <f>IF(OR(N($Q115)&gt;0,N($R115)&gt;0),IF($P115="",1,IF(COUNTIF('MASTER BUDGET'!$D$6:$D$25,$P115)=0,1,0)),0)</f>
      </c>
      <c r="W115" s="78">
        <f>IF($I115="",0,IF(COUNTIF('RECIPE INDEX'!$B$6:$B$105,$I115)=0,1,0))</f>
      </c>
      <c r="X115" s="75"/>
    </row>
    <row r="116" ht="17" customHeight="1" spans="1:24" x14ac:dyDescent="0.25">
      <c r="A116" s="75"/>
      <c r="B116" s="79"/>
      <c r="C116" s="82"/>
      <c r="D116" s="79"/>
      <c r="E116" s="80"/>
      <c r="F116" s="79"/>
      <c r="G116" s="90"/>
      <c r="H116" s="79"/>
      <c r="I116" s="79"/>
      <c r="J116" s="92">
        <f>IF($B116="","",IF($I116="","",IFERROR(IF(INDEX('RECIPE INDEX'!$C$6:$C$105,MATCH($I116,'RECIPE INDEX'!$B$6:$B$105,0))="","",INDEX('RECIPE INDEX'!$C$6:$C$105,MATCH($I116,'RECIPE INDEX'!$B$6:$B$105,0))),"")))</f>
      </c>
      <c r="K116" s="79"/>
      <c r="L116" s="82"/>
      <c r="M116" s="79"/>
      <c r="N116" s="79"/>
      <c r="O116" s="79"/>
      <c r="P116" s="79"/>
      <c r="Q116" s="86"/>
      <c r="R116" s="86"/>
      <c r="S116" s="78">
        <f>IF($B116="","",IF(OR($O116="Served",$O116="Dropped"),"DONE",IF($L116="",IF($C116="","NO DATE",IF($C116&lt;TODAY(),"OVERDUE","SCHEDULED")),IF($L116&lt;TODAY(),"PREP OVERDUE",IF($L116-TODAY()&lt;=7,"PREP THIS WEEK","SCHEDULED")))))</f>
      </c>
      <c r="T116" s="80"/>
      <c r="U116" s="78">
        <f>IF($B116="",0,IF(COUNTIF('MEAL + BAKING PLAN'!$B$6:$B$155,$B116)&gt;1,1,0))</f>
      </c>
      <c r="V116" s="78">
        <f>IF(OR(N($Q116)&gt;0,N($R116)&gt;0),IF($P116="",1,IF(COUNTIF('MASTER BUDGET'!$D$6:$D$25,$P116)=0,1,0)),0)</f>
      </c>
      <c r="W116" s="78">
        <f>IF($I116="",0,IF(COUNTIF('RECIPE INDEX'!$B$6:$B$105,$I116)=0,1,0))</f>
      </c>
      <c r="X116" s="75"/>
    </row>
    <row r="117" ht="17" customHeight="1" spans="1:24" x14ac:dyDescent="0.25">
      <c r="A117" s="75"/>
      <c r="B117" s="79"/>
      <c r="C117" s="82"/>
      <c r="D117" s="79"/>
      <c r="E117" s="80"/>
      <c r="F117" s="79"/>
      <c r="G117" s="90"/>
      <c r="H117" s="79"/>
      <c r="I117" s="79"/>
      <c r="J117" s="92">
        <f>IF($B117="","",IF($I117="","",IFERROR(IF(INDEX('RECIPE INDEX'!$C$6:$C$105,MATCH($I117,'RECIPE INDEX'!$B$6:$B$105,0))="","",INDEX('RECIPE INDEX'!$C$6:$C$105,MATCH($I117,'RECIPE INDEX'!$B$6:$B$105,0))),"")))</f>
      </c>
      <c r="K117" s="79"/>
      <c r="L117" s="82"/>
      <c r="M117" s="79"/>
      <c r="N117" s="79"/>
      <c r="O117" s="79"/>
      <c r="P117" s="79"/>
      <c r="Q117" s="86"/>
      <c r="R117" s="86"/>
      <c r="S117" s="78">
        <f>IF($B117="","",IF(OR($O117="Served",$O117="Dropped"),"DONE",IF($L117="",IF($C117="","NO DATE",IF($C117&lt;TODAY(),"OVERDUE","SCHEDULED")),IF($L117&lt;TODAY(),"PREP OVERDUE",IF($L117-TODAY()&lt;=7,"PREP THIS WEEK","SCHEDULED")))))</f>
      </c>
      <c r="T117" s="80"/>
      <c r="U117" s="78">
        <f>IF($B117="",0,IF(COUNTIF('MEAL + BAKING PLAN'!$B$6:$B$155,$B117)&gt;1,1,0))</f>
      </c>
      <c r="V117" s="78">
        <f>IF(OR(N($Q117)&gt;0,N($R117)&gt;0),IF($P117="",1,IF(COUNTIF('MASTER BUDGET'!$D$6:$D$25,$P117)=0,1,0)),0)</f>
      </c>
      <c r="W117" s="78">
        <f>IF($I117="",0,IF(COUNTIF('RECIPE INDEX'!$B$6:$B$105,$I117)=0,1,0))</f>
      </c>
      <c r="X117" s="75"/>
    </row>
    <row r="118" ht="17" customHeight="1" spans="1:24" x14ac:dyDescent="0.25">
      <c r="A118" s="75"/>
      <c r="B118" s="79"/>
      <c r="C118" s="82"/>
      <c r="D118" s="79"/>
      <c r="E118" s="80"/>
      <c r="F118" s="79"/>
      <c r="G118" s="90"/>
      <c r="H118" s="79"/>
      <c r="I118" s="79"/>
      <c r="J118" s="92">
        <f>IF($B118="","",IF($I118="","",IFERROR(IF(INDEX('RECIPE INDEX'!$C$6:$C$105,MATCH($I118,'RECIPE INDEX'!$B$6:$B$105,0))="","",INDEX('RECIPE INDEX'!$C$6:$C$105,MATCH($I118,'RECIPE INDEX'!$B$6:$B$105,0))),"")))</f>
      </c>
      <c r="K118" s="79"/>
      <c r="L118" s="82"/>
      <c r="M118" s="79"/>
      <c r="N118" s="79"/>
      <c r="O118" s="79"/>
      <c r="P118" s="79"/>
      <c r="Q118" s="86"/>
      <c r="R118" s="86"/>
      <c r="S118" s="78">
        <f>IF($B118="","",IF(OR($O118="Served",$O118="Dropped"),"DONE",IF($L118="",IF($C118="","NO DATE",IF($C118&lt;TODAY(),"OVERDUE","SCHEDULED")),IF($L118&lt;TODAY(),"PREP OVERDUE",IF($L118-TODAY()&lt;=7,"PREP THIS WEEK","SCHEDULED")))))</f>
      </c>
      <c r="T118" s="80"/>
      <c r="U118" s="78">
        <f>IF($B118="",0,IF(COUNTIF('MEAL + BAKING PLAN'!$B$6:$B$155,$B118)&gt;1,1,0))</f>
      </c>
      <c r="V118" s="78">
        <f>IF(OR(N($Q118)&gt;0,N($R118)&gt;0),IF($P118="",1,IF(COUNTIF('MASTER BUDGET'!$D$6:$D$25,$P118)=0,1,0)),0)</f>
      </c>
      <c r="W118" s="78">
        <f>IF($I118="",0,IF(COUNTIF('RECIPE INDEX'!$B$6:$B$105,$I118)=0,1,0))</f>
      </c>
      <c r="X118" s="75"/>
    </row>
    <row r="119" ht="17" customHeight="1" spans="1:24" x14ac:dyDescent="0.25">
      <c r="A119" s="75"/>
      <c r="B119" s="79"/>
      <c r="C119" s="82"/>
      <c r="D119" s="79"/>
      <c r="E119" s="80"/>
      <c r="F119" s="79"/>
      <c r="G119" s="90"/>
      <c r="H119" s="79"/>
      <c r="I119" s="79"/>
      <c r="J119" s="92">
        <f>IF($B119="","",IF($I119="","",IFERROR(IF(INDEX('RECIPE INDEX'!$C$6:$C$105,MATCH($I119,'RECIPE INDEX'!$B$6:$B$105,0))="","",INDEX('RECIPE INDEX'!$C$6:$C$105,MATCH($I119,'RECIPE INDEX'!$B$6:$B$105,0))),"")))</f>
      </c>
      <c r="K119" s="79"/>
      <c r="L119" s="82"/>
      <c r="M119" s="79"/>
      <c r="N119" s="79"/>
      <c r="O119" s="79"/>
      <c r="P119" s="79"/>
      <c r="Q119" s="86"/>
      <c r="R119" s="86"/>
      <c r="S119" s="78">
        <f>IF($B119="","",IF(OR($O119="Served",$O119="Dropped"),"DONE",IF($L119="",IF($C119="","NO DATE",IF($C119&lt;TODAY(),"OVERDUE","SCHEDULED")),IF($L119&lt;TODAY(),"PREP OVERDUE",IF($L119-TODAY()&lt;=7,"PREP THIS WEEK","SCHEDULED")))))</f>
      </c>
      <c r="T119" s="80"/>
      <c r="U119" s="78">
        <f>IF($B119="",0,IF(COUNTIF('MEAL + BAKING PLAN'!$B$6:$B$155,$B119)&gt;1,1,0))</f>
      </c>
      <c r="V119" s="78">
        <f>IF(OR(N($Q119)&gt;0,N($R119)&gt;0),IF($P119="",1,IF(COUNTIF('MASTER BUDGET'!$D$6:$D$25,$P119)=0,1,0)),0)</f>
      </c>
      <c r="W119" s="78">
        <f>IF($I119="",0,IF(COUNTIF('RECIPE INDEX'!$B$6:$B$105,$I119)=0,1,0))</f>
      </c>
      <c r="X119" s="75"/>
    </row>
    <row r="120" ht="17" customHeight="1" spans="1:24" x14ac:dyDescent="0.25">
      <c r="A120" s="75"/>
      <c r="B120" s="79"/>
      <c r="C120" s="82"/>
      <c r="D120" s="79"/>
      <c r="E120" s="80"/>
      <c r="F120" s="79"/>
      <c r="G120" s="90"/>
      <c r="H120" s="79"/>
      <c r="I120" s="79"/>
      <c r="J120" s="92">
        <f>IF($B120="","",IF($I120="","",IFERROR(IF(INDEX('RECIPE INDEX'!$C$6:$C$105,MATCH($I120,'RECIPE INDEX'!$B$6:$B$105,0))="","",INDEX('RECIPE INDEX'!$C$6:$C$105,MATCH($I120,'RECIPE INDEX'!$B$6:$B$105,0))),"")))</f>
      </c>
      <c r="K120" s="79"/>
      <c r="L120" s="82"/>
      <c r="M120" s="79"/>
      <c r="N120" s="79"/>
      <c r="O120" s="79"/>
      <c r="P120" s="79"/>
      <c r="Q120" s="86"/>
      <c r="R120" s="86"/>
      <c r="S120" s="78">
        <f>IF($B120="","",IF(OR($O120="Served",$O120="Dropped"),"DONE",IF($L120="",IF($C120="","NO DATE",IF($C120&lt;TODAY(),"OVERDUE","SCHEDULED")),IF($L120&lt;TODAY(),"PREP OVERDUE",IF($L120-TODAY()&lt;=7,"PREP THIS WEEK","SCHEDULED")))))</f>
      </c>
      <c r="T120" s="80"/>
      <c r="U120" s="78">
        <f>IF($B120="",0,IF(COUNTIF('MEAL + BAKING PLAN'!$B$6:$B$155,$B120)&gt;1,1,0))</f>
      </c>
      <c r="V120" s="78">
        <f>IF(OR(N($Q120)&gt;0,N($R120)&gt;0),IF($P120="",1,IF(COUNTIF('MASTER BUDGET'!$D$6:$D$25,$P120)=0,1,0)),0)</f>
      </c>
      <c r="W120" s="78">
        <f>IF($I120="",0,IF(COUNTIF('RECIPE INDEX'!$B$6:$B$105,$I120)=0,1,0))</f>
      </c>
      <c r="X120" s="75"/>
    </row>
    <row r="121" ht="17" customHeight="1" spans="1:24" x14ac:dyDescent="0.25">
      <c r="A121" s="75"/>
      <c r="B121" s="79"/>
      <c r="C121" s="82"/>
      <c r="D121" s="79"/>
      <c r="E121" s="80"/>
      <c r="F121" s="79"/>
      <c r="G121" s="90"/>
      <c r="H121" s="79"/>
      <c r="I121" s="79"/>
      <c r="J121" s="92">
        <f>IF($B121="","",IF($I121="","",IFERROR(IF(INDEX('RECIPE INDEX'!$C$6:$C$105,MATCH($I121,'RECIPE INDEX'!$B$6:$B$105,0))="","",INDEX('RECIPE INDEX'!$C$6:$C$105,MATCH($I121,'RECIPE INDEX'!$B$6:$B$105,0))),"")))</f>
      </c>
      <c r="K121" s="79"/>
      <c r="L121" s="82"/>
      <c r="M121" s="79"/>
      <c r="N121" s="79"/>
      <c r="O121" s="79"/>
      <c r="P121" s="79"/>
      <c r="Q121" s="86"/>
      <c r="R121" s="86"/>
      <c r="S121" s="78">
        <f>IF($B121="","",IF(OR($O121="Served",$O121="Dropped"),"DONE",IF($L121="",IF($C121="","NO DATE",IF($C121&lt;TODAY(),"OVERDUE","SCHEDULED")),IF($L121&lt;TODAY(),"PREP OVERDUE",IF($L121-TODAY()&lt;=7,"PREP THIS WEEK","SCHEDULED")))))</f>
      </c>
      <c r="T121" s="80"/>
      <c r="U121" s="78">
        <f>IF($B121="",0,IF(COUNTIF('MEAL + BAKING PLAN'!$B$6:$B$155,$B121)&gt;1,1,0))</f>
      </c>
      <c r="V121" s="78">
        <f>IF(OR(N($Q121)&gt;0,N($R121)&gt;0),IF($P121="",1,IF(COUNTIF('MASTER BUDGET'!$D$6:$D$25,$P121)=0,1,0)),0)</f>
      </c>
      <c r="W121" s="78">
        <f>IF($I121="",0,IF(COUNTIF('RECIPE INDEX'!$B$6:$B$105,$I121)=0,1,0))</f>
      </c>
      <c r="X121" s="75"/>
    </row>
    <row r="122" ht="17" customHeight="1" spans="1:24" x14ac:dyDescent="0.25">
      <c r="A122" s="75"/>
      <c r="B122" s="79"/>
      <c r="C122" s="82"/>
      <c r="D122" s="79"/>
      <c r="E122" s="80"/>
      <c r="F122" s="79"/>
      <c r="G122" s="90"/>
      <c r="H122" s="79"/>
      <c r="I122" s="79"/>
      <c r="J122" s="92">
        <f>IF($B122="","",IF($I122="","",IFERROR(IF(INDEX('RECIPE INDEX'!$C$6:$C$105,MATCH($I122,'RECIPE INDEX'!$B$6:$B$105,0))="","",INDEX('RECIPE INDEX'!$C$6:$C$105,MATCH($I122,'RECIPE INDEX'!$B$6:$B$105,0))),"")))</f>
      </c>
      <c r="K122" s="79"/>
      <c r="L122" s="82"/>
      <c r="M122" s="79"/>
      <c r="N122" s="79"/>
      <c r="O122" s="79"/>
      <c r="P122" s="79"/>
      <c r="Q122" s="86"/>
      <c r="R122" s="86"/>
      <c r="S122" s="78">
        <f>IF($B122="","",IF(OR($O122="Served",$O122="Dropped"),"DONE",IF($L122="",IF($C122="","NO DATE",IF($C122&lt;TODAY(),"OVERDUE","SCHEDULED")),IF($L122&lt;TODAY(),"PREP OVERDUE",IF($L122-TODAY()&lt;=7,"PREP THIS WEEK","SCHEDULED")))))</f>
      </c>
      <c r="T122" s="80"/>
      <c r="U122" s="78">
        <f>IF($B122="",0,IF(COUNTIF('MEAL + BAKING PLAN'!$B$6:$B$155,$B122)&gt;1,1,0))</f>
      </c>
      <c r="V122" s="78">
        <f>IF(OR(N($Q122)&gt;0,N($R122)&gt;0),IF($P122="",1,IF(COUNTIF('MASTER BUDGET'!$D$6:$D$25,$P122)=0,1,0)),0)</f>
      </c>
      <c r="W122" s="78">
        <f>IF($I122="",0,IF(COUNTIF('RECIPE INDEX'!$B$6:$B$105,$I122)=0,1,0))</f>
      </c>
      <c r="X122" s="75"/>
    </row>
    <row r="123" ht="17" customHeight="1" spans="1:24" x14ac:dyDescent="0.25">
      <c r="A123" s="75"/>
      <c r="B123" s="79"/>
      <c r="C123" s="82"/>
      <c r="D123" s="79"/>
      <c r="E123" s="80"/>
      <c r="F123" s="79"/>
      <c r="G123" s="90"/>
      <c r="H123" s="79"/>
      <c r="I123" s="79"/>
      <c r="J123" s="92">
        <f>IF($B123="","",IF($I123="","",IFERROR(IF(INDEX('RECIPE INDEX'!$C$6:$C$105,MATCH($I123,'RECIPE INDEX'!$B$6:$B$105,0))="","",INDEX('RECIPE INDEX'!$C$6:$C$105,MATCH($I123,'RECIPE INDEX'!$B$6:$B$105,0))),"")))</f>
      </c>
      <c r="K123" s="79"/>
      <c r="L123" s="82"/>
      <c r="M123" s="79"/>
      <c r="N123" s="79"/>
      <c r="O123" s="79"/>
      <c r="P123" s="79"/>
      <c r="Q123" s="86"/>
      <c r="R123" s="86"/>
      <c r="S123" s="78">
        <f>IF($B123="","",IF(OR($O123="Served",$O123="Dropped"),"DONE",IF($L123="",IF($C123="","NO DATE",IF($C123&lt;TODAY(),"OVERDUE","SCHEDULED")),IF($L123&lt;TODAY(),"PREP OVERDUE",IF($L123-TODAY()&lt;=7,"PREP THIS WEEK","SCHEDULED")))))</f>
      </c>
      <c r="T123" s="80"/>
      <c r="U123" s="78">
        <f>IF($B123="",0,IF(COUNTIF('MEAL + BAKING PLAN'!$B$6:$B$155,$B123)&gt;1,1,0))</f>
      </c>
      <c r="V123" s="78">
        <f>IF(OR(N($Q123)&gt;0,N($R123)&gt;0),IF($P123="",1,IF(COUNTIF('MASTER BUDGET'!$D$6:$D$25,$P123)=0,1,0)),0)</f>
      </c>
      <c r="W123" s="78">
        <f>IF($I123="",0,IF(COUNTIF('RECIPE INDEX'!$B$6:$B$105,$I123)=0,1,0))</f>
      </c>
      <c r="X123" s="75"/>
    </row>
    <row r="124" ht="17" customHeight="1" spans="1:24" x14ac:dyDescent="0.25">
      <c r="A124" s="75"/>
      <c r="B124" s="79"/>
      <c r="C124" s="82"/>
      <c r="D124" s="79"/>
      <c r="E124" s="80"/>
      <c r="F124" s="79"/>
      <c r="G124" s="90"/>
      <c r="H124" s="79"/>
      <c r="I124" s="79"/>
      <c r="J124" s="92">
        <f>IF($B124="","",IF($I124="","",IFERROR(IF(INDEX('RECIPE INDEX'!$C$6:$C$105,MATCH($I124,'RECIPE INDEX'!$B$6:$B$105,0))="","",INDEX('RECIPE INDEX'!$C$6:$C$105,MATCH($I124,'RECIPE INDEX'!$B$6:$B$105,0))),"")))</f>
      </c>
      <c r="K124" s="79"/>
      <c r="L124" s="82"/>
      <c r="M124" s="79"/>
      <c r="N124" s="79"/>
      <c r="O124" s="79"/>
      <c r="P124" s="79"/>
      <c r="Q124" s="86"/>
      <c r="R124" s="86"/>
      <c r="S124" s="78">
        <f>IF($B124="","",IF(OR($O124="Served",$O124="Dropped"),"DONE",IF($L124="",IF($C124="","NO DATE",IF($C124&lt;TODAY(),"OVERDUE","SCHEDULED")),IF($L124&lt;TODAY(),"PREP OVERDUE",IF($L124-TODAY()&lt;=7,"PREP THIS WEEK","SCHEDULED")))))</f>
      </c>
      <c r="T124" s="80"/>
      <c r="U124" s="78">
        <f>IF($B124="",0,IF(COUNTIF('MEAL + BAKING PLAN'!$B$6:$B$155,$B124)&gt;1,1,0))</f>
      </c>
      <c r="V124" s="78">
        <f>IF(OR(N($Q124)&gt;0,N($R124)&gt;0),IF($P124="",1,IF(COUNTIF('MASTER BUDGET'!$D$6:$D$25,$P124)=0,1,0)),0)</f>
      </c>
      <c r="W124" s="78">
        <f>IF($I124="",0,IF(COUNTIF('RECIPE INDEX'!$B$6:$B$105,$I124)=0,1,0))</f>
      </c>
      <c r="X124" s="75"/>
    </row>
    <row r="125" ht="17" customHeight="1" spans="1:24" x14ac:dyDescent="0.25">
      <c r="A125" s="75"/>
      <c r="B125" s="79"/>
      <c r="C125" s="82"/>
      <c r="D125" s="79"/>
      <c r="E125" s="80"/>
      <c r="F125" s="79"/>
      <c r="G125" s="90"/>
      <c r="H125" s="79"/>
      <c r="I125" s="79"/>
      <c r="J125" s="92">
        <f>IF($B125="","",IF($I125="","",IFERROR(IF(INDEX('RECIPE INDEX'!$C$6:$C$105,MATCH($I125,'RECIPE INDEX'!$B$6:$B$105,0))="","",INDEX('RECIPE INDEX'!$C$6:$C$105,MATCH($I125,'RECIPE INDEX'!$B$6:$B$105,0))),"")))</f>
      </c>
      <c r="K125" s="79"/>
      <c r="L125" s="82"/>
      <c r="M125" s="79"/>
      <c r="N125" s="79"/>
      <c r="O125" s="79"/>
      <c r="P125" s="79"/>
      <c r="Q125" s="86"/>
      <c r="R125" s="86"/>
      <c r="S125" s="78">
        <f>IF($B125="","",IF(OR($O125="Served",$O125="Dropped"),"DONE",IF($L125="",IF($C125="","NO DATE",IF($C125&lt;TODAY(),"OVERDUE","SCHEDULED")),IF($L125&lt;TODAY(),"PREP OVERDUE",IF($L125-TODAY()&lt;=7,"PREP THIS WEEK","SCHEDULED")))))</f>
      </c>
      <c r="T125" s="80"/>
      <c r="U125" s="78">
        <f>IF($B125="",0,IF(COUNTIF('MEAL + BAKING PLAN'!$B$6:$B$155,$B125)&gt;1,1,0))</f>
      </c>
      <c r="V125" s="78">
        <f>IF(OR(N($Q125)&gt;0,N($R125)&gt;0),IF($P125="",1,IF(COUNTIF('MASTER BUDGET'!$D$6:$D$25,$P125)=0,1,0)),0)</f>
      </c>
      <c r="W125" s="78">
        <f>IF($I125="",0,IF(COUNTIF('RECIPE INDEX'!$B$6:$B$105,$I125)=0,1,0))</f>
      </c>
      <c r="X125" s="75"/>
    </row>
    <row r="126" ht="17" customHeight="1" spans="1:24" x14ac:dyDescent="0.25">
      <c r="A126" s="75"/>
      <c r="B126" s="79"/>
      <c r="C126" s="82"/>
      <c r="D126" s="79"/>
      <c r="E126" s="80"/>
      <c r="F126" s="79"/>
      <c r="G126" s="90"/>
      <c r="H126" s="79"/>
      <c r="I126" s="79"/>
      <c r="J126" s="92">
        <f>IF($B126="","",IF($I126="","",IFERROR(IF(INDEX('RECIPE INDEX'!$C$6:$C$105,MATCH($I126,'RECIPE INDEX'!$B$6:$B$105,0))="","",INDEX('RECIPE INDEX'!$C$6:$C$105,MATCH($I126,'RECIPE INDEX'!$B$6:$B$105,0))),"")))</f>
      </c>
      <c r="K126" s="79"/>
      <c r="L126" s="82"/>
      <c r="M126" s="79"/>
      <c r="N126" s="79"/>
      <c r="O126" s="79"/>
      <c r="P126" s="79"/>
      <c r="Q126" s="86"/>
      <c r="R126" s="86"/>
      <c r="S126" s="78">
        <f>IF($B126="","",IF(OR($O126="Served",$O126="Dropped"),"DONE",IF($L126="",IF($C126="","NO DATE",IF($C126&lt;TODAY(),"OVERDUE","SCHEDULED")),IF($L126&lt;TODAY(),"PREP OVERDUE",IF($L126-TODAY()&lt;=7,"PREP THIS WEEK","SCHEDULED")))))</f>
      </c>
      <c r="T126" s="80"/>
      <c r="U126" s="78">
        <f>IF($B126="",0,IF(COUNTIF('MEAL + BAKING PLAN'!$B$6:$B$155,$B126)&gt;1,1,0))</f>
      </c>
      <c r="V126" s="78">
        <f>IF(OR(N($Q126)&gt;0,N($R126)&gt;0),IF($P126="",1,IF(COUNTIF('MASTER BUDGET'!$D$6:$D$25,$P126)=0,1,0)),0)</f>
      </c>
      <c r="W126" s="78">
        <f>IF($I126="",0,IF(COUNTIF('RECIPE INDEX'!$B$6:$B$105,$I126)=0,1,0))</f>
      </c>
      <c r="X126" s="75"/>
    </row>
    <row r="127" ht="17" customHeight="1" spans="1:24" x14ac:dyDescent="0.25">
      <c r="A127" s="75"/>
      <c r="B127" s="79"/>
      <c r="C127" s="82"/>
      <c r="D127" s="79"/>
      <c r="E127" s="80"/>
      <c r="F127" s="79"/>
      <c r="G127" s="90"/>
      <c r="H127" s="79"/>
      <c r="I127" s="79"/>
      <c r="J127" s="92">
        <f>IF($B127="","",IF($I127="","",IFERROR(IF(INDEX('RECIPE INDEX'!$C$6:$C$105,MATCH($I127,'RECIPE INDEX'!$B$6:$B$105,0))="","",INDEX('RECIPE INDEX'!$C$6:$C$105,MATCH($I127,'RECIPE INDEX'!$B$6:$B$105,0))),"")))</f>
      </c>
      <c r="K127" s="79"/>
      <c r="L127" s="82"/>
      <c r="M127" s="79"/>
      <c r="N127" s="79"/>
      <c r="O127" s="79"/>
      <c r="P127" s="79"/>
      <c r="Q127" s="86"/>
      <c r="R127" s="86"/>
      <c r="S127" s="78">
        <f>IF($B127="","",IF(OR($O127="Served",$O127="Dropped"),"DONE",IF($L127="",IF($C127="","NO DATE",IF($C127&lt;TODAY(),"OVERDUE","SCHEDULED")),IF($L127&lt;TODAY(),"PREP OVERDUE",IF($L127-TODAY()&lt;=7,"PREP THIS WEEK","SCHEDULED")))))</f>
      </c>
      <c r="T127" s="80"/>
      <c r="U127" s="78">
        <f>IF($B127="",0,IF(COUNTIF('MEAL + BAKING PLAN'!$B$6:$B$155,$B127)&gt;1,1,0))</f>
      </c>
      <c r="V127" s="78">
        <f>IF(OR(N($Q127)&gt;0,N($R127)&gt;0),IF($P127="",1,IF(COUNTIF('MASTER BUDGET'!$D$6:$D$25,$P127)=0,1,0)),0)</f>
      </c>
      <c r="W127" s="78">
        <f>IF($I127="",0,IF(COUNTIF('RECIPE INDEX'!$B$6:$B$105,$I127)=0,1,0))</f>
      </c>
      <c r="X127" s="75"/>
    </row>
    <row r="128" ht="17" customHeight="1" spans="1:24" x14ac:dyDescent="0.25">
      <c r="A128" s="75"/>
      <c r="B128" s="79"/>
      <c r="C128" s="82"/>
      <c r="D128" s="79"/>
      <c r="E128" s="80"/>
      <c r="F128" s="79"/>
      <c r="G128" s="90"/>
      <c r="H128" s="79"/>
      <c r="I128" s="79"/>
      <c r="J128" s="92">
        <f>IF($B128="","",IF($I128="","",IFERROR(IF(INDEX('RECIPE INDEX'!$C$6:$C$105,MATCH($I128,'RECIPE INDEX'!$B$6:$B$105,0))="","",INDEX('RECIPE INDEX'!$C$6:$C$105,MATCH($I128,'RECIPE INDEX'!$B$6:$B$105,0))),"")))</f>
      </c>
      <c r="K128" s="79"/>
      <c r="L128" s="82"/>
      <c r="M128" s="79"/>
      <c r="N128" s="79"/>
      <c r="O128" s="79"/>
      <c r="P128" s="79"/>
      <c r="Q128" s="86"/>
      <c r="R128" s="86"/>
      <c r="S128" s="78">
        <f>IF($B128="","",IF(OR($O128="Served",$O128="Dropped"),"DONE",IF($L128="",IF($C128="","NO DATE",IF($C128&lt;TODAY(),"OVERDUE","SCHEDULED")),IF($L128&lt;TODAY(),"PREP OVERDUE",IF($L128-TODAY()&lt;=7,"PREP THIS WEEK","SCHEDULED")))))</f>
      </c>
      <c r="T128" s="80"/>
      <c r="U128" s="78">
        <f>IF($B128="",0,IF(COUNTIF('MEAL + BAKING PLAN'!$B$6:$B$155,$B128)&gt;1,1,0))</f>
      </c>
      <c r="V128" s="78">
        <f>IF(OR(N($Q128)&gt;0,N($R128)&gt;0),IF($P128="",1,IF(COUNTIF('MASTER BUDGET'!$D$6:$D$25,$P128)=0,1,0)),0)</f>
      </c>
      <c r="W128" s="78">
        <f>IF($I128="",0,IF(COUNTIF('RECIPE INDEX'!$B$6:$B$105,$I128)=0,1,0))</f>
      </c>
      <c r="X128" s="75"/>
    </row>
    <row r="129" ht="17" customHeight="1" spans="1:24" x14ac:dyDescent="0.25">
      <c r="A129" s="75"/>
      <c r="B129" s="79"/>
      <c r="C129" s="82"/>
      <c r="D129" s="79"/>
      <c r="E129" s="80"/>
      <c r="F129" s="79"/>
      <c r="G129" s="90"/>
      <c r="H129" s="79"/>
      <c r="I129" s="79"/>
      <c r="J129" s="92">
        <f>IF($B129="","",IF($I129="","",IFERROR(IF(INDEX('RECIPE INDEX'!$C$6:$C$105,MATCH($I129,'RECIPE INDEX'!$B$6:$B$105,0))="","",INDEX('RECIPE INDEX'!$C$6:$C$105,MATCH($I129,'RECIPE INDEX'!$B$6:$B$105,0))),"")))</f>
      </c>
      <c r="K129" s="79"/>
      <c r="L129" s="82"/>
      <c r="M129" s="79"/>
      <c r="N129" s="79"/>
      <c r="O129" s="79"/>
      <c r="P129" s="79"/>
      <c r="Q129" s="86"/>
      <c r="R129" s="86"/>
      <c r="S129" s="78">
        <f>IF($B129="","",IF(OR($O129="Served",$O129="Dropped"),"DONE",IF($L129="",IF($C129="","NO DATE",IF($C129&lt;TODAY(),"OVERDUE","SCHEDULED")),IF($L129&lt;TODAY(),"PREP OVERDUE",IF($L129-TODAY()&lt;=7,"PREP THIS WEEK","SCHEDULED")))))</f>
      </c>
      <c r="T129" s="80"/>
      <c r="U129" s="78">
        <f>IF($B129="",0,IF(COUNTIF('MEAL + BAKING PLAN'!$B$6:$B$155,$B129)&gt;1,1,0))</f>
      </c>
      <c r="V129" s="78">
        <f>IF(OR(N($Q129)&gt;0,N($R129)&gt;0),IF($P129="",1,IF(COUNTIF('MASTER BUDGET'!$D$6:$D$25,$P129)=0,1,0)),0)</f>
      </c>
      <c r="W129" s="78">
        <f>IF($I129="",0,IF(COUNTIF('RECIPE INDEX'!$B$6:$B$105,$I129)=0,1,0))</f>
      </c>
      <c r="X129" s="75"/>
    </row>
    <row r="130" ht="17" customHeight="1" spans="1:24" x14ac:dyDescent="0.25">
      <c r="A130" s="75"/>
      <c r="B130" s="79"/>
      <c r="C130" s="82"/>
      <c r="D130" s="79"/>
      <c r="E130" s="80"/>
      <c r="F130" s="79"/>
      <c r="G130" s="90"/>
      <c r="H130" s="79"/>
      <c r="I130" s="79"/>
      <c r="J130" s="92">
        <f>IF($B130="","",IF($I130="","",IFERROR(IF(INDEX('RECIPE INDEX'!$C$6:$C$105,MATCH($I130,'RECIPE INDEX'!$B$6:$B$105,0))="","",INDEX('RECIPE INDEX'!$C$6:$C$105,MATCH($I130,'RECIPE INDEX'!$B$6:$B$105,0))),"")))</f>
      </c>
      <c r="K130" s="79"/>
      <c r="L130" s="82"/>
      <c r="M130" s="79"/>
      <c r="N130" s="79"/>
      <c r="O130" s="79"/>
      <c r="P130" s="79"/>
      <c r="Q130" s="86"/>
      <c r="R130" s="86"/>
      <c r="S130" s="78">
        <f>IF($B130="","",IF(OR($O130="Served",$O130="Dropped"),"DONE",IF($L130="",IF($C130="","NO DATE",IF($C130&lt;TODAY(),"OVERDUE","SCHEDULED")),IF($L130&lt;TODAY(),"PREP OVERDUE",IF($L130-TODAY()&lt;=7,"PREP THIS WEEK","SCHEDULED")))))</f>
      </c>
      <c r="T130" s="80"/>
      <c r="U130" s="78">
        <f>IF($B130="",0,IF(COUNTIF('MEAL + BAKING PLAN'!$B$6:$B$155,$B130)&gt;1,1,0))</f>
      </c>
      <c r="V130" s="78">
        <f>IF(OR(N($Q130)&gt;0,N($R130)&gt;0),IF($P130="",1,IF(COUNTIF('MASTER BUDGET'!$D$6:$D$25,$P130)=0,1,0)),0)</f>
      </c>
      <c r="W130" s="78">
        <f>IF($I130="",0,IF(COUNTIF('RECIPE INDEX'!$B$6:$B$105,$I130)=0,1,0))</f>
      </c>
      <c r="X130" s="75"/>
    </row>
    <row r="131" ht="17" customHeight="1" spans="1:24" x14ac:dyDescent="0.25">
      <c r="A131" s="75"/>
      <c r="B131" s="79"/>
      <c r="C131" s="82"/>
      <c r="D131" s="79"/>
      <c r="E131" s="80"/>
      <c r="F131" s="79"/>
      <c r="G131" s="90"/>
      <c r="H131" s="79"/>
      <c r="I131" s="79"/>
      <c r="J131" s="92">
        <f>IF($B131="","",IF($I131="","",IFERROR(IF(INDEX('RECIPE INDEX'!$C$6:$C$105,MATCH($I131,'RECIPE INDEX'!$B$6:$B$105,0))="","",INDEX('RECIPE INDEX'!$C$6:$C$105,MATCH($I131,'RECIPE INDEX'!$B$6:$B$105,0))),"")))</f>
      </c>
      <c r="K131" s="79"/>
      <c r="L131" s="82"/>
      <c r="M131" s="79"/>
      <c r="N131" s="79"/>
      <c r="O131" s="79"/>
      <c r="P131" s="79"/>
      <c r="Q131" s="86"/>
      <c r="R131" s="86"/>
      <c r="S131" s="78">
        <f>IF($B131="","",IF(OR($O131="Served",$O131="Dropped"),"DONE",IF($L131="",IF($C131="","NO DATE",IF($C131&lt;TODAY(),"OVERDUE","SCHEDULED")),IF($L131&lt;TODAY(),"PREP OVERDUE",IF($L131-TODAY()&lt;=7,"PREP THIS WEEK","SCHEDULED")))))</f>
      </c>
      <c r="T131" s="80"/>
      <c r="U131" s="78">
        <f>IF($B131="",0,IF(COUNTIF('MEAL + BAKING PLAN'!$B$6:$B$155,$B131)&gt;1,1,0))</f>
      </c>
      <c r="V131" s="78">
        <f>IF(OR(N($Q131)&gt;0,N($R131)&gt;0),IF($P131="",1,IF(COUNTIF('MASTER BUDGET'!$D$6:$D$25,$P131)=0,1,0)),0)</f>
      </c>
      <c r="W131" s="78">
        <f>IF($I131="",0,IF(COUNTIF('RECIPE INDEX'!$B$6:$B$105,$I131)=0,1,0))</f>
      </c>
      <c r="X131" s="75"/>
    </row>
    <row r="132" ht="17" customHeight="1" spans="1:24" x14ac:dyDescent="0.25">
      <c r="A132" s="75"/>
      <c r="B132" s="79"/>
      <c r="C132" s="82"/>
      <c r="D132" s="79"/>
      <c r="E132" s="80"/>
      <c r="F132" s="79"/>
      <c r="G132" s="90"/>
      <c r="H132" s="79"/>
      <c r="I132" s="79"/>
      <c r="J132" s="92">
        <f>IF($B132="","",IF($I132="","",IFERROR(IF(INDEX('RECIPE INDEX'!$C$6:$C$105,MATCH($I132,'RECIPE INDEX'!$B$6:$B$105,0))="","",INDEX('RECIPE INDEX'!$C$6:$C$105,MATCH($I132,'RECIPE INDEX'!$B$6:$B$105,0))),"")))</f>
      </c>
      <c r="K132" s="79"/>
      <c r="L132" s="82"/>
      <c r="M132" s="79"/>
      <c r="N132" s="79"/>
      <c r="O132" s="79"/>
      <c r="P132" s="79"/>
      <c r="Q132" s="86"/>
      <c r="R132" s="86"/>
      <c r="S132" s="78">
        <f>IF($B132="","",IF(OR($O132="Served",$O132="Dropped"),"DONE",IF($L132="",IF($C132="","NO DATE",IF($C132&lt;TODAY(),"OVERDUE","SCHEDULED")),IF($L132&lt;TODAY(),"PREP OVERDUE",IF($L132-TODAY()&lt;=7,"PREP THIS WEEK","SCHEDULED")))))</f>
      </c>
      <c r="T132" s="80"/>
      <c r="U132" s="78">
        <f>IF($B132="",0,IF(COUNTIF('MEAL + BAKING PLAN'!$B$6:$B$155,$B132)&gt;1,1,0))</f>
      </c>
      <c r="V132" s="78">
        <f>IF(OR(N($Q132)&gt;0,N($R132)&gt;0),IF($P132="",1,IF(COUNTIF('MASTER BUDGET'!$D$6:$D$25,$P132)=0,1,0)),0)</f>
      </c>
      <c r="W132" s="78">
        <f>IF($I132="",0,IF(COUNTIF('RECIPE INDEX'!$B$6:$B$105,$I132)=0,1,0))</f>
      </c>
      <c r="X132" s="75"/>
    </row>
    <row r="133" ht="17" customHeight="1" spans="1:24" x14ac:dyDescent="0.25">
      <c r="A133" s="75"/>
      <c r="B133" s="79"/>
      <c r="C133" s="82"/>
      <c r="D133" s="79"/>
      <c r="E133" s="80"/>
      <c r="F133" s="79"/>
      <c r="G133" s="90"/>
      <c r="H133" s="79"/>
      <c r="I133" s="79"/>
      <c r="J133" s="92">
        <f>IF($B133="","",IF($I133="","",IFERROR(IF(INDEX('RECIPE INDEX'!$C$6:$C$105,MATCH($I133,'RECIPE INDEX'!$B$6:$B$105,0))="","",INDEX('RECIPE INDEX'!$C$6:$C$105,MATCH($I133,'RECIPE INDEX'!$B$6:$B$105,0))),"")))</f>
      </c>
      <c r="K133" s="79"/>
      <c r="L133" s="82"/>
      <c r="M133" s="79"/>
      <c r="N133" s="79"/>
      <c r="O133" s="79"/>
      <c r="P133" s="79"/>
      <c r="Q133" s="86"/>
      <c r="R133" s="86"/>
      <c r="S133" s="78">
        <f>IF($B133="","",IF(OR($O133="Served",$O133="Dropped"),"DONE",IF($L133="",IF($C133="","NO DATE",IF($C133&lt;TODAY(),"OVERDUE","SCHEDULED")),IF($L133&lt;TODAY(),"PREP OVERDUE",IF($L133-TODAY()&lt;=7,"PREP THIS WEEK","SCHEDULED")))))</f>
      </c>
      <c r="T133" s="80"/>
      <c r="U133" s="78">
        <f>IF($B133="",0,IF(COUNTIF('MEAL + BAKING PLAN'!$B$6:$B$155,$B133)&gt;1,1,0))</f>
      </c>
      <c r="V133" s="78">
        <f>IF(OR(N($Q133)&gt;0,N($R133)&gt;0),IF($P133="",1,IF(COUNTIF('MASTER BUDGET'!$D$6:$D$25,$P133)=0,1,0)),0)</f>
      </c>
      <c r="W133" s="78">
        <f>IF($I133="",0,IF(COUNTIF('RECIPE INDEX'!$B$6:$B$105,$I133)=0,1,0))</f>
      </c>
      <c r="X133" s="75"/>
    </row>
    <row r="134" ht="17" customHeight="1" spans="1:24" x14ac:dyDescent="0.25">
      <c r="A134" s="75"/>
      <c r="B134" s="79"/>
      <c r="C134" s="82"/>
      <c r="D134" s="79"/>
      <c r="E134" s="80"/>
      <c r="F134" s="79"/>
      <c r="G134" s="90"/>
      <c r="H134" s="79"/>
      <c r="I134" s="79"/>
      <c r="J134" s="92">
        <f>IF($B134="","",IF($I134="","",IFERROR(IF(INDEX('RECIPE INDEX'!$C$6:$C$105,MATCH($I134,'RECIPE INDEX'!$B$6:$B$105,0))="","",INDEX('RECIPE INDEX'!$C$6:$C$105,MATCH($I134,'RECIPE INDEX'!$B$6:$B$105,0))),"")))</f>
      </c>
      <c r="K134" s="79"/>
      <c r="L134" s="82"/>
      <c r="M134" s="79"/>
      <c r="N134" s="79"/>
      <c r="O134" s="79"/>
      <c r="P134" s="79"/>
      <c r="Q134" s="86"/>
      <c r="R134" s="86"/>
      <c r="S134" s="78">
        <f>IF($B134="","",IF(OR($O134="Served",$O134="Dropped"),"DONE",IF($L134="",IF($C134="","NO DATE",IF($C134&lt;TODAY(),"OVERDUE","SCHEDULED")),IF($L134&lt;TODAY(),"PREP OVERDUE",IF($L134-TODAY()&lt;=7,"PREP THIS WEEK","SCHEDULED")))))</f>
      </c>
      <c r="T134" s="80"/>
      <c r="U134" s="78">
        <f>IF($B134="",0,IF(COUNTIF('MEAL + BAKING PLAN'!$B$6:$B$155,$B134)&gt;1,1,0))</f>
      </c>
      <c r="V134" s="78">
        <f>IF(OR(N($Q134)&gt;0,N($R134)&gt;0),IF($P134="",1,IF(COUNTIF('MASTER BUDGET'!$D$6:$D$25,$P134)=0,1,0)),0)</f>
      </c>
      <c r="W134" s="78">
        <f>IF($I134="",0,IF(COUNTIF('RECIPE INDEX'!$B$6:$B$105,$I134)=0,1,0))</f>
      </c>
      <c r="X134" s="75"/>
    </row>
    <row r="135" ht="17" customHeight="1" spans="1:24" x14ac:dyDescent="0.25">
      <c r="A135" s="75"/>
      <c r="B135" s="79"/>
      <c r="C135" s="82"/>
      <c r="D135" s="79"/>
      <c r="E135" s="80"/>
      <c r="F135" s="79"/>
      <c r="G135" s="90"/>
      <c r="H135" s="79"/>
      <c r="I135" s="79"/>
      <c r="J135" s="92">
        <f>IF($B135="","",IF($I135="","",IFERROR(IF(INDEX('RECIPE INDEX'!$C$6:$C$105,MATCH($I135,'RECIPE INDEX'!$B$6:$B$105,0))="","",INDEX('RECIPE INDEX'!$C$6:$C$105,MATCH($I135,'RECIPE INDEX'!$B$6:$B$105,0))),"")))</f>
      </c>
      <c r="K135" s="79"/>
      <c r="L135" s="82"/>
      <c r="M135" s="79"/>
      <c r="N135" s="79"/>
      <c r="O135" s="79"/>
      <c r="P135" s="79"/>
      <c r="Q135" s="86"/>
      <c r="R135" s="86"/>
      <c r="S135" s="78">
        <f>IF($B135="","",IF(OR($O135="Served",$O135="Dropped"),"DONE",IF($L135="",IF($C135="","NO DATE",IF($C135&lt;TODAY(),"OVERDUE","SCHEDULED")),IF($L135&lt;TODAY(),"PREP OVERDUE",IF($L135-TODAY()&lt;=7,"PREP THIS WEEK","SCHEDULED")))))</f>
      </c>
      <c r="T135" s="80"/>
      <c r="U135" s="78">
        <f>IF($B135="",0,IF(COUNTIF('MEAL + BAKING PLAN'!$B$6:$B$155,$B135)&gt;1,1,0))</f>
      </c>
      <c r="V135" s="78">
        <f>IF(OR(N($Q135)&gt;0,N($R135)&gt;0),IF($P135="",1,IF(COUNTIF('MASTER BUDGET'!$D$6:$D$25,$P135)=0,1,0)),0)</f>
      </c>
      <c r="W135" s="78">
        <f>IF($I135="",0,IF(COUNTIF('RECIPE INDEX'!$B$6:$B$105,$I135)=0,1,0))</f>
      </c>
      <c r="X135" s="75"/>
    </row>
    <row r="136" ht="17" customHeight="1" spans="1:24" x14ac:dyDescent="0.25">
      <c r="A136" s="75"/>
      <c r="B136" s="79"/>
      <c r="C136" s="82"/>
      <c r="D136" s="79"/>
      <c r="E136" s="80"/>
      <c r="F136" s="79"/>
      <c r="G136" s="90"/>
      <c r="H136" s="79"/>
      <c r="I136" s="79"/>
      <c r="J136" s="92">
        <f>IF($B136="","",IF($I136="","",IFERROR(IF(INDEX('RECIPE INDEX'!$C$6:$C$105,MATCH($I136,'RECIPE INDEX'!$B$6:$B$105,0))="","",INDEX('RECIPE INDEX'!$C$6:$C$105,MATCH($I136,'RECIPE INDEX'!$B$6:$B$105,0))),"")))</f>
      </c>
      <c r="K136" s="79"/>
      <c r="L136" s="82"/>
      <c r="M136" s="79"/>
      <c r="N136" s="79"/>
      <c r="O136" s="79"/>
      <c r="P136" s="79"/>
      <c r="Q136" s="86"/>
      <c r="R136" s="86"/>
      <c r="S136" s="78">
        <f>IF($B136="","",IF(OR($O136="Served",$O136="Dropped"),"DONE",IF($L136="",IF($C136="","NO DATE",IF($C136&lt;TODAY(),"OVERDUE","SCHEDULED")),IF($L136&lt;TODAY(),"PREP OVERDUE",IF($L136-TODAY()&lt;=7,"PREP THIS WEEK","SCHEDULED")))))</f>
      </c>
      <c r="T136" s="80"/>
      <c r="U136" s="78">
        <f>IF($B136="",0,IF(COUNTIF('MEAL + BAKING PLAN'!$B$6:$B$155,$B136)&gt;1,1,0))</f>
      </c>
      <c r="V136" s="78">
        <f>IF(OR(N($Q136)&gt;0,N($R136)&gt;0),IF($P136="",1,IF(COUNTIF('MASTER BUDGET'!$D$6:$D$25,$P136)=0,1,0)),0)</f>
      </c>
      <c r="W136" s="78">
        <f>IF($I136="",0,IF(COUNTIF('RECIPE INDEX'!$B$6:$B$105,$I136)=0,1,0))</f>
      </c>
      <c r="X136" s="75"/>
    </row>
    <row r="137" ht="17" customHeight="1" spans="1:24" x14ac:dyDescent="0.25">
      <c r="A137" s="75"/>
      <c r="B137" s="79"/>
      <c r="C137" s="82"/>
      <c r="D137" s="79"/>
      <c r="E137" s="80"/>
      <c r="F137" s="79"/>
      <c r="G137" s="90"/>
      <c r="H137" s="79"/>
      <c r="I137" s="79"/>
      <c r="J137" s="92">
        <f>IF($B137="","",IF($I137="","",IFERROR(IF(INDEX('RECIPE INDEX'!$C$6:$C$105,MATCH($I137,'RECIPE INDEX'!$B$6:$B$105,0))="","",INDEX('RECIPE INDEX'!$C$6:$C$105,MATCH($I137,'RECIPE INDEX'!$B$6:$B$105,0))),"")))</f>
      </c>
      <c r="K137" s="79"/>
      <c r="L137" s="82"/>
      <c r="M137" s="79"/>
      <c r="N137" s="79"/>
      <c r="O137" s="79"/>
      <c r="P137" s="79"/>
      <c r="Q137" s="86"/>
      <c r="R137" s="86"/>
      <c r="S137" s="78">
        <f>IF($B137="","",IF(OR($O137="Served",$O137="Dropped"),"DONE",IF($L137="",IF($C137="","NO DATE",IF($C137&lt;TODAY(),"OVERDUE","SCHEDULED")),IF($L137&lt;TODAY(),"PREP OVERDUE",IF($L137-TODAY()&lt;=7,"PREP THIS WEEK","SCHEDULED")))))</f>
      </c>
      <c r="T137" s="80"/>
      <c r="U137" s="78">
        <f>IF($B137="",0,IF(COUNTIF('MEAL + BAKING PLAN'!$B$6:$B$155,$B137)&gt;1,1,0))</f>
      </c>
      <c r="V137" s="78">
        <f>IF(OR(N($Q137)&gt;0,N($R137)&gt;0),IF($P137="",1,IF(COUNTIF('MASTER BUDGET'!$D$6:$D$25,$P137)=0,1,0)),0)</f>
      </c>
      <c r="W137" s="78">
        <f>IF($I137="",0,IF(COUNTIF('RECIPE INDEX'!$B$6:$B$105,$I137)=0,1,0))</f>
      </c>
      <c r="X137" s="75"/>
    </row>
    <row r="138" ht="17" customHeight="1" spans="1:24" x14ac:dyDescent="0.25">
      <c r="A138" s="75"/>
      <c r="B138" s="79"/>
      <c r="C138" s="82"/>
      <c r="D138" s="79"/>
      <c r="E138" s="80"/>
      <c r="F138" s="79"/>
      <c r="G138" s="90"/>
      <c r="H138" s="79"/>
      <c r="I138" s="79"/>
      <c r="J138" s="92">
        <f>IF($B138="","",IF($I138="","",IFERROR(IF(INDEX('RECIPE INDEX'!$C$6:$C$105,MATCH($I138,'RECIPE INDEX'!$B$6:$B$105,0))="","",INDEX('RECIPE INDEX'!$C$6:$C$105,MATCH($I138,'RECIPE INDEX'!$B$6:$B$105,0))),"")))</f>
      </c>
      <c r="K138" s="79"/>
      <c r="L138" s="82"/>
      <c r="M138" s="79"/>
      <c r="N138" s="79"/>
      <c r="O138" s="79"/>
      <c r="P138" s="79"/>
      <c r="Q138" s="86"/>
      <c r="R138" s="86"/>
      <c r="S138" s="78">
        <f>IF($B138="","",IF(OR($O138="Served",$O138="Dropped"),"DONE",IF($L138="",IF($C138="","NO DATE",IF($C138&lt;TODAY(),"OVERDUE","SCHEDULED")),IF($L138&lt;TODAY(),"PREP OVERDUE",IF($L138-TODAY()&lt;=7,"PREP THIS WEEK","SCHEDULED")))))</f>
      </c>
      <c r="T138" s="80"/>
      <c r="U138" s="78">
        <f>IF($B138="",0,IF(COUNTIF('MEAL + BAKING PLAN'!$B$6:$B$155,$B138)&gt;1,1,0))</f>
      </c>
      <c r="V138" s="78">
        <f>IF(OR(N($Q138)&gt;0,N($R138)&gt;0),IF($P138="",1,IF(COUNTIF('MASTER BUDGET'!$D$6:$D$25,$P138)=0,1,0)),0)</f>
      </c>
      <c r="W138" s="78">
        <f>IF($I138="",0,IF(COUNTIF('RECIPE INDEX'!$B$6:$B$105,$I138)=0,1,0))</f>
      </c>
      <c r="X138" s="75"/>
    </row>
    <row r="139" ht="17" customHeight="1" spans="1:24" x14ac:dyDescent="0.25">
      <c r="A139" s="75"/>
      <c r="B139" s="79"/>
      <c r="C139" s="82"/>
      <c r="D139" s="79"/>
      <c r="E139" s="80"/>
      <c r="F139" s="79"/>
      <c r="G139" s="90"/>
      <c r="H139" s="79"/>
      <c r="I139" s="79"/>
      <c r="J139" s="92">
        <f>IF($B139="","",IF($I139="","",IFERROR(IF(INDEX('RECIPE INDEX'!$C$6:$C$105,MATCH($I139,'RECIPE INDEX'!$B$6:$B$105,0))="","",INDEX('RECIPE INDEX'!$C$6:$C$105,MATCH($I139,'RECIPE INDEX'!$B$6:$B$105,0))),"")))</f>
      </c>
      <c r="K139" s="79"/>
      <c r="L139" s="82"/>
      <c r="M139" s="79"/>
      <c r="N139" s="79"/>
      <c r="O139" s="79"/>
      <c r="P139" s="79"/>
      <c r="Q139" s="86"/>
      <c r="R139" s="86"/>
      <c r="S139" s="78">
        <f>IF($B139="","",IF(OR($O139="Served",$O139="Dropped"),"DONE",IF($L139="",IF($C139="","NO DATE",IF($C139&lt;TODAY(),"OVERDUE","SCHEDULED")),IF($L139&lt;TODAY(),"PREP OVERDUE",IF($L139-TODAY()&lt;=7,"PREP THIS WEEK","SCHEDULED")))))</f>
      </c>
      <c r="T139" s="80"/>
      <c r="U139" s="78">
        <f>IF($B139="",0,IF(COUNTIF('MEAL + BAKING PLAN'!$B$6:$B$155,$B139)&gt;1,1,0))</f>
      </c>
      <c r="V139" s="78">
        <f>IF(OR(N($Q139)&gt;0,N($R139)&gt;0),IF($P139="",1,IF(COUNTIF('MASTER BUDGET'!$D$6:$D$25,$P139)=0,1,0)),0)</f>
      </c>
      <c r="W139" s="78">
        <f>IF($I139="",0,IF(COUNTIF('RECIPE INDEX'!$B$6:$B$105,$I139)=0,1,0))</f>
      </c>
      <c r="X139" s="75"/>
    </row>
    <row r="140" ht="17" customHeight="1" spans="1:24" x14ac:dyDescent="0.25">
      <c r="A140" s="75"/>
      <c r="B140" s="79"/>
      <c r="C140" s="82"/>
      <c r="D140" s="79"/>
      <c r="E140" s="80"/>
      <c r="F140" s="79"/>
      <c r="G140" s="90"/>
      <c r="H140" s="79"/>
      <c r="I140" s="79"/>
      <c r="J140" s="92">
        <f>IF($B140="","",IF($I140="","",IFERROR(IF(INDEX('RECIPE INDEX'!$C$6:$C$105,MATCH($I140,'RECIPE INDEX'!$B$6:$B$105,0))="","",INDEX('RECIPE INDEX'!$C$6:$C$105,MATCH($I140,'RECIPE INDEX'!$B$6:$B$105,0))),"")))</f>
      </c>
      <c r="K140" s="79"/>
      <c r="L140" s="82"/>
      <c r="M140" s="79"/>
      <c r="N140" s="79"/>
      <c r="O140" s="79"/>
      <c r="P140" s="79"/>
      <c r="Q140" s="86"/>
      <c r="R140" s="86"/>
      <c r="S140" s="78">
        <f>IF($B140="","",IF(OR($O140="Served",$O140="Dropped"),"DONE",IF($L140="",IF($C140="","NO DATE",IF($C140&lt;TODAY(),"OVERDUE","SCHEDULED")),IF($L140&lt;TODAY(),"PREP OVERDUE",IF($L140-TODAY()&lt;=7,"PREP THIS WEEK","SCHEDULED")))))</f>
      </c>
      <c r="T140" s="80"/>
      <c r="U140" s="78">
        <f>IF($B140="",0,IF(COUNTIF('MEAL + BAKING PLAN'!$B$6:$B$155,$B140)&gt;1,1,0))</f>
      </c>
      <c r="V140" s="78">
        <f>IF(OR(N($Q140)&gt;0,N($R140)&gt;0),IF($P140="",1,IF(COUNTIF('MASTER BUDGET'!$D$6:$D$25,$P140)=0,1,0)),0)</f>
      </c>
      <c r="W140" s="78">
        <f>IF($I140="",0,IF(COUNTIF('RECIPE INDEX'!$B$6:$B$105,$I140)=0,1,0))</f>
      </c>
      <c r="X140" s="75"/>
    </row>
    <row r="141" ht="17" customHeight="1" spans="1:24" x14ac:dyDescent="0.25">
      <c r="A141" s="75"/>
      <c r="B141" s="79"/>
      <c r="C141" s="82"/>
      <c r="D141" s="79"/>
      <c r="E141" s="80"/>
      <c r="F141" s="79"/>
      <c r="G141" s="90"/>
      <c r="H141" s="79"/>
      <c r="I141" s="79"/>
      <c r="J141" s="92">
        <f>IF($B141="","",IF($I141="","",IFERROR(IF(INDEX('RECIPE INDEX'!$C$6:$C$105,MATCH($I141,'RECIPE INDEX'!$B$6:$B$105,0))="","",INDEX('RECIPE INDEX'!$C$6:$C$105,MATCH($I141,'RECIPE INDEX'!$B$6:$B$105,0))),"")))</f>
      </c>
      <c r="K141" s="79"/>
      <c r="L141" s="82"/>
      <c r="M141" s="79"/>
      <c r="N141" s="79"/>
      <c r="O141" s="79"/>
      <c r="P141" s="79"/>
      <c r="Q141" s="86"/>
      <c r="R141" s="86"/>
      <c r="S141" s="78">
        <f>IF($B141="","",IF(OR($O141="Served",$O141="Dropped"),"DONE",IF($L141="",IF($C141="","NO DATE",IF($C141&lt;TODAY(),"OVERDUE","SCHEDULED")),IF($L141&lt;TODAY(),"PREP OVERDUE",IF($L141-TODAY()&lt;=7,"PREP THIS WEEK","SCHEDULED")))))</f>
      </c>
      <c r="T141" s="80"/>
      <c r="U141" s="78">
        <f>IF($B141="",0,IF(COUNTIF('MEAL + BAKING PLAN'!$B$6:$B$155,$B141)&gt;1,1,0))</f>
      </c>
      <c r="V141" s="78">
        <f>IF(OR(N($Q141)&gt;0,N($R141)&gt;0),IF($P141="",1,IF(COUNTIF('MASTER BUDGET'!$D$6:$D$25,$P141)=0,1,0)),0)</f>
      </c>
      <c r="W141" s="78">
        <f>IF($I141="",0,IF(COUNTIF('RECIPE INDEX'!$B$6:$B$105,$I141)=0,1,0))</f>
      </c>
      <c r="X141" s="75"/>
    </row>
    <row r="142" ht="17" customHeight="1" spans="1:24" x14ac:dyDescent="0.25">
      <c r="A142" s="75"/>
      <c r="B142" s="79"/>
      <c r="C142" s="82"/>
      <c r="D142" s="79"/>
      <c r="E142" s="80"/>
      <c r="F142" s="79"/>
      <c r="G142" s="90"/>
      <c r="H142" s="79"/>
      <c r="I142" s="79"/>
      <c r="J142" s="92">
        <f>IF($B142="","",IF($I142="","",IFERROR(IF(INDEX('RECIPE INDEX'!$C$6:$C$105,MATCH($I142,'RECIPE INDEX'!$B$6:$B$105,0))="","",INDEX('RECIPE INDEX'!$C$6:$C$105,MATCH($I142,'RECIPE INDEX'!$B$6:$B$105,0))),"")))</f>
      </c>
      <c r="K142" s="79"/>
      <c r="L142" s="82"/>
      <c r="M142" s="79"/>
      <c r="N142" s="79"/>
      <c r="O142" s="79"/>
      <c r="P142" s="79"/>
      <c r="Q142" s="86"/>
      <c r="R142" s="86"/>
      <c r="S142" s="78">
        <f>IF($B142="","",IF(OR($O142="Served",$O142="Dropped"),"DONE",IF($L142="",IF($C142="","NO DATE",IF($C142&lt;TODAY(),"OVERDUE","SCHEDULED")),IF($L142&lt;TODAY(),"PREP OVERDUE",IF($L142-TODAY()&lt;=7,"PREP THIS WEEK","SCHEDULED")))))</f>
      </c>
      <c r="T142" s="80"/>
      <c r="U142" s="78">
        <f>IF($B142="",0,IF(COUNTIF('MEAL + BAKING PLAN'!$B$6:$B$155,$B142)&gt;1,1,0))</f>
      </c>
      <c r="V142" s="78">
        <f>IF(OR(N($Q142)&gt;0,N($R142)&gt;0),IF($P142="",1,IF(COUNTIF('MASTER BUDGET'!$D$6:$D$25,$P142)=0,1,0)),0)</f>
      </c>
      <c r="W142" s="78">
        <f>IF($I142="",0,IF(COUNTIF('RECIPE INDEX'!$B$6:$B$105,$I142)=0,1,0))</f>
      </c>
      <c r="X142" s="75"/>
    </row>
    <row r="143" ht="17" customHeight="1" spans="1:24" x14ac:dyDescent="0.25">
      <c r="A143" s="75"/>
      <c r="B143" s="79"/>
      <c r="C143" s="82"/>
      <c r="D143" s="79"/>
      <c r="E143" s="80"/>
      <c r="F143" s="79"/>
      <c r="G143" s="90"/>
      <c r="H143" s="79"/>
      <c r="I143" s="79"/>
      <c r="J143" s="92">
        <f>IF($B143="","",IF($I143="","",IFERROR(IF(INDEX('RECIPE INDEX'!$C$6:$C$105,MATCH($I143,'RECIPE INDEX'!$B$6:$B$105,0))="","",INDEX('RECIPE INDEX'!$C$6:$C$105,MATCH($I143,'RECIPE INDEX'!$B$6:$B$105,0))),"")))</f>
      </c>
      <c r="K143" s="79"/>
      <c r="L143" s="82"/>
      <c r="M143" s="79"/>
      <c r="N143" s="79"/>
      <c r="O143" s="79"/>
      <c r="P143" s="79"/>
      <c r="Q143" s="86"/>
      <c r="R143" s="86"/>
      <c r="S143" s="78">
        <f>IF($B143="","",IF(OR($O143="Served",$O143="Dropped"),"DONE",IF($L143="",IF($C143="","NO DATE",IF($C143&lt;TODAY(),"OVERDUE","SCHEDULED")),IF($L143&lt;TODAY(),"PREP OVERDUE",IF($L143-TODAY()&lt;=7,"PREP THIS WEEK","SCHEDULED")))))</f>
      </c>
      <c r="T143" s="80"/>
      <c r="U143" s="78">
        <f>IF($B143="",0,IF(COUNTIF('MEAL + BAKING PLAN'!$B$6:$B$155,$B143)&gt;1,1,0))</f>
      </c>
      <c r="V143" s="78">
        <f>IF(OR(N($Q143)&gt;0,N($R143)&gt;0),IF($P143="",1,IF(COUNTIF('MASTER BUDGET'!$D$6:$D$25,$P143)=0,1,0)),0)</f>
      </c>
      <c r="W143" s="78">
        <f>IF($I143="",0,IF(COUNTIF('RECIPE INDEX'!$B$6:$B$105,$I143)=0,1,0))</f>
      </c>
      <c r="X143" s="75"/>
    </row>
    <row r="144" ht="17" customHeight="1" spans="1:24" x14ac:dyDescent="0.25">
      <c r="A144" s="75"/>
      <c r="B144" s="79"/>
      <c r="C144" s="82"/>
      <c r="D144" s="79"/>
      <c r="E144" s="80"/>
      <c r="F144" s="79"/>
      <c r="G144" s="90"/>
      <c r="H144" s="79"/>
      <c r="I144" s="79"/>
      <c r="J144" s="92">
        <f>IF($B144="","",IF($I144="","",IFERROR(IF(INDEX('RECIPE INDEX'!$C$6:$C$105,MATCH($I144,'RECIPE INDEX'!$B$6:$B$105,0))="","",INDEX('RECIPE INDEX'!$C$6:$C$105,MATCH($I144,'RECIPE INDEX'!$B$6:$B$105,0))),"")))</f>
      </c>
      <c r="K144" s="79"/>
      <c r="L144" s="82"/>
      <c r="M144" s="79"/>
      <c r="N144" s="79"/>
      <c r="O144" s="79"/>
      <c r="P144" s="79"/>
      <c r="Q144" s="86"/>
      <c r="R144" s="86"/>
      <c r="S144" s="78">
        <f>IF($B144="","",IF(OR($O144="Served",$O144="Dropped"),"DONE",IF($L144="",IF($C144="","NO DATE",IF($C144&lt;TODAY(),"OVERDUE","SCHEDULED")),IF($L144&lt;TODAY(),"PREP OVERDUE",IF($L144-TODAY()&lt;=7,"PREP THIS WEEK","SCHEDULED")))))</f>
      </c>
      <c r="T144" s="80"/>
      <c r="U144" s="78">
        <f>IF($B144="",0,IF(COUNTIF('MEAL + BAKING PLAN'!$B$6:$B$155,$B144)&gt;1,1,0))</f>
      </c>
      <c r="V144" s="78">
        <f>IF(OR(N($Q144)&gt;0,N($R144)&gt;0),IF($P144="",1,IF(COUNTIF('MASTER BUDGET'!$D$6:$D$25,$P144)=0,1,0)),0)</f>
      </c>
      <c r="W144" s="78">
        <f>IF($I144="",0,IF(COUNTIF('RECIPE INDEX'!$B$6:$B$105,$I144)=0,1,0))</f>
      </c>
      <c r="X144" s="75"/>
    </row>
    <row r="145" ht="17" customHeight="1" spans="1:24" x14ac:dyDescent="0.25">
      <c r="A145" s="75"/>
      <c r="B145" s="79"/>
      <c r="C145" s="82"/>
      <c r="D145" s="79"/>
      <c r="E145" s="80"/>
      <c r="F145" s="79"/>
      <c r="G145" s="90"/>
      <c r="H145" s="79"/>
      <c r="I145" s="79"/>
      <c r="J145" s="92">
        <f>IF($B145="","",IF($I145="","",IFERROR(IF(INDEX('RECIPE INDEX'!$C$6:$C$105,MATCH($I145,'RECIPE INDEX'!$B$6:$B$105,0))="","",INDEX('RECIPE INDEX'!$C$6:$C$105,MATCH($I145,'RECIPE INDEX'!$B$6:$B$105,0))),"")))</f>
      </c>
      <c r="K145" s="79"/>
      <c r="L145" s="82"/>
      <c r="M145" s="79"/>
      <c r="N145" s="79"/>
      <c r="O145" s="79"/>
      <c r="P145" s="79"/>
      <c r="Q145" s="86"/>
      <c r="R145" s="86"/>
      <c r="S145" s="78">
        <f>IF($B145="","",IF(OR($O145="Served",$O145="Dropped"),"DONE",IF($L145="",IF($C145="","NO DATE",IF($C145&lt;TODAY(),"OVERDUE","SCHEDULED")),IF($L145&lt;TODAY(),"PREP OVERDUE",IF($L145-TODAY()&lt;=7,"PREP THIS WEEK","SCHEDULED")))))</f>
      </c>
      <c r="T145" s="80"/>
      <c r="U145" s="78">
        <f>IF($B145="",0,IF(COUNTIF('MEAL + BAKING PLAN'!$B$6:$B$155,$B145)&gt;1,1,0))</f>
      </c>
      <c r="V145" s="78">
        <f>IF(OR(N($Q145)&gt;0,N($R145)&gt;0),IF($P145="",1,IF(COUNTIF('MASTER BUDGET'!$D$6:$D$25,$P145)=0,1,0)),0)</f>
      </c>
      <c r="W145" s="78">
        <f>IF($I145="",0,IF(COUNTIF('RECIPE INDEX'!$B$6:$B$105,$I145)=0,1,0))</f>
      </c>
      <c r="X145" s="75"/>
    </row>
    <row r="146" ht="17" customHeight="1" spans="1:24" x14ac:dyDescent="0.25">
      <c r="A146" s="75"/>
      <c r="B146" s="79"/>
      <c r="C146" s="82"/>
      <c r="D146" s="79"/>
      <c r="E146" s="80"/>
      <c r="F146" s="79"/>
      <c r="G146" s="90"/>
      <c r="H146" s="79"/>
      <c r="I146" s="79"/>
      <c r="J146" s="92">
        <f>IF($B146="","",IF($I146="","",IFERROR(IF(INDEX('RECIPE INDEX'!$C$6:$C$105,MATCH($I146,'RECIPE INDEX'!$B$6:$B$105,0))="","",INDEX('RECIPE INDEX'!$C$6:$C$105,MATCH($I146,'RECIPE INDEX'!$B$6:$B$105,0))),"")))</f>
      </c>
      <c r="K146" s="79"/>
      <c r="L146" s="82"/>
      <c r="M146" s="79"/>
      <c r="N146" s="79"/>
      <c r="O146" s="79"/>
      <c r="P146" s="79"/>
      <c r="Q146" s="86"/>
      <c r="R146" s="86"/>
      <c r="S146" s="78">
        <f>IF($B146="","",IF(OR($O146="Served",$O146="Dropped"),"DONE",IF($L146="",IF($C146="","NO DATE",IF($C146&lt;TODAY(),"OVERDUE","SCHEDULED")),IF($L146&lt;TODAY(),"PREP OVERDUE",IF($L146-TODAY()&lt;=7,"PREP THIS WEEK","SCHEDULED")))))</f>
      </c>
      <c r="T146" s="80"/>
      <c r="U146" s="78">
        <f>IF($B146="",0,IF(COUNTIF('MEAL + BAKING PLAN'!$B$6:$B$155,$B146)&gt;1,1,0))</f>
      </c>
      <c r="V146" s="78">
        <f>IF(OR(N($Q146)&gt;0,N($R146)&gt;0),IF($P146="",1,IF(COUNTIF('MASTER BUDGET'!$D$6:$D$25,$P146)=0,1,0)),0)</f>
      </c>
      <c r="W146" s="78">
        <f>IF($I146="",0,IF(COUNTIF('RECIPE INDEX'!$B$6:$B$105,$I146)=0,1,0))</f>
      </c>
      <c r="X146" s="75"/>
    </row>
    <row r="147" ht="17" customHeight="1" spans="1:24" x14ac:dyDescent="0.25">
      <c r="A147" s="75"/>
      <c r="B147" s="79"/>
      <c r="C147" s="82"/>
      <c r="D147" s="79"/>
      <c r="E147" s="80"/>
      <c r="F147" s="79"/>
      <c r="G147" s="90"/>
      <c r="H147" s="79"/>
      <c r="I147" s="79"/>
      <c r="J147" s="92">
        <f>IF($B147="","",IF($I147="","",IFERROR(IF(INDEX('RECIPE INDEX'!$C$6:$C$105,MATCH($I147,'RECIPE INDEX'!$B$6:$B$105,0))="","",INDEX('RECIPE INDEX'!$C$6:$C$105,MATCH($I147,'RECIPE INDEX'!$B$6:$B$105,0))),"")))</f>
      </c>
      <c r="K147" s="79"/>
      <c r="L147" s="82"/>
      <c r="M147" s="79"/>
      <c r="N147" s="79"/>
      <c r="O147" s="79"/>
      <c r="P147" s="79"/>
      <c r="Q147" s="86"/>
      <c r="R147" s="86"/>
      <c r="S147" s="78">
        <f>IF($B147="","",IF(OR($O147="Served",$O147="Dropped"),"DONE",IF($L147="",IF($C147="","NO DATE",IF($C147&lt;TODAY(),"OVERDUE","SCHEDULED")),IF($L147&lt;TODAY(),"PREP OVERDUE",IF($L147-TODAY()&lt;=7,"PREP THIS WEEK","SCHEDULED")))))</f>
      </c>
      <c r="T147" s="80"/>
      <c r="U147" s="78">
        <f>IF($B147="",0,IF(COUNTIF('MEAL + BAKING PLAN'!$B$6:$B$155,$B147)&gt;1,1,0))</f>
      </c>
      <c r="V147" s="78">
        <f>IF(OR(N($Q147)&gt;0,N($R147)&gt;0),IF($P147="",1,IF(COUNTIF('MASTER BUDGET'!$D$6:$D$25,$P147)=0,1,0)),0)</f>
      </c>
      <c r="W147" s="78">
        <f>IF($I147="",0,IF(COUNTIF('RECIPE INDEX'!$B$6:$B$105,$I147)=0,1,0))</f>
      </c>
      <c r="X147" s="75"/>
    </row>
    <row r="148" ht="17" customHeight="1" spans="1:24" x14ac:dyDescent="0.25">
      <c r="A148" s="75"/>
      <c r="B148" s="79"/>
      <c r="C148" s="82"/>
      <c r="D148" s="79"/>
      <c r="E148" s="80"/>
      <c r="F148" s="79"/>
      <c r="G148" s="90"/>
      <c r="H148" s="79"/>
      <c r="I148" s="79"/>
      <c r="J148" s="92">
        <f>IF($B148="","",IF($I148="","",IFERROR(IF(INDEX('RECIPE INDEX'!$C$6:$C$105,MATCH($I148,'RECIPE INDEX'!$B$6:$B$105,0))="","",INDEX('RECIPE INDEX'!$C$6:$C$105,MATCH($I148,'RECIPE INDEX'!$B$6:$B$105,0))),"")))</f>
      </c>
      <c r="K148" s="79"/>
      <c r="L148" s="82"/>
      <c r="M148" s="79"/>
      <c r="N148" s="79"/>
      <c r="O148" s="79"/>
      <c r="P148" s="79"/>
      <c r="Q148" s="86"/>
      <c r="R148" s="86"/>
      <c r="S148" s="78">
        <f>IF($B148="","",IF(OR($O148="Served",$O148="Dropped"),"DONE",IF($L148="",IF($C148="","NO DATE",IF($C148&lt;TODAY(),"OVERDUE","SCHEDULED")),IF($L148&lt;TODAY(),"PREP OVERDUE",IF($L148-TODAY()&lt;=7,"PREP THIS WEEK","SCHEDULED")))))</f>
      </c>
      <c r="T148" s="80"/>
      <c r="U148" s="78">
        <f>IF($B148="",0,IF(COUNTIF('MEAL + BAKING PLAN'!$B$6:$B$155,$B148)&gt;1,1,0))</f>
      </c>
      <c r="V148" s="78">
        <f>IF(OR(N($Q148)&gt;0,N($R148)&gt;0),IF($P148="",1,IF(COUNTIF('MASTER BUDGET'!$D$6:$D$25,$P148)=0,1,0)),0)</f>
      </c>
      <c r="W148" s="78">
        <f>IF($I148="",0,IF(COUNTIF('RECIPE INDEX'!$B$6:$B$105,$I148)=0,1,0))</f>
      </c>
      <c r="X148" s="75"/>
    </row>
    <row r="149" ht="17" customHeight="1" spans="1:24" x14ac:dyDescent="0.25">
      <c r="A149" s="75"/>
      <c r="B149" s="79"/>
      <c r="C149" s="82"/>
      <c r="D149" s="79"/>
      <c r="E149" s="80"/>
      <c r="F149" s="79"/>
      <c r="G149" s="90"/>
      <c r="H149" s="79"/>
      <c r="I149" s="79"/>
      <c r="J149" s="92">
        <f>IF($B149="","",IF($I149="","",IFERROR(IF(INDEX('RECIPE INDEX'!$C$6:$C$105,MATCH($I149,'RECIPE INDEX'!$B$6:$B$105,0))="","",INDEX('RECIPE INDEX'!$C$6:$C$105,MATCH($I149,'RECIPE INDEX'!$B$6:$B$105,0))),"")))</f>
      </c>
      <c r="K149" s="79"/>
      <c r="L149" s="82"/>
      <c r="M149" s="79"/>
      <c r="N149" s="79"/>
      <c r="O149" s="79"/>
      <c r="P149" s="79"/>
      <c r="Q149" s="86"/>
      <c r="R149" s="86"/>
      <c r="S149" s="78">
        <f>IF($B149="","",IF(OR($O149="Served",$O149="Dropped"),"DONE",IF($L149="",IF($C149="","NO DATE",IF($C149&lt;TODAY(),"OVERDUE","SCHEDULED")),IF($L149&lt;TODAY(),"PREP OVERDUE",IF($L149-TODAY()&lt;=7,"PREP THIS WEEK","SCHEDULED")))))</f>
      </c>
      <c r="T149" s="80"/>
      <c r="U149" s="78">
        <f>IF($B149="",0,IF(COUNTIF('MEAL + BAKING PLAN'!$B$6:$B$155,$B149)&gt;1,1,0))</f>
      </c>
      <c r="V149" s="78">
        <f>IF(OR(N($Q149)&gt;0,N($R149)&gt;0),IF($P149="",1,IF(COUNTIF('MASTER BUDGET'!$D$6:$D$25,$P149)=0,1,0)),0)</f>
      </c>
      <c r="W149" s="78">
        <f>IF($I149="",0,IF(COUNTIF('RECIPE INDEX'!$B$6:$B$105,$I149)=0,1,0))</f>
      </c>
      <c r="X149" s="75"/>
    </row>
    <row r="150" ht="17" customHeight="1" spans="1:24" x14ac:dyDescent="0.25">
      <c r="A150" s="75"/>
      <c r="B150" s="79"/>
      <c r="C150" s="82"/>
      <c r="D150" s="79"/>
      <c r="E150" s="80"/>
      <c r="F150" s="79"/>
      <c r="G150" s="90"/>
      <c r="H150" s="79"/>
      <c r="I150" s="79"/>
      <c r="J150" s="92">
        <f>IF($B150="","",IF($I150="","",IFERROR(IF(INDEX('RECIPE INDEX'!$C$6:$C$105,MATCH($I150,'RECIPE INDEX'!$B$6:$B$105,0))="","",INDEX('RECIPE INDEX'!$C$6:$C$105,MATCH($I150,'RECIPE INDEX'!$B$6:$B$105,0))),"")))</f>
      </c>
      <c r="K150" s="79"/>
      <c r="L150" s="82"/>
      <c r="M150" s="79"/>
      <c r="N150" s="79"/>
      <c r="O150" s="79"/>
      <c r="P150" s="79"/>
      <c r="Q150" s="86"/>
      <c r="R150" s="86"/>
      <c r="S150" s="78">
        <f>IF($B150="","",IF(OR($O150="Served",$O150="Dropped"),"DONE",IF($L150="",IF($C150="","NO DATE",IF($C150&lt;TODAY(),"OVERDUE","SCHEDULED")),IF($L150&lt;TODAY(),"PREP OVERDUE",IF($L150-TODAY()&lt;=7,"PREP THIS WEEK","SCHEDULED")))))</f>
      </c>
      <c r="T150" s="80"/>
      <c r="U150" s="78">
        <f>IF($B150="",0,IF(COUNTIF('MEAL + BAKING PLAN'!$B$6:$B$155,$B150)&gt;1,1,0))</f>
      </c>
      <c r="V150" s="78">
        <f>IF(OR(N($Q150)&gt;0,N($R150)&gt;0),IF($P150="",1,IF(COUNTIF('MASTER BUDGET'!$D$6:$D$25,$P150)=0,1,0)),0)</f>
      </c>
      <c r="W150" s="78">
        <f>IF($I150="",0,IF(COUNTIF('RECIPE INDEX'!$B$6:$B$105,$I150)=0,1,0))</f>
      </c>
      <c r="X150" s="75"/>
    </row>
    <row r="151" ht="17" customHeight="1" spans="1:24" x14ac:dyDescent="0.25">
      <c r="A151" s="75"/>
      <c r="B151" s="79"/>
      <c r="C151" s="82"/>
      <c r="D151" s="79"/>
      <c r="E151" s="80"/>
      <c r="F151" s="79"/>
      <c r="G151" s="90"/>
      <c r="H151" s="79"/>
      <c r="I151" s="79"/>
      <c r="J151" s="92">
        <f>IF($B151="","",IF($I151="","",IFERROR(IF(INDEX('RECIPE INDEX'!$C$6:$C$105,MATCH($I151,'RECIPE INDEX'!$B$6:$B$105,0))="","",INDEX('RECIPE INDEX'!$C$6:$C$105,MATCH($I151,'RECIPE INDEX'!$B$6:$B$105,0))),"")))</f>
      </c>
      <c r="K151" s="79"/>
      <c r="L151" s="82"/>
      <c r="M151" s="79"/>
      <c r="N151" s="79"/>
      <c r="O151" s="79"/>
      <c r="P151" s="79"/>
      <c r="Q151" s="86"/>
      <c r="R151" s="86"/>
      <c r="S151" s="78">
        <f>IF($B151="","",IF(OR($O151="Served",$O151="Dropped"),"DONE",IF($L151="",IF($C151="","NO DATE",IF($C151&lt;TODAY(),"OVERDUE","SCHEDULED")),IF($L151&lt;TODAY(),"PREP OVERDUE",IF($L151-TODAY()&lt;=7,"PREP THIS WEEK","SCHEDULED")))))</f>
      </c>
      <c r="T151" s="80"/>
      <c r="U151" s="78">
        <f>IF($B151="",0,IF(COUNTIF('MEAL + BAKING PLAN'!$B$6:$B$155,$B151)&gt;1,1,0))</f>
      </c>
      <c r="V151" s="78">
        <f>IF(OR(N($Q151)&gt;0,N($R151)&gt;0),IF($P151="",1,IF(COUNTIF('MASTER BUDGET'!$D$6:$D$25,$P151)=0,1,0)),0)</f>
      </c>
      <c r="W151" s="78">
        <f>IF($I151="",0,IF(COUNTIF('RECIPE INDEX'!$B$6:$B$105,$I151)=0,1,0))</f>
      </c>
      <c r="X151" s="75"/>
    </row>
    <row r="152" ht="17" customHeight="1" spans="1:24" x14ac:dyDescent="0.25">
      <c r="A152" s="75"/>
      <c r="B152" s="79"/>
      <c r="C152" s="82"/>
      <c r="D152" s="79"/>
      <c r="E152" s="80"/>
      <c r="F152" s="79"/>
      <c r="G152" s="90"/>
      <c r="H152" s="79"/>
      <c r="I152" s="79"/>
      <c r="J152" s="92">
        <f>IF($B152="","",IF($I152="","",IFERROR(IF(INDEX('RECIPE INDEX'!$C$6:$C$105,MATCH($I152,'RECIPE INDEX'!$B$6:$B$105,0))="","",INDEX('RECIPE INDEX'!$C$6:$C$105,MATCH($I152,'RECIPE INDEX'!$B$6:$B$105,0))),"")))</f>
      </c>
      <c r="K152" s="79"/>
      <c r="L152" s="82"/>
      <c r="M152" s="79"/>
      <c r="N152" s="79"/>
      <c r="O152" s="79"/>
      <c r="P152" s="79"/>
      <c r="Q152" s="86"/>
      <c r="R152" s="86"/>
      <c r="S152" s="78">
        <f>IF($B152="","",IF(OR($O152="Served",$O152="Dropped"),"DONE",IF($L152="",IF($C152="","NO DATE",IF($C152&lt;TODAY(),"OVERDUE","SCHEDULED")),IF($L152&lt;TODAY(),"PREP OVERDUE",IF($L152-TODAY()&lt;=7,"PREP THIS WEEK","SCHEDULED")))))</f>
      </c>
      <c r="T152" s="80"/>
      <c r="U152" s="78">
        <f>IF($B152="",0,IF(COUNTIF('MEAL + BAKING PLAN'!$B$6:$B$155,$B152)&gt;1,1,0))</f>
      </c>
      <c r="V152" s="78">
        <f>IF(OR(N($Q152)&gt;0,N($R152)&gt;0),IF($P152="",1,IF(COUNTIF('MASTER BUDGET'!$D$6:$D$25,$P152)=0,1,0)),0)</f>
      </c>
      <c r="W152" s="78">
        <f>IF($I152="",0,IF(COUNTIF('RECIPE INDEX'!$B$6:$B$105,$I152)=0,1,0))</f>
      </c>
      <c r="X152" s="75"/>
    </row>
    <row r="153" ht="17" customHeight="1" spans="1:24" x14ac:dyDescent="0.25">
      <c r="A153" s="75"/>
      <c r="B153" s="79"/>
      <c r="C153" s="82"/>
      <c r="D153" s="79"/>
      <c r="E153" s="80"/>
      <c r="F153" s="79"/>
      <c r="G153" s="90"/>
      <c r="H153" s="79"/>
      <c r="I153" s="79"/>
      <c r="J153" s="92">
        <f>IF($B153="","",IF($I153="","",IFERROR(IF(INDEX('RECIPE INDEX'!$C$6:$C$105,MATCH($I153,'RECIPE INDEX'!$B$6:$B$105,0))="","",INDEX('RECIPE INDEX'!$C$6:$C$105,MATCH($I153,'RECIPE INDEX'!$B$6:$B$105,0))),"")))</f>
      </c>
      <c r="K153" s="79"/>
      <c r="L153" s="82"/>
      <c r="M153" s="79"/>
      <c r="N153" s="79"/>
      <c r="O153" s="79"/>
      <c r="P153" s="79"/>
      <c r="Q153" s="86"/>
      <c r="R153" s="86"/>
      <c r="S153" s="78">
        <f>IF($B153="","",IF(OR($O153="Served",$O153="Dropped"),"DONE",IF($L153="",IF($C153="","NO DATE",IF($C153&lt;TODAY(),"OVERDUE","SCHEDULED")),IF($L153&lt;TODAY(),"PREP OVERDUE",IF($L153-TODAY()&lt;=7,"PREP THIS WEEK","SCHEDULED")))))</f>
      </c>
      <c r="T153" s="80"/>
      <c r="U153" s="78">
        <f>IF($B153="",0,IF(COUNTIF('MEAL + BAKING PLAN'!$B$6:$B$155,$B153)&gt;1,1,0))</f>
      </c>
      <c r="V153" s="78">
        <f>IF(OR(N($Q153)&gt;0,N($R153)&gt;0),IF($P153="",1,IF(COUNTIF('MASTER BUDGET'!$D$6:$D$25,$P153)=0,1,0)),0)</f>
      </c>
      <c r="W153" s="78">
        <f>IF($I153="",0,IF(COUNTIF('RECIPE INDEX'!$B$6:$B$105,$I153)=0,1,0))</f>
      </c>
      <c r="X153" s="75"/>
    </row>
    <row r="154" ht="17" customHeight="1" spans="1:24" x14ac:dyDescent="0.25">
      <c r="A154" s="75"/>
      <c r="B154" s="79"/>
      <c r="C154" s="82"/>
      <c r="D154" s="79"/>
      <c r="E154" s="80"/>
      <c r="F154" s="79"/>
      <c r="G154" s="90"/>
      <c r="H154" s="79"/>
      <c r="I154" s="79"/>
      <c r="J154" s="92">
        <f>IF($B154="","",IF($I154="","",IFERROR(IF(INDEX('RECIPE INDEX'!$C$6:$C$105,MATCH($I154,'RECIPE INDEX'!$B$6:$B$105,0))="","",INDEX('RECIPE INDEX'!$C$6:$C$105,MATCH($I154,'RECIPE INDEX'!$B$6:$B$105,0))),"")))</f>
      </c>
      <c r="K154" s="79"/>
      <c r="L154" s="82"/>
      <c r="M154" s="79"/>
      <c r="N154" s="79"/>
      <c r="O154" s="79"/>
      <c r="P154" s="79"/>
      <c r="Q154" s="86"/>
      <c r="R154" s="86"/>
      <c r="S154" s="78">
        <f>IF($B154="","",IF(OR($O154="Served",$O154="Dropped"),"DONE",IF($L154="",IF($C154="","NO DATE",IF($C154&lt;TODAY(),"OVERDUE","SCHEDULED")),IF($L154&lt;TODAY(),"PREP OVERDUE",IF($L154-TODAY()&lt;=7,"PREP THIS WEEK","SCHEDULED")))))</f>
      </c>
      <c r="T154" s="80"/>
      <c r="U154" s="78">
        <f>IF($B154="",0,IF(COUNTIF('MEAL + BAKING PLAN'!$B$6:$B$155,$B154)&gt;1,1,0))</f>
      </c>
      <c r="V154" s="78">
        <f>IF(OR(N($Q154)&gt;0,N($R154)&gt;0),IF($P154="",1,IF(COUNTIF('MASTER BUDGET'!$D$6:$D$25,$P154)=0,1,0)),0)</f>
      </c>
      <c r="W154" s="78">
        <f>IF($I154="",0,IF(COUNTIF('RECIPE INDEX'!$B$6:$B$105,$I154)=0,1,0))</f>
      </c>
      <c r="X154" s="75"/>
    </row>
    <row r="155" ht="17" customHeight="1" spans="1:24" x14ac:dyDescent="0.25">
      <c r="A155" s="75"/>
      <c r="B155" s="79"/>
      <c r="C155" s="82"/>
      <c r="D155" s="79"/>
      <c r="E155" s="80"/>
      <c r="F155" s="79"/>
      <c r="G155" s="90"/>
      <c r="H155" s="79"/>
      <c r="I155" s="79"/>
      <c r="J155" s="92">
        <f>IF($B155="","",IF($I155="","",IFERROR(IF(INDEX('RECIPE INDEX'!$C$6:$C$105,MATCH($I155,'RECIPE INDEX'!$B$6:$B$105,0))="","",INDEX('RECIPE INDEX'!$C$6:$C$105,MATCH($I155,'RECIPE INDEX'!$B$6:$B$105,0))),"")))</f>
      </c>
      <c r="K155" s="79"/>
      <c r="L155" s="82"/>
      <c r="M155" s="79"/>
      <c r="N155" s="79"/>
      <c r="O155" s="79"/>
      <c r="P155" s="79"/>
      <c r="Q155" s="86"/>
      <c r="R155" s="86"/>
      <c r="S155" s="78">
        <f>IF($B155="","",IF(OR($O155="Served",$O155="Dropped"),"DONE",IF($L155="",IF($C155="","NO DATE",IF($C155&lt;TODAY(),"OVERDUE","SCHEDULED")),IF($L155&lt;TODAY(),"PREP OVERDUE",IF($L155-TODAY()&lt;=7,"PREP THIS WEEK","SCHEDULED")))))</f>
      </c>
      <c r="T155" s="80"/>
      <c r="U155" s="78">
        <f>IF($B155="",0,IF(COUNTIF('MEAL + BAKING PLAN'!$B$6:$B$155,$B155)&gt;1,1,0))</f>
      </c>
      <c r="V155" s="78">
        <f>IF(OR(N($Q155)&gt;0,N($R155)&gt;0),IF($P155="",1,IF(COUNTIF('MASTER BUDGET'!$D$6:$D$25,$P155)=0,1,0)),0)</f>
      </c>
      <c r="W155" s="78">
        <f>IF($I155="",0,IF(COUNTIF('RECIPE INDEX'!$B$6:$B$105,$I155)=0,1,0))</f>
      </c>
      <c r="X155" s="75"/>
    </row>
  </sheetData>
  <autoFilter ref="B5:W155"/>
  <mergeCells count="2">
    <mergeCell ref="B1:C1"/>
    <mergeCell ref="G1:H1"/>
  </mergeCells>
  <conditionalFormatting sqref="S6:S155">
    <cfRule type="containsText" dxfId="341" priority="1">
      <formula>NOT(ISERROR(SEARCH("OVER BUDGET",S6)))</formula>
    </cfRule>
  </conditionalFormatting>
  <conditionalFormatting sqref="S6:S155">
    <cfRule type="containsText" dxfId="342" priority="2">
      <formula>NOT(ISERROR(SEARCH("OVERDUE",S6)))</formula>
    </cfRule>
  </conditionalFormatting>
  <conditionalFormatting sqref="S6:S155">
    <cfRule type="containsText" dxfId="343" priority="3">
      <formula>NOT(ISERROR(SEARCH("LATE",S6)))</formula>
    </cfRule>
  </conditionalFormatting>
  <conditionalFormatting sqref="S6:S155">
    <cfRule type="containsText" dxfId="344" priority="4">
      <formula>NOT(ISERROR(SEARCH("WINDOW CLOSED",S6)))</formula>
    </cfRule>
  </conditionalFormatting>
  <conditionalFormatting sqref="S6:S155">
    <cfRule type="containsText" dxfId="345" priority="5">
      <formula>NOT(ISERROR(SEARCH("BALANCE OVERDUE",S6)))</formula>
    </cfRule>
  </conditionalFormatting>
  <conditionalFormatting sqref="S6:S155">
    <cfRule type="containsText" dxfId="346" priority="6">
      <formula>NOT(ISERROR(SEARCH("PREP OVERDUE",S6)))</formula>
    </cfRule>
  </conditionalFormatting>
  <conditionalFormatting sqref="S6:S155">
    <cfRule type="containsText" dxfId="347" priority="7">
      <formula>NOT(ISERROR(SEARCH("CHECK DUPLICATE",S6)))</formula>
    </cfRule>
  </conditionalFormatting>
  <conditionalFormatting sqref="S6:S155">
    <cfRule type="containsText" dxfId="348" priority="8">
      <formula>NOT(ISERROR(SEARCH("MISSING DATE",S6)))</formula>
    </cfRule>
  </conditionalFormatting>
  <conditionalFormatting sqref="S6:S155">
    <cfRule type="containsText" dxfId="349" priority="9">
      <formula>NOT(ISERROR(SEARCH("NOT FOUND",S6)))</formula>
    </cfRule>
  </conditionalFormatting>
  <conditionalFormatting sqref="S6:S155">
    <cfRule type="containsText" dxfId="350" priority="10">
      <formula>NOT(ISERROR(SEARCH("NEAR LIMIT",S6)))</formula>
    </cfRule>
  </conditionalFormatting>
  <conditionalFormatting sqref="S6:S155">
    <cfRule type="containsText" dxfId="351" priority="11">
      <formula>NOT(ISERROR(SEARCH("THIS WEEK",S6)))</formula>
    </cfRule>
  </conditionalFormatting>
  <conditionalFormatting sqref="S6:S155">
    <cfRule type="containsText" dxfId="352" priority="12">
      <formula>NOT(ISERROR(SEARCH("CLOSING SOON",S6)))</formula>
    </cfRule>
  </conditionalFormatting>
  <conditionalFormatting sqref="S6:S155">
    <cfRule type="containsText" dxfId="353" priority="13">
      <formula>NOT(ISERROR(SEARCH("NO TRACKING",S6)))</formula>
    </cfRule>
  </conditionalFormatting>
  <conditionalFormatting sqref="S6:S155">
    <cfRule type="containsText" dxfId="354" priority="14">
      <formula>NOT(ISERROR(SEARCH("LOW",S6)))</formula>
    </cfRule>
  </conditionalFormatting>
  <conditionalFormatting sqref="S6:S155">
    <cfRule type="containsText" dxfId="355" priority="15">
      <formula>NOT(ISERROR(SEARCH("AWAITING REFUND",S6)))</formula>
    </cfRule>
  </conditionalFormatting>
  <conditionalFormatting sqref="S6:S155">
    <cfRule type="containsText" dxfId="356" priority="16">
      <formula>NOT(ISERROR(SEARCH("BALANCE DUE SOON",S6)))</formula>
    </cfRule>
  </conditionalFormatting>
  <conditionalFormatting sqref="S6:S155">
    <cfRule type="containsText" dxfId="357" priority="17">
      <formula>NOT(ISERROR(SEARCH("TO BUY",S6)))</formula>
    </cfRule>
  </conditionalFormatting>
  <conditionalFormatting sqref="S6:S155">
    <cfRule type="containsText" dxfId="358" priority="18">
      <formula>NOT(ISERROR(SEARCH("NO DATE",S6)))</formula>
    </cfRule>
  </conditionalFormatting>
  <conditionalFormatting sqref="S6:S155">
    <cfRule type="containsText" dxfId="359" priority="19">
      <formula>NOT(ISERROR(SEARCH("NO COUNT",S6)))</formula>
    </cfRule>
  </conditionalFormatting>
  <conditionalFormatting sqref="S6:S155">
    <cfRule type="containsText" dxfId="360" priority="20">
      <formula>NOT(ISERROR(SEARCH("ON TRACK",S6)))</formula>
    </cfRule>
  </conditionalFormatting>
  <conditionalFormatting sqref="S6:S155">
    <cfRule type="containsText" dxfId="361" priority="21">
      <formula>NOT(ISERROR(SEARCH("COMPLETE",S6)))</formula>
    </cfRule>
  </conditionalFormatting>
  <conditionalFormatting sqref="S6:S155">
    <cfRule type="containsText" dxfId="362" priority="22">
      <formula>NOT(ISERROR(SEARCH("DONE",S6)))</formula>
    </cfRule>
  </conditionalFormatting>
  <conditionalFormatting sqref="S6:S155">
    <cfRule type="containsText" dxfId="363" priority="23">
      <formula>NOT(ISERROR(SEARCH("ARRIVED",S6)))</formula>
    </cfRule>
  </conditionalFormatting>
  <conditionalFormatting sqref="S6:S155">
    <cfRule type="containsText" dxfId="364" priority="24">
      <formula>NOT(ISERROR(SEARCH("SETTLED",S6)))</formula>
    </cfRule>
  </conditionalFormatting>
  <conditionalFormatting sqref="S6:S155">
    <cfRule type="containsText" dxfId="365" priority="25">
      <formula>NOT(ISERROR(SEARCH("AT BUDGET",S6)))</formula>
    </cfRule>
  </conditionalFormatting>
  <conditionalFormatting sqref="S6:S155">
    <cfRule type="containsText" dxfId="366" priority="26">
      <formula>NOT(ISERROR(SEARCH("IN STOCK",S6)))</formula>
    </cfRule>
  </conditionalFormatting>
  <conditionalFormatting sqref="S6:S155">
    <cfRule type="containsText" dxfId="367" priority="27">
      <formula>NOT(ISERROR(SEARCH("BOUGHT",S6)))</formula>
    </cfRule>
  </conditionalFormatting>
  <conditionalFormatting sqref="S6:S155">
    <cfRule type="containsText" dxfId="368" priority="28">
      <formula>NOT(ISERROR(SEARCH("READY",S6)))</formula>
    </cfRule>
  </conditionalFormatting>
  <conditionalFormatting sqref="S6:S155">
    <cfRule type="containsText" dxfId="369" priority="29">
      <formula>NOT(ISERROR(SEARCH("NOT SET",S6)))</formula>
    </cfRule>
  </conditionalFormatting>
  <conditionalFormatting sqref="S6:S155">
    <cfRule type="containsText" dxfId="370" priority="30">
      <formula>NOT(ISERROR(SEARCH("NOT STARTED",S6)))</formula>
    </cfRule>
  </conditionalFormatting>
  <conditionalFormatting sqref="S6:S155">
    <cfRule type="containsText" dxfId="371" priority="31">
      <formula>NOT(ISERROR(SEARCH("SCHEDULED",S6)))</formula>
    </cfRule>
  </conditionalFormatting>
  <conditionalFormatting sqref="S6:S155">
    <cfRule type="containsText" dxfId="372" priority="32">
      <formula>NOT(ISERROR(SEARCH("CLOSED",S6)))</formula>
    </cfRule>
  </conditionalFormatting>
  <conditionalFormatting sqref="S6:S155">
    <cfRule type="containsText" dxfId="373" priority="33">
      <formula>NOT(ISERROR(SEARCH("IN THE PANTRY",S6)))</formula>
    </cfRule>
  </conditionalFormatting>
  <conditionalFormatting sqref="S6:S155">
    <cfRule type="containsText" dxfId="374" priority="34">
      <formula>NOT(ISERROR(SEARCH("BALANCE OPEN",S6)))</formula>
    </cfRule>
  </conditionalFormatting>
  <dataValidations count="10">
    <dataValidation type="custom" allowBlank="1" showErrorMessage="1" errorStyle="warning" errorTitle="That is not a date yet" error="Type a real date, so the workbook can count days with it. &quot;Before Christmas&quot; cannot be sorted." sqref="C6:C155">
      <formula1>=OR(C6="",ISNUMBER(C6))</formula1>
    </dataValidation>
    <dataValidation type="list" allowBlank="1" showErrorMessage="1" errorStyle="warning" errorTitle="Not one of the usual values" error="This column normally uses a value from the Course list on LISTS. You can keep what you typed, or add it to the list so it appears in the dropdown." sqref="F6:F155">
      <formula1>=List_Course</formula1>
    </dataValidation>
    <dataValidation type="custom" allowBlank="1" showErrorMessage="1" errorStyle="warning" errorTitle="That looks like text" error="Type the number on its own — no currency symbol and no words. The column adds the symbol for you." sqref="G6:G155">
      <formula1>=OR(G6="",ISNUMBER(G6))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K6:K155">
      <formula1>=List_YesNo</formula1>
    </dataValidation>
    <dataValidation type="custom" allowBlank="1" showErrorMessage="1" errorStyle="warning" errorTitle="That is not a date yet" error="Type a real date, so the workbook can count days with it. &quot;Before Christmas&quot; cannot be sorted." sqref="L6:L155">
      <formula1>=OR(L6="",ISNUMBER(L6))</formula1>
    </dataValidation>
    <dataValidation type="list" allowBlank="1" showErrorMessage="1" errorStyle="warning" errorTitle="Not one of the usual values" error="This column normally uses a value from the DietaryTag list on LISTS. You can keep what you typed, or add it to the list so it appears in the dropdown." sqref="N6:N155">
      <formula1>=List_DietaryTag</formula1>
    </dataValidation>
    <dataValidation type="list" allowBlank="1" showErrorMessage="1" errorStyle="warning" errorTitle="Not one of the usual values" error="This column normally uses a value from the MealStatus list on LISTS. You can keep what you typed, or add it to the list so it appears in the dropdown." sqref="O6:O155">
      <formula1>=List_MealStatus</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P6:P155">
      <formula1>=List_BudgetCategory</formula1>
    </dataValidation>
    <dataValidation type="custom" allowBlank="1" showErrorMessage="1" errorStyle="warning" errorTitle="That looks like text" error="Type the number on its own — no currency symbol and no words. The column adds the symbol for you." sqref="Q6:Q155">
      <formula1>=OR(Q6="",ISNUMBER(Q6))</formula1>
    </dataValidation>
    <dataValidation type="custom" allowBlank="1" showErrorMessage="1" errorStyle="warning" errorTitle="That looks like text" error="Type the number on its own — no currency symbol and no words. The column adds the symbol for you." sqref="R6:R155">
      <formula1>=OR(R6="",ISNUMBER(R6))</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&amp;LMEAL + BAKING PLAN&amp;C&amp;P of &amp;N&amp;RThe Christmas Season Master Command Center™</oddFooter>
  </headerFooter>
  <legacyDrawing r:id="rId7"/>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U207"/>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28" customWidth="1"/>
    <col min="4" max="4" width="15" customWidth="1"/>
    <col min="5" max="5" width="12" customWidth="1"/>
    <col min="6" max="6" width="10" customWidth="1"/>
    <col min="7" max="7" width="13" customWidth="1"/>
    <col min="8" max="8" width="11" customWidth="1"/>
    <col min="9" max="9" width="18" customWidth="1"/>
    <col min="10" max="10" width="16" customWidth="1"/>
    <col min="11" max="11" width="17" customWidth="1"/>
    <col min="12" max="13" width="13" customWidth="1"/>
    <col min="14" max="15" width="11" customWidth="1"/>
    <col min="16" max="16" width="16" customWidth="1"/>
    <col min="17" max="17" width="34" customWidth="1"/>
    <col min="18" max="20" width="18" hidden="1" customWidth="1"/>
    <col min="21" max="21" width="2" customWidth="1"/>
  </cols>
  <sheetData>
    <row r="1" ht="21" customHeight="1" spans="1:21" x14ac:dyDescent="0.25">
      <c r="A1" s="62"/>
      <c r="B1" s="63" t="s">
        <v>8</v>
      </c>
      <c r="C1" s="63"/>
      <c r="D1" s="63" t="s">
        <v>9</v>
      </c>
      <c r="E1" s="63" t="s">
        <v>10</v>
      </c>
      <c r="F1" s="63" t="s">
        <v>11</v>
      </c>
      <c r="G1" s="63" t="s">
        <v>12</v>
      </c>
      <c r="H1" s="62"/>
      <c r="I1" s="62"/>
      <c r="J1" s="62"/>
      <c r="K1" s="62"/>
      <c r="L1" s="62"/>
      <c r="M1" s="62"/>
      <c r="N1" s="62"/>
      <c r="O1" s="62"/>
      <c r="P1" s="62"/>
      <c r="Q1" s="62"/>
      <c r="R1" s="62"/>
      <c r="S1" s="62"/>
      <c r="T1" s="62"/>
      <c r="U1" s="62"/>
    </row>
    <row r="2" ht="34" customHeight="1" spans="1:21" x14ac:dyDescent="0.25">
      <c r="A2" s="64"/>
      <c r="B2" s="65" t="s">
        <v>144</v>
      </c>
      <c r="C2" s="64"/>
      <c r="D2" s="64"/>
      <c r="E2" s="64"/>
      <c r="F2" s="64"/>
      <c r="G2" s="64"/>
      <c r="H2" s="64"/>
      <c r="I2" s="64"/>
      <c r="J2" s="64"/>
      <c r="K2" s="64"/>
      <c r="L2" s="64"/>
      <c r="M2" s="64"/>
      <c r="N2" s="64"/>
      <c r="O2" s="64"/>
      <c r="P2" s="64"/>
      <c r="Q2" s="64"/>
      <c r="R2" s="64"/>
      <c r="S2" s="64"/>
      <c r="T2" s="64"/>
      <c r="U2" s="64"/>
    </row>
    <row r="3" ht="18" customHeight="1" spans="1:21" x14ac:dyDescent="0.25">
      <c r="A3" s="64"/>
      <c r="B3" s="66" t="s">
        <v>619</v>
      </c>
      <c r="C3" s="64"/>
      <c r="D3" s="64"/>
      <c r="E3" s="64"/>
      <c r="F3" s="64"/>
      <c r="G3" s="64"/>
      <c r="H3" s="64"/>
      <c r="I3" s="64"/>
      <c r="J3" s="64"/>
      <c r="K3" s="64"/>
      <c r="L3" s="64"/>
      <c r="M3" s="64"/>
      <c r="N3" s="64"/>
      <c r="O3" s="64"/>
      <c r="P3" s="64"/>
      <c r="Q3" s="64"/>
      <c r="R3" s="64"/>
      <c r="S3" s="64"/>
      <c r="T3" s="64"/>
      <c r="U3" s="64"/>
    </row>
    <row r="4" ht="17" customHeight="1" spans="1:21" x14ac:dyDescent="0.25">
      <c r="A4" s="64"/>
      <c r="B4" s="67" t="s">
        <v>160</v>
      </c>
      <c r="C4" s="64"/>
      <c r="D4" s="64"/>
      <c r="E4" s="64"/>
      <c r="F4" s="64"/>
      <c r="G4" s="64"/>
      <c r="H4" s="64"/>
      <c r="I4" s="64"/>
      <c r="J4" s="64"/>
      <c r="K4" s="64"/>
      <c r="L4" s="64"/>
      <c r="M4" s="64"/>
      <c r="N4" s="64"/>
      <c r="O4" s="64"/>
      <c r="P4" s="64"/>
      <c r="Q4" s="64"/>
      <c r="R4" s="64"/>
      <c r="S4" s="64"/>
      <c r="T4" s="64"/>
      <c r="U4" s="64"/>
    </row>
    <row r="5" ht="32" customHeight="1" spans="1:21" x14ac:dyDescent="0.25">
      <c r="A5" s="73"/>
      <c r="B5" s="74" t="s">
        <v>351</v>
      </c>
      <c r="C5" s="74" t="s">
        <v>352</v>
      </c>
      <c r="D5" s="74" t="s">
        <v>620</v>
      </c>
      <c r="E5" s="74" t="s">
        <v>621</v>
      </c>
      <c r="F5" s="74" t="s">
        <v>622</v>
      </c>
      <c r="G5" s="74" t="s">
        <v>623</v>
      </c>
      <c r="H5" s="74" t="s">
        <v>592</v>
      </c>
      <c r="I5" s="74" t="s">
        <v>303</v>
      </c>
      <c r="J5" s="74" t="s">
        <v>624</v>
      </c>
      <c r="K5" s="74" t="s">
        <v>300</v>
      </c>
      <c r="L5" s="74" t="s">
        <v>625</v>
      </c>
      <c r="M5" s="74" t="s">
        <v>268</v>
      </c>
      <c r="N5" s="74" t="s">
        <v>626</v>
      </c>
      <c r="O5" s="74" t="s">
        <v>627</v>
      </c>
      <c r="P5" s="74" t="s">
        <v>157</v>
      </c>
      <c r="Q5" s="74" t="s">
        <v>179</v>
      </c>
      <c r="R5" s="74" t="s">
        <v>180</v>
      </c>
      <c r="S5" s="74" t="s">
        <v>323</v>
      </c>
      <c r="T5" s="74" t="s">
        <v>598</v>
      </c>
      <c r="U5" s="73"/>
    </row>
    <row r="6" ht="17" customHeight="1" spans="1:21" x14ac:dyDescent="0.25">
      <c r="A6" s="75"/>
      <c r="B6" s="76" t="s">
        <v>628</v>
      </c>
      <c r="C6" s="77" t="s">
        <v>629</v>
      </c>
      <c r="D6" s="76" t="s">
        <v>630</v>
      </c>
      <c r="E6" s="76" t="s">
        <v>631</v>
      </c>
      <c r="F6" s="76" t="s">
        <v>632</v>
      </c>
      <c r="G6" s="81">
        <v>46379</v>
      </c>
      <c r="H6" s="76" t="s">
        <v>603</v>
      </c>
      <c r="I6" s="76" t="s">
        <v>633</v>
      </c>
      <c r="J6" s="76"/>
      <c r="K6" s="76" t="s">
        <v>279</v>
      </c>
      <c r="L6" s="84">
        <v>110</v>
      </c>
      <c r="M6" s="84"/>
      <c r="N6" s="76" t="s">
        <v>194</v>
      </c>
      <c r="O6" s="76" t="s">
        <v>194</v>
      </c>
      <c r="P6" s="78">
        <f>IF($B6="","",IF($N6="Yes","BOUGHT",IF($O6="Yes","IN THE PANTRY","TO BUY")))</f>
      </c>
      <c r="Q6" s="77" t="s">
        <v>186</v>
      </c>
      <c r="R6" s="78">
        <f>IF($B6="",0,IF(COUNTIF('GROCERY LIST'!$B$6:$B$205,$B6)&gt;1,1,0))</f>
      </c>
      <c r="S6" s="78">
        <f>IF(OR(N($L6)&gt;0,N($M6)&gt;0),IF($K6="",1,IF(COUNTIF('MASTER BUDGET'!$D$6:$D$25,$K6)=0,1,0)),0)</f>
      </c>
      <c r="T6" s="78">
        <f>IF($H6="",0,IF(COUNTIF('RECIPE INDEX'!$B$6:$B$105,$H6)=0,1,0))</f>
      </c>
      <c r="U6" s="75"/>
    </row>
    <row r="7" ht="17" customHeight="1" spans="1:21" x14ac:dyDescent="0.25">
      <c r="A7" s="75"/>
      <c r="B7" s="76" t="s">
        <v>634</v>
      </c>
      <c r="C7" s="77" t="s">
        <v>635</v>
      </c>
      <c r="D7" s="76" t="s">
        <v>614</v>
      </c>
      <c r="E7" s="76" t="s">
        <v>19</v>
      </c>
      <c r="F7" s="76" t="s">
        <v>636</v>
      </c>
      <c r="G7" s="81">
        <v>46377</v>
      </c>
      <c r="H7" s="76" t="s">
        <v>615</v>
      </c>
      <c r="I7" s="76" t="s">
        <v>637</v>
      </c>
      <c r="J7" s="76"/>
      <c r="K7" s="76" t="s">
        <v>279</v>
      </c>
      <c r="L7" s="84">
        <v>14</v>
      </c>
      <c r="M7" s="84">
        <v>13.2</v>
      </c>
      <c r="N7" s="76" t="s">
        <v>185</v>
      </c>
      <c r="O7" s="76" t="s">
        <v>194</v>
      </c>
      <c r="P7" s="78">
        <f>IF($B7="","",IF($N7="Yes","BOUGHT",IF($O7="Yes","IN THE PANTRY","TO BUY")))</f>
      </c>
      <c r="Q7" s="77" t="s">
        <v>186</v>
      </c>
      <c r="R7" s="78">
        <f>IF($B7="",0,IF(COUNTIF('GROCERY LIST'!$B$6:$B$205,$B7)&gt;1,1,0))</f>
      </c>
      <c r="S7" s="78">
        <f>IF(OR(N($L7)&gt;0,N($M7)&gt;0),IF($K7="",1,IF(COUNTIF('MASTER BUDGET'!$D$6:$D$25,$K7)=0,1,0)),0)</f>
      </c>
      <c r="T7" s="78">
        <f>IF($H7="",0,IF(COUNTIF('RECIPE INDEX'!$B$6:$B$105,$H7)=0,1,0))</f>
      </c>
      <c r="U7" s="75"/>
    </row>
    <row r="8" ht="17" customHeight="1" spans="1:21" x14ac:dyDescent="0.25">
      <c r="A8" s="75"/>
      <c r="B8" s="76" t="s">
        <v>638</v>
      </c>
      <c r="C8" s="77" t="s">
        <v>639</v>
      </c>
      <c r="D8" s="76" t="s">
        <v>640</v>
      </c>
      <c r="E8" s="76" t="s">
        <v>16</v>
      </c>
      <c r="F8" s="76" t="s">
        <v>641</v>
      </c>
      <c r="G8" s="81"/>
      <c r="H8" s="76" t="s">
        <v>608</v>
      </c>
      <c r="I8" s="76"/>
      <c r="J8" s="76"/>
      <c r="K8" s="76" t="s">
        <v>279</v>
      </c>
      <c r="L8" s="84">
        <v>2.5</v>
      </c>
      <c r="M8" s="84"/>
      <c r="N8" s="76" t="s">
        <v>194</v>
      </c>
      <c r="O8" s="76" t="s">
        <v>185</v>
      </c>
      <c r="P8" s="78">
        <f>IF($B8="","",IF($N8="Yes","BOUGHT",IF($O8="Yes","IN THE PANTRY","TO BUY")))</f>
      </c>
      <c r="Q8" s="77" t="s">
        <v>186</v>
      </c>
      <c r="R8" s="78">
        <f>IF($B8="",0,IF(COUNTIF('GROCERY LIST'!$B$6:$B$205,$B8)&gt;1,1,0))</f>
      </c>
      <c r="S8" s="78">
        <f>IF(OR(N($L8)&gt;0,N($M8)&gt;0),IF($K8="",1,IF(COUNTIF('MASTER BUDGET'!$D$6:$D$25,$K8)=0,1,0)),0)</f>
      </c>
      <c r="T8" s="78">
        <f>IF($H8="",0,IF(COUNTIF('RECIPE INDEX'!$B$6:$B$105,$H8)=0,1,0))</f>
      </c>
      <c r="U8" s="75"/>
    </row>
    <row r="9" ht="17" customHeight="1" spans="1:21" x14ac:dyDescent="0.25">
      <c r="A9" s="75"/>
      <c r="B9" s="79"/>
      <c r="C9" s="80"/>
      <c r="D9" s="79"/>
      <c r="E9" s="79"/>
      <c r="F9" s="79"/>
      <c r="G9" s="82"/>
      <c r="H9" s="79"/>
      <c r="I9" s="79"/>
      <c r="J9" s="79"/>
      <c r="K9" s="79"/>
      <c r="L9" s="86"/>
      <c r="M9" s="86"/>
      <c r="N9" s="79"/>
      <c r="O9" s="79"/>
      <c r="P9" s="78">
        <f>IF($B9="","",IF($N9="Yes","BOUGHT",IF($O9="Yes","IN THE PANTRY","TO BUY")))</f>
      </c>
      <c r="Q9" s="80"/>
      <c r="R9" s="78">
        <f>IF($B9="",0,IF(COUNTIF('GROCERY LIST'!$B$6:$B$205,$B9)&gt;1,1,0))</f>
      </c>
      <c r="S9" s="78">
        <f>IF(OR(N($L9)&gt;0,N($M9)&gt;0),IF($K9="",1,IF(COUNTIF('MASTER BUDGET'!$D$6:$D$25,$K9)=0,1,0)),0)</f>
      </c>
      <c r="T9" s="78">
        <f>IF($H9="",0,IF(COUNTIF('RECIPE INDEX'!$B$6:$B$105,$H9)=0,1,0))</f>
      </c>
      <c r="U9" s="75"/>
    </row>
    <row r="10" ht="17" customHeight="1" spans="1:21" x14ac:dyDescent="0.25">
      <c r="A10" s="75"/>
      <c r="B10" s="79"/>
      <c r="C10" s="80"/>
      <c r="D10" s="79"/>
      <c r="E10" s="79"/>
      <c r="F10" s="79"/>
      <c r="G10" s="82"/>
      <c r="H10" s="79"/>
      <c r="I10" s="79"/>
      <c r="J10" s="79"/>
      <c r="K10" s="79"/>
      <c r="L10" s="86"/>
      <c r="M10" s="86"/>
      <c r="N10" s="79"/>
      <c r="O10" s="79"/>
      <c r="P10" s="78">
        <f>IF($B10="","",IF($N10="Yes","BOUGHT",IF($O10="Yes","IN THE PANTRY","TO BUY")))</f>
      </c>
      <c r="Q10" s="80"/>
      <c r="R10" s="78">
        <f>IF($B10="",0,IF(COUNTIF('GROCERY LIST'!$B$6:$B$205,$B10)&gt;1,1,0))</f>
      </c>
      <c r="S10" s="78">
        <f>IF(OR(N($L10)&gt;0,N($M10)&gt;0),IF($K10="",1,IF(COUNTIF('MASTER BUDGET'!$D$6:$D$25,$K10)=0,1,0)),0)</f>
      </c>
      <c r="T10" s="78">
        <f>IF($H10="",0,IF(COUNTIF('RECIPE INDEX'!$B$6:$B$105,$H10)=0,1,0))</f>
      </c>
      <c r="U10" s="75"/>
    </row>
    <row r="11" ht="17" customHeight="1" spans="1:21" x14ac:dyDescent="0.25">
      <c r="A11" s="75"/>
      <c r="B11" s="79"/>
      <c r="C11" s="80"/>
      <c r="D11" s="79"/>
      <c r="E11" s="79"/>
      <c r="F11" s="79"/>
      <c r="G11" s="82"/>
      <c r="H11" s="79"/>
      <c r="I11" s="79"/>
      <c r="J11" s="79"/>
      <c r="K11" s="79"/>
      <c r="L11" s="86"/>
      <c r="M11" s="86"/>
      <c r="N11" s="79"/>
      <c r="O11" s="79"/>
      <c r="P11" s="78">
        <f>IF($B11="","",IF($N11="Yes","BOUGHT",IF($O11="Yes","IN THE PANTRY","TO BUY")))</f>
      </c>
      <c r="Q11" s="80"/>
      <c r="R11" s="78">
        <f>IF($B11="",0,IF(COUNTIF('GROCERY LIST'!$B$6:$B$205,$B11)&gt;1,1,0))</f>
      </c>
      <c r="S11" s="78">
        <f>IF(OR(N($L11)&gt;0,N($M11)&gt;0),IF($K11="",1,IF(COUNTIF('MASTER BUDGET'!$D$6:$D$25,$K11)=0,1,0)),0)</f>
      </c>
      <c r="T11" s="78">
        <f>IF($H11="",0,IF(COUNTIF('RECIPE INDEX'!$B$6:$B$105,$H11)=0,1,0))</f>
      </c>
      <c r="U11" s="75"/>
    </row>
    <row r="12" ht="17" customHeight="1" spans="1:21" x14ac:dyDescent="0.25">
      <c r="A12" s="75"/>
      <c r="B12" s="79"/>
      <c r="C12" s="80"/>
      <c r="D12" s="79"/>
      <c r="E12" s="79"/>
      <c r="F12" s="79"/>
      <c r="G12" s="82"/>
      <c r="H12" s="79"/>
      <c r="I12" s="79"/>
      <c r="J12" s="79"/>
      <c r="K12" s="79"/>
      <c r="L12" s="86"/>
      <c r="M12" s="86"/>
      <c r="N12" s="79"/>
      <c r="O12" s="79"/>
      <c r="P12" s="78">
        <f>IF($B12="","",IF($N12="Yes","BOUGHT",IF($O12="Yes","IN THE PANTRY","TO BUY")))</f>
      </c>
      <c r="Q12" s="80"/>
      <c r="R12" s="78">
        <f>IF($B12="",0,IF(COUNTIF('GROCERY LIST'!$B$6:$B$205,$B12)&gt;1,1,0))</f>
      </c>
      <c r="S12" s="78">
        <f>IF(OR(N($L12)&gt;0,N($M12)&gt;0),IF($K12="",1,IF(COUNTIF('MASTER BUDGET'!$D$6:$D$25,$K12)=0,1,0)),0)</f>
      </c>
      <c r="T12" s="78">
        <f>IF($H12="",0,IF(COUNTIF('RECIPE INDEX'!$B$6:$B$105,$H12)=0,1,0))</f>
      </c>
      <c r="U12" s="75"/>
    </row>
    <row r="13" ht="17" customHeight="1" spans="1:21" x14ac:dyDescent="0.25">
      <c r="A13" s="75"/>
      <c r="B13" s="79"/>
      <c r="C13" s="80"/>
      <c r="D13" s="79"/>
      <c r="E13" s="79"/>
      <c r="F13" s="79"/>
      <c r="G13" s="82"/>
      <c r="H13" s="79"/>
      <c r="I13" s="79"/>
      <c r="J13" s="79"/>
      <c r="K13" s="79"/>
      <c r="L13" s="86"/>
      <c r="M13" s="86"/>
      <c r="N13" s="79"/>
      <c r="O13" s="79"/>
      <c r="P13" s="78">
        <f>IF($B13="","",IF($N13="Yes","BOUGHT",IF($O13="Yes","IN THE PANTRY","TO BUY")))</f>
      </c>
      <c r="Q13" s="80"/>
      <c r="R13" s="78">
        <f>IF($B13="",0,IF(COUNTIF('GROCERY LIST'!$B$6:$B$205,$B13)&gt;1,1,0))</f>
      </c>
      <c r="S13" s="78">
        <f>IF(OR(N($L13)&gt;0,N($M13)&gt;0),IF($K13="",1,IF(COUNTIF('MASTER BUDGET'!$D$6:$D$25,$K13)=0,1,0)),0)</f>
      </c>
      <c r="T13" s="78">
        <f>IF($H13="",0,IF(COUNTIF('RECIPE INDEX'!$B$6:$B$105,$H13)=0,1,0))</f>
      </c>
      <c r="U13" s="75"/>
    </row>
    <row r="14" ht="17" customHeight="1" spans="1:21" x14ac:dyDescent="0.25">
      <c r="A14" s="75"/>
      <c r="B14" s="79"/>
      <c r="C14" s="80"/>
      <c r="D14" s="79"/>
      <c r="E14" s="79"/>
      <c r="F14" s="79"/>
      <c r="G14" s="82"/>
      <c r="H14" s="79"/>
      <c r="I14" s="79"/>
      <c r="J14" s="79"/>
      <c r="K14" s="79"/>
      <c r="L14" s="86"/>
      <c r="M14" s="86"/>
      <c r="N14" s="79"/>
      <c r="O14" s="79"/>
      <c r="P14" s="78">
        <f>IF($B14="","",IF($N14="Yes","BOUGHT",IF($O14="Yes","IN THE PANTRY","TO BUY")))</f>
      </c>
      <c r="Q14" s="80"/>
      <c r="R14" s="78">
        <f>IF($B14="",0,IF(COUNTIF('GROCERY LIST'!$B$6:$B$205,$B14)&gt;1,1,0))</f>
      </c>
      <c r="S14" s="78">
        <f>IF(OR(N($L14)&gt;0,N($M14)&gt;0),IF($K14="",1,IF(COUNTIF('MASTER BUDGET'!$D$6:$D$25,$K14)=0,1,0)),0)</f>
      </c>
      <c r="T14" s="78">
        <f>IF($H14="",0,IF(COUNTIF('RECIPE INDEX'!$B$6:$B$105,$H14)=0,1,0))</f>
      </c>
      <c r="U14" s="75"/>
    </row>
    <row r="15" ht="17" customHeight="1" spans="1:21" x14ac:dyDescent="0.25">
      <c r="A15" s="75"/>
      <c r="B15" s="79"/>
      <c r="C15" s="80"/>
      <c r="D15" s="79"/>
      <c r="E15" s="79"/>
      <c r="F15" s="79"/>
      <c r="G15" s="82"/>
      <c r="H15" s="79"/>
      <c r="I15" s="79"/>
      <c r="J15" s="79"/>
      <c r="K15" s="79"/>
      <c r="L15" s="86"/>
      <c r="M15" s="86"/>
      <c r="N15" s="79"/>
      <c r="O15" s="79"/>
      <c r="P15" s="78">
        <f>IF($B15="","",IF($N15="Yes","BOUGHT",IF($O15="Yes","IN THE PANTRY","TO BUY")))</f>
      </c>
      <c r="Q15" s="80"/>
      <c r="R15" s="78">
        <f>IF($B15="",0,IF(COUNTIF('GROCERY LIST'!$B$6:$B$205,$B15)&gt;1,1,0))</f>
      </c>
      <c r="S15" s="78">
        <f>IF(OR(N($L15)&gt;0,N($M15)&gt;0),IF($K15="",1,IF(COUNTIF('MASTER BUDGET'!$D$6:$D$25,$K15)=0,1,0)),0)</f>
      </c>
      <c r="T15" s="78">
        <f>IF($H15="",0,IF(COUNTIF('RECIPE INDEX'!$B$6:$B$105,$H15)=0,1,0))</f>
      </c>
      <c r="U15" s="75"/>
    </row>
    <row r="16" ht="17" customHeight="1" spans="1:21" x14ac:dyDescent="0.25">
      <c r="A16" s="75"/>
      <c r="B16" s="79"/>
      <c r="C16" s="80"/>
      <c r="D16" s="79"/>
      <c r="E16" s="79"/>
      <c r="F16" s="79"/>
      <c r="G16" s="82"/>
      <c r="H16" s="79"/>
      <c r="I16" s="79"/>
      <c r="J16" s="79"/>
      <c r="K16" s="79"/>
      <c r="L16" s="86"/>
      <c r="M16" s="86"/>
      <c r="N16" s="79"/>
      <c r="O16" s="79"/>
      <c r="P16" s="78">
        <f>IF($B16="","",IF($N16="Yes","BOUGHT",IF($O16="Yes","IN THE PANTRY","TO BUY")))</f>
      </c>
      <c r="Q16" s="80"/>
      <c r="R16" s="78">
        <f>IF($B16="",0,IF(COUNTIF('GROCERY LIST'!$B$6:$B$205,$B16)&gt;1,1,0))</f>
      </c>
      <c r="S16" s="78">
        <f>IF(OR(N($L16)&gt;0,N($M16)&gt;0),IF($K16="",1,IF(COUNTIF('MASTER BUDGET'!$D$6:$D$25,$K16)=0,1,0)),0)</f>
      </c>
      <c r="T16" s="78">
        <f>IF($H16="",0,IF(COUNTIF('RECIPE INDEX'!$B$6:$B$105,$H16)=0,1,0))</f>
      </c>
      <c r="U16" s="75"/>
    </row>
    <row r="17" ht="17" customHeight="1" spans="1:21" x14ac:dyDescent="0.25">
      <c r="A17" s="75"/>
      <c r="B17" s="79"/>
      <c r="C17" s="80"/>
      <c r="D17" s="79"/>
      <c r="E17" s="79"/>
      <c r="F17" s="79"/>
      <c r="G17" s="82"/>
      <c r="H17" s="79"/>
      <c r="I17" s="79"/>
      <c r="J17" s="79"/>
      <c r="K17" s="79"/>
      <c r="L17" s="86"/>
      <c r="M17" s="86"/>
      <c r="N17" s="79"/>
      <c r="O17" s="79"/>
      <c r="P17" s="78">
        <f>IF($B17="","",IF($N17="Yes","BOUGHT",IF($O17="Yes","IN THE PANTRY","TO BUY")))</f>
      </c>
      <c r="Q17" s="80"/>
      <c r="R17" s="78">
        <f>IF($B17="",0,IF(COUNTIF('GROCERY LIST'!$B$6:$B$205,$B17)&gt;1,1,0))</f>
      </c>
      <c r="S17" s="78">
        <f>IF(OR(N($L17)&gt;0,N($M17)&gt;0),IF($K17="",1,IF(COUNTIF('MASTER BUDGET'!$D$6:$D$25,$K17)=0,1,0)),0)</f>
      </c>
      <c r="T17" s="78">
        <f>IF($H17="",0,IF(COUNTIF('RECIPE INDEX'!$B$6:$B$105,$H17)=0,1,0))</f>
      </c>
      <c r="U17" s="75"/>
    </row>
    <row r="18" ht="17" customHeight="1" spans="1:21" x14ac:dyDescent="0.25">
      <c r="A18" s="75"/>
      <c r="B18" s="79"/>
      <c r="C18" s="80"/>
      <c r="D18" s="79"/>
      <c r="E18" s="79"/>
      <c r="F18" s="79"/>
      <c r="G18" s="82"/>
      <c r="H18" s="79"/>
      <c r="I18" s="79"/>
      <c r="J18" s="79"/>
      <c r="K18" s="79"/>
      <c r="L18" s="86"/>
      <c r="M18" s="86"/>
      <c r="N18" s="79"/>
      <c r="O18" s="79"/>
      <c r="P18" s="78">
        <f>IF($B18="","",IF($N18="Yes","BOUGHT",IF($O18="Yes","IN THE PANTRY","TO BUY")))</f>
      </c>
      <c r="Q18" s="80"/>
      <c r="R18" s="78">
        <f>IF($B18="",0,IF(COUNTIF('GROCERY LIST'!$B$6:$B$205,$B18)&gt;1,1,0))</f>
      </c>
      <c r="S18" s="78">
        <f>IF(OR(N($L18)&gt;0,N($M18)&gt;0),IF($K18="",1,IF(COUNTIF('MASTER BUDGET'!$D$6:$D$25,$K18)=0,1,0)),0)</f>
      </c>
      <c r="T18" s="78">
        <f>IF($H18="",0,IF(COUNTIF('RECIPE INDEX'!$B$6:$B$105,$H18)=0,1,0))</f>
      </c>
      <c r="U18" s="75"/>
    </row>
    <row r="19" ht="17" customHeight="1" spans="1:21" x14ac:dyDescent="0.25">
      <c r="A19" s="75"/>
      <c r="B19" s="79"/>
      <c r="C19" s="80"/>
      <c r="D19" s="79"/>
      <c r="E19" s="79"/>
      <c r="F19" s="79"/>
      <c r="G19" s="82"/>
      <c r="H19" s="79"/>
      <c r="I19" s="79"/>
      <c r="J19" s="79"/>
      <c r="K19" s="79"/>
      <c r="L19" s="86"/>
      <c r="M19" s="86"/>
      <c r="N19" s="79"/>
      <c r="O19" s="79"/>
      <c r="P19" s="78">
        <f>IF($B19="","",IF($N19="Yes","BOUGHT",IF($O19="Yes","IN THE PANTRY","TO BUY")))</f>
      </c>
      <c r="Q19" s="80"/>
      <c r="R19" s="78">
        <f>IF($B19="",0,IF(COUNTIF('GROCERY LIST'!$B$6:$B$205,$B19)&gt;1,1,0))</f>
      </c>
      <c r="S19" s="78">
        <f>IF(OR(N($L19)&gt;0,N($M19)&gt;0),IF($K19="",1,IF(COUNTIF('MASTER BUDGET'!$D$6:$D$25,$K19)=0,1,0)),0)</f>
      </c>
      <c r="T19" s="78">
        <f>IF($H19="",0,IF(COUNTIF('RECIPE INDEX'!$B$6:$B$105,$H19)=0,1,0))</f>
      </c>
      <c r="U19" s="75"/>
    </row>
    <row r="20" ht="17" customHeight="1" spans="1:21" x14ac:dyDescent="0.25">
      <c r="A20" s="75"/>
      <c r="B20" s="79"/>
      <c r="C20" s="80"/>
      <c r="D20" s="79"/>
      <c r="E20" s="79"/>
      <c r="F20" s="79"/>
      <c r="G20" s="82"/>
      <c r="H20" s="79"/>
      <c r="I20" s="79"/>
      <c r="J20" s="79"/>
      <c r="K20" s="79"/>
      <c r="L20" s="86"/>
      <c r="M20" s="86"/>
      <c r="N20" s="79"/>
      <c r="O20" s="79"/>
      <c r="P20" s="78">
        <f>IF($B20="","",IF($N20="Yes","BOUGHT",IF($O20="Yes","IN THE PANTRY","TO BUY")))</f>
      </c>
      <c r="Q20" s="80"/>
      <c r="R20" s="78">
        <f>IF($B20="",0,IF(COUNTIF('GROCERY LIST'!$B$6:$B$205,$B20)&gt;1,1,0))</f>
      </c>
      <c r="S20" s="78">
        <f>IF(OR(N($L20)&gt;0,N($M20)&gt;0),IF($K20="",1,IF(COUNTIF('MASTER BUDGET'!$D$6:$D$25,$K20)=0,1,0)),0)</f>
      </c>
      <c r="T20" s="78">
        <f>IF($H20="",0,IF(COUNTIF('RECIPE INDEX'!$B$6:$B$105,$H20)=0,1,0))</f>
      </c>
      <c r="U20" s="75"/>
    </row>
    <row r="21" ht="17" customHeight="1" spans="1:21" x14ac:dyDescent="0.25">
      <c r="A21" s="75"/>
      <c r="B21" s="79"/>
      <c r="C21" s="80"/>
      <c r="D21" s="79"/>
      <c r="E21" s="79"/>
      <c r="F21" s="79"/>
      <c r="G21" s="82"/>
      <c r="H21" s="79"/>
      <c r="I21" s="79"/>
      <c r="J21" s="79"/>
      <c r="K21" s="79"/>
      <c r="L21" s="86"/>
      <c r="M21" s="86"/>
      <c r="N21" s="79"/>
      <c r="O21" s="79"/>
      <c r="P21" s="78">
        <f>IF($B21="","",IF($N21="Yes","BOUGHT",IF($O21="Yes","IN THE PANTRY","TO BUY")))</f>
      </c>
      <c r="Q21" s="80"/>
      <c r="R21" s="78">
        <f>IF($B21="",0,IF(COUNTIF('GROCERY LIST'!$B$6:$B$205,$B21)&gt;1,1,0))</f>
      </c>
      <c r="S21" s="78">
        <f>IF(OR(N($L21)&gt;0,N($M21)&gt;0),IF($K21="",1,IF(COUNTIF('MASTER BUDGET'!$D$6:$D$25,$K21)=0,1,0)),0)</f>
      </c>
      <c r="T21" s="78">
        <f>IF($H21="",0,IF(COUNTIF('RECIPE INDEX'!$B$6:$B$105,$H21)=0,1,0))</f>
      </c>
      <c r="U21" s="75"/>
    </row>
    <row r="22" ht="17" customHeight="1" spans="1:21" x14ac:dyDescent="0.25">
      <c r="A22" s="75"/>
      <c r="B22" s="79"/>
      <c r="C22" s="80"/>
      <c r="D22" s="79"/>
      <c r="E22" s="79"/>
      <c r="F22" s="79"/>
      <c r="G22" s="82"/>
      <c r="H22" s="79"/>
      <c r="I22" s="79"/>
      <c r="J22" s="79"/>
      <c r="K22" s="79"/>
      <c r="L22" s="86"/>
      <c r="M22" s="86"/>
      <c r="N22" s="79"/>
      <c r="O22" s="79"/>
      <c r="P22" s="78">
        <f>IF($B22="","",IF($N22="Yes","BOUGHT",IF($O22="Yes","IN THE PANTRY","TO BUY")))</f>
      </c>
      <c r="Q22" s="80"/>
      <c r="R22" s="78">
        <f>IF($B22="",0,IF(COUNTIF('GROCERY LIST'!$B$6:$B$205,$B22)&gt;1,1,0))</f>
      </c>
      <c r="S22" s="78">
        <f>IF(OR(N($L22)&gt;0,N($M22)&gt;0),IF($K22="",1,IF(COUNTIF('MASTER BUDGET'!$D$6:$D$25,$K22)=0,1,0)),0)</f>
      </c>
      <c r="T22" s="78">
        <f>IF($H22="",0,IF(COUNTIF('RECIPE INDEX'!$B$6:$B$105,$H22)=0,1,0))</f>
      </c>
      <c r="U22" s="75"/>
    </row>
    <row r="23" ht="17" customHeight="1" spans="1:21" x14ac:dyDescent="0.25">
      <c r="A23" s="75"/>
      <c r="B23" s="79"/>
      <c r="C23" s="80"/>
      <c r="D23" s="79"/>
      <c r="E23" s="79"/>
      <c r="F23" s="79"/>
      <c r="G23" s="82"/>
      <c r="H23" s="79"/>
      <c r="I23" s="79"/>
      <c r="J23" s="79"/>
      <c r="K23" s="79"/>
      <c r="L23" s="86"/>
      <c r="M23" s="86"/>
      <c r="N23" s="79"/>
      <c r="O23" s="79"/>
      <c r="P23" s="78">
        <f>IF($B23="","",IF($N23="Yes","BOUGHT",IF($O23="Yes","IN THE PANTRY","TO BUY")))</f>
      </c>
      <c r="Q23" s="80"/>
      <c r="R23" s="78">
        <f>IF($B23="",0,IF(COUNTIF('GROCERY LIST'!$B$6:$B$205,$B23)&gt;1,1,0))</f>
      </c>
      <c r="S23" s="78">
        <f>IF(OR(N($L23)&gt;0,N($M23)&gt;0),IF($K23="",1,IF(COUNTIF('MASTER BUDGET'!$D$6:$D$25,$K23)=0,1,0)),0)</f>
      </c>
      <c r="T23" s="78">
        <f>IF($H23="",0,IF(COUNTIF('RECIPE INDEX'!$B$6:$B$105,$H23)=0,1,0))</f>
      </c>
      <c r="U23" s="75"/>
    </row>
    <row r="24" ht="17" customHeight="1" spans="1:21" x14ac:dyDescent="0.25">
      <c r="A24" s="75"/>
      <c r="B24" s="79"/>
      <c r="C24" s="80"/>
      <c r="D24" s="79"/>
      <c r="E24" s="79"/>
      <c r="F24" s="79"/>
      <c r="G24" s="82"/>
      <c r="H24" s="79"/>
      <c r="I24" s="79"/>
      <c r="J24" s="79"/>
      <c r="K24" s="79"/>
      <c r="L24" s="86"/>
      <c r="M24" s="86"/>
      <c r="N24" s="79"/>
      <c r="O24" s="79"/>
      <c r="P24" s="78">
        <f>IF($B24="","",IF($N24="Yes","BOUGHT",IF($O24="Yes","IN THE PANTRY","TO BUY")))</f>
      </c>
      <c r="Q24" s="80"/>
      <c r="R24" s="78">
        <f>IF($B24="",0,IF(COUNTIF('GROCERY LIST'!$B$6:$B$205,$B24)&gt;1,1,0))</f>
      </c>
      <c r="S24" s="78">
        <f>IF(OR(N($L24)&gt;0,N($M24)&gt;0),IF($K24="",1,IF(COUNTIF('MASTER BUDGET'!$D$6:$D$25,$K24)=0,1,0)),0)</f>
      </c>
      <c r="T24" s="78">
        <f>IF($H24="",0,IF(COUNTIF('RECIPE INDEX'!$B$6:$B$105,$H24)=0,1,0))</f>
      </c>
      <c r="U24" s="75"/>
    </row>
    <row r="25" ht="17" customHeight="1" spans="1:21" x14ac:dyDescent="0.25">
      <c r="A25" s="75"/>
      <c r="B25" s="79"/>
      <c r="C25" s="80"/>
      <c r="D25" s="79"/>
      <c r="E25" s="79"/>
      <c r="F25" s="79"/>
      <c r="G25" s="82"/>
      <c r="H25" s="79"/>
      <c r="I25" s="79"/>
      <c r="J25" s="79"/>
      <c r="K25" s="79"/>
      <c r="L25" s="86"/>
      <c r="M25" s="86"/>
      <c r="N25" s="79"/>
      <c r="O25" s="79"/>
      <c r="P25" s="78">
        <f>IF($B25="","",IF($N25="Yes","BOUGHT",IF($O25="Yes","IN THE PANTRY","TO BUY")))</f>
      </c>
      <c r="Q25" s="80"/>
      <c r="R25" s="78">
        <f>IF($B25="",0,IF(COUNTIF('GROCERY LIST'!$B$6:$B$205,$B25)&gt;1,1,0))</f>
      </c>
      <c r="S25" s="78">
        <f>IF(OR(N($L25)&gt;0,N($M25)&gt;0),IF($K25="",1,IF(COUNTIF('MASTER BUDGET'!$D$6:$D$25,$K25)=0,1,0)),0)</f>
      </c>
      <c r="T25" s="78">
        <f>IF($H25="",0,IF(COUNTIF('RECIPE INDEX'!$B$6:$B$105,$H25)=0,1,0))</f>
      </c>
      <c r="U25" s="75"/>
    </row>
    <row r="26" ht="17" customHeight="1" spans="1:21" x14ac:dyDescent="0.25">
      <c r="A26" s="75"/>
      <c r="B26" s="79"/>
      <c r="C26" s="80"/>
      <c r="D26" s="79"/>
      <c r="E26" s="79"/>
      <c r="F26" s="79"/>
      <c r="G26" s="82"/>
      <c r="H26" s="79"/>
      <c r="I26" s="79"/>
      <c r="J26" s="79"/>
      <c r="K26" s="79"/>
      <c r="L26" s="86"/>
      <c r="M26" s="86"/>
      <c r="N26" s="79"/>
      <c r="O26" s="79"/>
      <c r="P26" s="78">
        <f>IF($B26="","",IF($N26="Yes","BOUGHT",IF($O26="Yes","IN THE PANTRY","TO BUY")))</f>
      </c>
      <c r="Q26" s="80"/>
      <c r="R26" s="78">
        <f>IF($B26="",0,IF(COUNTIF('GROCERY LIST'!$B$6:$B$205,$B26)&gt;1,1,0))</f>
      </c>
      <c r="S26" s="78">
        <f>IF(OR(N($L26)&gt;0,N($M26)&gt;0),IF($K26="",1,IF(COUNTIF('MASTER BUDGET'!$D$6:$D$25,$K26)=0,1,0)),0)</f>
      </c>
      <c r="T26" s="78">
        <f>IF($H26="",0,IF(COUNTIF('RECIPE INDEX'!$B$6:$B$105,$H26)=0,1,0))</f>
      </c>
      <c r="U26" s="75"/>
    </row>
    <row r="27" ht="17" customHeight="1" spans="1:21" x14ac:dyDescent="0.25">
      <c r="A27" s="75"/>
      <c r="B27" s="79"/>
      <c r="C27" s="80"/>
      <c r="D27" s="79"/>
      <c r="E27" s="79"/>
      <c r="F27" s="79"/>
      <c r="G27" s="82"/>
      <c r="H27" s="79"/>
      <c r="I27" s="79"/>
      <c r="J27" s="79"/>
      <c r="K27" s="79"/>
      <c r="L27" s="86"/>
      <c r="M27" s="86"/>
      <c r="N27" s="79"/>
      <c r="O27" s="79"/>
      <c r="P27" s="78">
        <f>IF($B27="","",IF($N27="Yes","BOUGHT",IF($O27="Yes","IN THE PANTRY","TO BUY")))</f>
      </c>
      <c r="Q27" s="80"/>
      <c r="R27" s="78">
        <f>IF($B27="",0,IF(COUNTIF('GROCERY LIST'!$B$6:$B$205,$B27)&gt;1,1,0))</f>
      </c>
      <c r="S27" s="78">
        <f>IF(OR(N($L27)&gt;0,N($M27)&gt;0),IF($K27="",1,IF(COUNTIF('MASTER BUDGET'!$D$6:$D$25,$K27)=0,1,0)),0)</f>
      </c>
      <c r="T27" s="78">
        <f>IF($H27="",0,IF(COUNTIF('RECIPE INDEX'!$B$6:$B$105,$H27)=0,1,0))</f>
      </c>
      <c r="U27" s="75"/>
    </row>
    <row r="28" ht="17" customHeight="1" spans="1:21" x14ac:dyDescent="0.25">
      <c r="A28" s="75"/>
      <c r="B28" s="79"/>
      <c r="C28" s="80"/>
      <c r="D28" s="79"/>
      <c r="E28" s="79"/>
      <c r="F28" s="79"/>
      <c r="G28" s="82"/>
      <c r="H28" s="79"/>
      <c r="I28" s="79"/>
      <c r="J28" s="79"/>
      <c r="K28" s="79"/>
      <c r="L28" s="86"/>
      <c r="M28" s="86"/>
      <c r="N28" s="79"/>
      <c r="O28" s="79"/>
      <c r="P28" s="78">
        <f>IF($B28="","",IF($N28="Yes","BOUGHT",IF($O28="Yes","IN THE PANTRY","TO BUY")))</f>
      </c>
      <c r="Q28" s="80"/>
      <c r="R28" s="78">
        <f>IF($B28="",0,IF(COUNTIF('GROCERY LIST'!$B$6:$B$205,$B28)&gt;1,1,0))</f>
      </c>
      <c r="S28" s="78">
        <f>IF(OR(N($L28)&gt;0,N($M28)&gt;0),IF($K28="",1,IF(COUNTIF('MASTER BUDGET'!$D$6:$D$25,$K28)=0,1,0)),0)</f>
      </c>
      <c r="T28" s="78">
        <f>IF($H28="",0,IF(COUNTIF('RECIPE INDEX'!$B$6:$B$105,$H28)=0,1,0))</f>
      </c>
      <c r="U28" s="75"/>
    </row>
    <row r="29" ht="17" customHeight="1" spans="1:21" x14ac:dyDescent="0.25">
      <c r="A29" s="75"/>
      <c r="B29" s="79"/>
      <c r="C29" s="80"/>
      <c r="D29" s="79"/>
      <c r="E29" s="79"/>
      <c r="F29" s="79"/>
      <c r="G29" s="82"/>
      <c r="H29" s="79"/>
      <c r="I29" s="79"/>
      <c r="J29" s="79"/>
      <c r="K29" s="79"/>
      <c r="L29" s="86"/>
      <c r="M29" s="86"/>
      <c r="N29" s="79"/>
      <c r="O29" s="79"/>
      <c r="P29" s="78">
        <f>IF($B29="","",IF($N29="Yes","BOUGHT",IF($O29="Yes","IN THE PANTRY","TO BUY")))</f>
      </c>
      <c r="Q29" s="80"/>
      <c r="R29" s="78">
        <f>IF($B29="",0,IF(COUNTIF('GROCERY LIST'!$B$6:$B$205,$B29)&gt;1,1,0))</f>
      </c>
      <c r="S29" s="78">
        <f>IF(OR(N($L29)&gt;0,N($M29)&gt;0),IF($K29="",1,IF(COUNTIF('MASTER BUDGET'!$D$6:$D$25,$K29)=0,1,0)),0)</f>
      </c>
      <c r="T29" s="78">
        <f>IF($H29="",0,IF(COUNTIF('RECIPE INDEX'!$B$6:$B$105,$H29)=0,1,0))</f>
      </c>
      <c r="U29" s="75"/>
    </row>
    <row r="30" ht="17" customHeight="1" spans="1:21" x14ac:dyDescent="0.25">
      <c r="A30" s="75"/>
      <c r="B30" s="79"/>
      <c r="C30" s="80"/>
      <c r="D30" s="79"/>
      <c r="E30" s="79"/>
      <c r="F30" s="79"/>
      <c r="G30" s="82"/>
      <c r="H30" s="79"/>
      <c r="I30" s="79"/>
      <c r="J30" s="79"/>
      <c r="K30" s="79"/>
      <c r="L30" s="86"/>
      <c r="M30" s="86"/>
      <c r="N30" s="79"/>
      <c r="O30" s="79"/>
      <c r="P30" s="78">
        <f>IF($B30="","",IF($N30="Yes","BOUGHT",IF($O30="Yes","IN THE PANTRY","TO BUY")))</f>
      </c>
      <c r="Q30" s="80"/>
      <c r="R30" s="78">
        <f>IF($B30="",0,IF(COUNTIF('GROCERY LIST'!$B$6:$B$205,$B30)&gt;1,1,0))</f>
      </c>
      <c r="S30" s="78">
        <f>IF(OR(N($L30)&gt;0,N($M30)&gt;0),IF($K30="",1,IF(COUNTIF('MASTER BUDGET'!$D$6:$D$25,$K30)=0,1,0)),0)</f>
      </c>
      <c r="T30" s="78">
        <f>IF($H30="",0,IF(COUNTIF('RECIPE INDEX'!$B$6:$B$105,$H30)=0,1,0))</f>
      </c>
      <c r="U30" s="75"/>
    </row>
    <row r="31" ht="17" customHeight="1" spans="1:21" x14ac:dyDescent="0.25">
      <c r="A31" s="75"/>
      <c r="B31" s="79"/>
      <c r="C31" s="80"/>
      <c r="D31" s="79"/>
      <c r="E31" s="79"/>
      <c r="F31" s="79"/>
      <c r="G31" s="82"/>
      <c r="H31" s="79"/>
      <c r="I31" s="79"/>
      <c r="J31" s="79"/>
      <c r="K31" s="79"/>
      <c r="L31" s="86"/>
      <c r="M31" s="86"/>
      <c r="N31" s="79"/>
      <c r="O31" s="79"/>
      <c r="P31" s="78">
        <f>IF($B31="","",IF($N31="Yes","BOUGHT",IF($O31="Yes","IN THE PANTRY","TO BUY")))</f>
      </c>
      <c r="Q31" s="80"/>
      <c r="R31" s="78">
        <f>IF($B31="",0,IF(COUNTIF('GROCERY LIST'!$B$6:$B$205,$B31)&gt;1,1,0))</f>
      </c>
      <c r="S31" s="78">
        <f>IF(OR(N($L31)&gt;0,N($M31)&gt;0),IF($K31="",1,IF(COUNTIF('MASTER BUDGET'!$D$6:$D$25,$K31)=0,1,0)),0)</f>
      </c>
      <c r="T31" s="78">
        <f>IF($H31="",0,IF(COUNTIF('RECIPE INDEX'!$B$6:$B$105,$H31)=0,1,0))</f>
      </c>
      <c r="U31" s="75"/>
    </row>
    <row r="32" ht="17" customHeight="1" spans="1:21" x14ac:dyDescent="0.25">
      <c r="A32" s="75"/>
      <c r="B32" s="79"/>
      <c r="C32" s="80"/>
      <c r="D32" s="79"/>
      <c r="E32" s="79"/>
      <c r="F32" s="79"/>
      <c r="G32" s="82"/>
      <c r="H32" s="79"/>
      <c r="I32" s="79"/>
      <c r="J32" s="79"/>
      <c r="K32" s="79"/>
      <c r="L32" s="86"/>
      <c r="M32" s="86"/>
      <c r="N32" s="79"/>
      <c r="O32" s="79"/>
      <c r="P32" s="78">
        <f>IF($B32="","",IF($N32="Yes","BOUGHT",IF($O32="Yes","IN THE PANTRY","TO BUY")))</f>
      </c>
      <c r="Q32" s="80"/>
      <c r="R32" s="78">
        <f>IF($B32="",0,IF(COUNTIF('GROCERY LIST'!$B$6:$B$205,$B32)&gt;1,1,0))</f>
      </c>
      <c r="S32" s="78">
        <f>IF(OR(N($L32)&gt;0,N($M32)&gt;0),IF($K32="",1,IF(COUNTIF('MASTER BUDGET'!$D$6:$D$25,$K32)=0,1,0)),0)</f>
      </c>
      <c r="T32" s="78">
        <f>IF($H32="",0,IF(COUNTIF('RECIPE INDEX'!$B$6:$B$105,$H32)=0,1,0))</f>
      </c>
      <c r="U32" s="75"/>
    </row>
    <row r="33" ht="17" customHeight="1" spans="1:21" x14ac:dyDescent="0.25">
      <c r="A33" s="75"/>
      <c r="B33" s="79"/>
      <c r="C33" s="80"/>
      <c r="D33" s="79"/>
      <c r="E33" s="79"/>
      <c r="F33" s="79"/>
      <c r="G33" s="82"/>
      <c r="H33" s="79"/>
      <c r="I33" s="79"/>
      <c r="J33" s="79"/>
      <c r="K33" s="79"/>
      <c r="L33" s="86"/>
      <c r="M33" s="86"/>
      <c r="N33" s="79"/>
      <c r="O33" s="79"/>
      <c r="P33" s="78">
        <f>IF($B33="","",IF($N33="Yes","BOUGHT",IF($O33="Yes","IN THE PANTRY","TO BUY")))</f>
      </c>
      <c r="Q33" s="80"/>
      <c r="R33" s="78">
        <f>IF($B33="",0,IF(COUNTIF('GROCERY LIST'!$B$6:$B$205,$B33)&gt;1,1,0))</f>
      </c>
      <c r="S33" s="78">
        <f>IF(OR(N($L33)&gt;0,N($M33)&gt;0),IF($K33="",1,IF(COUNTIF('MASTER BUDGET'!$D$6:$D$25,$K33)=0,1,0)),0)</f>
      </c>
      <c r="T33" s="78">
        <f>IF($H33="",0,IF(COUNTIF('RECIPE INDEX'!$B$6:$B$105,$H33)=0,1,0))</f>
      </c>
      <c r="U33" s="75"/>
    </row>
    <row r="34" ht="17" customHeight="1" spans="1:21" x14ac:dyDescent="0.25">
      <c r="A34" s="75"/>
      <c r="B34" s="79"/>
      <c r="C34" s="80"/>
      <c r="D34" s="79"/>
      <c r="E34" s="79"/>
      <c r="F34" s="79"/>
      <c r="G34" s="82"/>
      <c r="H34" s="79"/>
      <c r="I34" s="79"/>
      <c r="J34" s="79"/>
      <c r="K34" s="79"/>
      <c r="L34" s="86"/>
      <c r="M34" s="86"/>
      <c r="N34" s="79"/>
      <c r="O34" s="79"/>
      <c r="P34" s="78">
        <f>IF($B34="","",IF($N34="Yes","BOUGHT",IF($O34="Yes","IN THE PANTRY","TO BUY")))</f>
      </c>
      <c r="Q34" s="80"/>
      <c r="R34" s="78">
        <f>IF($B34="",0,IF(COUNTIF('GROCERY LIST'!$B$6:$B$205,$B34)&gt;1,1,0))</f>
      </c>
      <c r="S34" s="78">
        <f>IF(OR(N($L34)&gt;0,N($M34)&gt;0),IF($K34="",1,IF(COUNTIF('MASTER BUDGET'!$D$6:$D$25,$K34)=0,1,0)),0)</f>
      </c>
      <c r="T34" s="78">
        <f>IF($H34="",0,IF(COUNTIF('RECIPE INDEX'!$B$6:$B$105,$H34)=0,1,0))</f>
      </c>
      <c r="U34" s="75"/>
    </row>
    <row r="35" ht="17" customHeight="1" spans="1:21" x14ac:dyDescent="0.25">
      <c r="A35" s="75"/>
      <c r="B35" s="79"/>
      <c r="C35" s="80"/>
      <c r="D35" s="79"/>
      <c r="E35" s="79"/>
      <c r="F35" s="79"/>
      <c r="G35" s="82"/>
      <c r="H35" s="79"/>
      <c r="I35" s="79"/>
      <c r="J35" s="79"/>
      <c r="K35" s="79"/>
      <c r="L35" s="86"/>
      <c r="M35" s="86"/>
      <c r="N35" s="79"/>
      <c r="O35" s="79"/>
      <c r="P35" s="78">
        <f>IF($B35="","",IF($N35="Yes","BOUGHT",IF($O35="Yes","IN THE PANTRY","TO BUY")))</f>
      </c>
      <c r="Q35" s="80"/>
      <c r="R35" s="78">
        <f>IF($B35="",0,IF(COUNTIF('GROCERY LIST'!$B$6:$B$205,$B35)&gt;1,1,0))</f>
      </c>
      <c r="S35" s="78">
        <f>IF(OR(N($L35)&gt;0,N($M35)&gt;0),IF($K35="",1,IF(COUNTIF('MASTER BUDGET'!$D$6:$D$25,$K35)=0,1,0)),0)</f>
      </c>
      <c r="T35" s="78">
        <f>IF($H35="",0,IF(COUNTIF('RECIPE INDEX'!$B$6:$B$105,$H35)=0,1,0))</f>
      </c>
      <c r="U35" s="75"/>
    </row>
    <row r="36" ht="17" customHeight="1" spans="1:21" x14ac:dyDescent="0.25">
      <c r="A36" s="75"/>
      <c r="B36" s="79"/>
      <c r="C36" s="80"/>
      <c r="D36" s="79"/>
      <c r="E36" s="79"/>
      <c r="F36" s="79"/>
      <c r="G36" s="82"/>
      <c r="H36" s="79"/>
      <c r="I36" s="79"/>
      <c r="J36" s="79"/>
      <c r="K36" s="79"/>
      <c r="L36" s="86"/>
      <c r="M36" s="86"/>
      <c r="N36" s="79"/>
      <c r="O36" s="79"/>
      <c r="P36" s="78">
        <f>IF($B36="","",IF($N36="Yes","BOUGHT",IF($O36="Yes","IN THE PANTRY","TO BUY")))</f>
      </c>
      <c r="Q36" s="80"/>
      <c r="R36" s="78">
        <f>IF($B36="",0,IF(COUNTIF('GROCERY LIST'!$B$6:$B$205,$B36)&gt;1,1,0))</f>
      </c>
      <c r="S36" s="78">
        <f>IF(OR(N($L36)&gt;0,N($M36)&gt;0),IF($K36="",1,IF(COUNTIF('MASTER BUDGET'!$D$6:$D$25,$K36)=0,1,0)),0)</f>
      </c>
      <c r="T36" s="78">
        <f>IF($H36="",0,IF(COUNTIF('RECIPE INDEX'!$B$6:$B$105,$H36)=0,1,0))</f>
      </c>
      <c r="U36" s="75"/>
    </row>
    <row r="37" ht="17" customHeight="1" spans="1:21" x14ac:dyDescent="0.25">
      <c r="A37" s="75"/>
      <c r="B37" s="79"/>
      <c r="C37" s="80"/>
      <c r="D37" s="79"/>
      <c r="E37" s="79"/>
      <c r="F37" s="79"/>
      <c r="G37" s="82"/>
      <c r="H37" s="79"/>
      <c r="I37" s="79"/>
      <c r="J37" s="79"/>
      <c r="K37" s="79"/>
      <c r="L37" s="86"/>
      <c r="M37" s="86"/>
      <c r="N37" s="79"/>
      <c r="O37" s="79"/>
      <c r="P37" s="78">
        <f>IF($B37="","",IF($N37="Yes","BOUGHT",IF($O37="Yes","IN THE PANTRY","TO BUY")))</f>
      </c>
      <c r="Q37" s="80"/>
      <c r="R37" s="78">
        <f>IF($B37="",0,IF(COUNTIF('GROCERY LIST'!$B$6:$B$205,$B37)&gt;1,1,0))</f>
      </c>
      <c r="S37" s="78">
        <f>IF(OR(N($L37)&gt;0,N($M37)&gt;0),IF($K37="",1,IF(COUNTIF('MASTER BUDGET'!$D$6:$D$25,$K37)=0,1,0)),0)</f>
      </c>
      <c r="T37" s="78">
        <f>IF($H37="",0,IF(COUNTIF('RECIPE INDEX'!$B$6:$B$105,$H37)=0,1,0))</f>
      </c>
      <c r="U37" s="75"/>
    </row>
    <row r="38" ht="17" customHeight="1" spans="1:21" x14ac:dyDescent="0.25">
      <c r="A38" s="75"/>
      <c r="B38" s="79"/>
      <c r="C38" s="80"/>
      <c r="D38" s="79"/>
      <c r="E38" s="79"/>
      <c r="F38" s="79"/>
      <c r="G38" s="82"/>
      <c r="H38" s="79"/>
      <c r="I38" s="79"/>
      <c r="J38" s="79"/>
      <c r="K38" s="79"/>
      <c r="L38" s="86"/>
      <c r="M38" s="86"/>
      <c r="N38" s="79"/>
      <c r="O38" s="79"/>
      <c r="P38" s="78">
        <f>IF($B38="","",IF($N38="Yes","BOUGHT",IF($O38="Yes","IN THE PANTRY","TO BUY")))</f>
      </c>
      <c r="Q38" s="80"/>
      <c r="R38" s="78">
        <f>IF($B38="",0,IF(COUNTIF('GROCERY LIST'!$B$6:$B$205,$B38)&gt;1,1,0))</f>
      </c>
      <c r="S38" s="78">
        <f>IF(OR(N($L38)&gt;0,N($M38)&gt;0),IF($K38="",1,IF(COUNTIF('MASTER BUDGET'!$D$6:$D$25,$K38)=0,1,0)),0)</f>
      </c>
      <c r="T38" s="78">
        <f>IF($H38="",0,IF(COUNTIF('RECIPE INDEX'!$B$6:$B$105,$H38)=0,1,0))</f>
      </c>
      <c r="U38" s="75"/>
    </row>
    <row r="39" ht="17" customHeight="1" spans="1:21" x14ac:dyDescent="0.25">
      <c r="A39" s="75"/>
      <c r="B39" s="79"/>
      <c r="C39" s="80"/>
      <c r="D39" s="79"/>
      <c r="E39" s="79"/>
      <c r="F39" s="79"/>
      <c r="G39" s="82"/>
      <c r="H39" s="79"/>
      <c r="I39" s="79"/>
      <c r="J39" s="79"/>
      <c r="K39" s="79"/>
      <c r="L39" s="86"/>
      <c r="M39" s="86"/>
      <c r="N39" s="79"/>
      <c r="O39" s="79"/>
      <c r="P39" s="78">
        <f>IF($B39="","",IF($N39="Yes","BOUGHT",IF($O39="Yes","IN THE PANTRY","TO BUY")))</f>
      </c>
      <c r="Q39" s="80"/>
      <c r="R39" s="78">
        <f>IF($B39="",0,IF(COUNTIF('GROCERY LIST'!$B$6:$B$205,$B39)&gt;1,1,0))</f>
      </c>
      <c r="S39" s="78">
        <f>IF(OR(N($L39)&gt;0,N($M39)&gt;0),IF($K39="",1,IF(COUNTIF('MASTER BUDGET'!$D$6:$D$25,$K39)=0,1,0)),0)</f>
      </c>
      <c r="T39" s="78">
        <f>IF($H39="",0,IF(COUNTIF('RECIPE INDEX'!$B$6:$B$105,$H39)=0,1,0))</f>
      </c>
      <c r="U39" s="75"/>
    </row>
    <row r="40" ht="17" customHeight="1" spans="1:21" x14ac:dyDescent="0.25">
      <c r="A40" s="75"/>
      <c r="B40" s="79"/>
      <c r="C40" s="80"/>
      <c r="D40" s="79"/>
      <c r="E40" s="79"/>
      <c r="F40" s="79"/>
      <c r="G40" s="82"/>
      <c r="H40" s="79"/>
      <c r="I40" s="79"/>
      <c r="J40" s="79"/>
      <c r="K40" s="79"/>
      <c r="L40" s="86"/>
      <c r="M40" s="86"/>
      <c r="N40" s="79"/>
      <c r="O40" s="79"/>
      <c r="P40" s="78">
        <f>IF($B40="","",IF($N40="Yes","BOUGHT",IF($O40="Yes","IN THE PANTRY","TO BUY")))</f>
      </c>
      <c r="Q40" s="80"/>
      <c r="R40" s="78">
        <f>IF($B40="",0,IF(COUNTIF('GROCERY LIST'!$B$6:$B$205,$B40)&gt;1,1,0))</f>
      </c>
      <c r="S40" s="78">
        <f>IF(OR(N($L40)&gt;0,N($M40)&gt;0),IF($K40="",1,IF(COUNTIF('MASTER BUDGET'!$D$6:$D$25,$K40)=0,1,0)),0)</f>
      </c>
      <c r="T40" s="78">
        <f>IF($H40="",0,IF(COUNTIF('RECIPE INDEX'!$B$6:$B$105,$H40)=0,1,0))</f>
      </c>
      <c r="U40" s="75"/>
    </row>
    <row r="41" ht="17" customHeight="1" spans="1:21" x14ac:dyDescent="0.25">
      <c r="A41" s="75"/>
      <c r="B41" s="79"/>
      <c r="C41" s="80"/>
      <c r="D41" s="79"/>
      <c r="E41" s="79"/>
      <c r="F41" s="79"/>
      <c r="G41" s="82"/>
      <c r="H41" s="79"/>
      <c r="I41" s="79"/>
      <c r="J41" s="79"/>
      <c r="K41" s="79"/>
      <c r="L41" s="86"/>
      <c r="M41" s="86"/>
      <c r="N41" s="79"/>
      <c r="O41" s="79"/>
      <c r="P41" s="78">
        <f>IF($B41="","",IF($N41="Yes","BOUGHT",IF($O41="Yes","IN THE PANTRY","TO BUY")))</f>
      </c>
      <c r="Q41" s="80"/>
      <c r="R41" s="78">
        <f>IF($B41="",0,IF(COUNTIF('GROCERY LIST'!$B$6:$B$205,$B41)&gt;1,1,0))</f>
      </c>
      <c r="S41" s="78">
        <f>IF(OR(N($L41)&gt;0,N($M41)&gt;0),IF($K41="",1,IF(COUNTIF('MASTER BUDGET'!$D$6:$D$25,$K41)=0,1,0)),0)</f>
      </c>
      <c r="T41" s="78">
        <f>IF($H41="",0,IF(COUNTIF('RECIPE INDEX'!$B$6:$B$105,$H41)=0,1,0))</f>
      </c>
      <c r="U41" s="75"/>
    </row>
    <row r="42" ht="17" customHeight="1" spans="1:21" x14ac:dyDescent="0.25">
      <c r="A42" s="75"/>
      <c r="B42" s="79"/>
      <c r="C42" s="80"/>
      <c r="D42" s="79"/>
      <c r="E42" s="79"/>
      <c r="F42" s="79"/>
      <c r="G42" s="82"/>
      <c r="H42" s="79"/>
      <c r="I42" s="79"/>
      <c r="J42" s="79"/>
      <c r="K42" s="79"/>
      <c r="L42" s="86"/>
      <c r="M42" s="86"/>
      <c r="N42" s="79"/>
      <c r="O42" s="79"/>
      <c r="P42" s="78">
        <f>IF($B42="","",IF($N42="Yes","BOUGHT",IF($O42="Yes","IN THE PANTRY","TO BUY")))</f>
      </c>
      <c r="Q42" s="80"/>
      <c r="R42" s="78">
        <f>IF($B42="",0,IF(COUNTIF('GROCERY LIST'!$B$6:$B$205,$B42)&gt;1,1,0))</f>
      </c>
      <c r="S42" s="78">
        <f>IF(OR(N($L42)&gt;0,N($M42)&gt;0),IF($K42="",1,IF(COUNTIF('MASTER BUDGET'!$D$6:$D$25,$K42)=0,1,0)),0)</f>
      </c>
      <c r="T42" s="78">
        <f>IF($H42="",0,IF(COUNTIF('RECIPE INDEX'!$B$6:$B$105,$H42)=0,1,0))</f>
      </c>
      <c r="U42" s="75"/>
    </row>
    <row r="43" ht="17" customHeight="1" spans="1:21" x14ac:dyDescent="0.25">
      <c r="A43" s="75"/>
      <c r="B43" s="79"/>
      <c r="C43" s="80"/>
      <c r="D43" s="79"/>
      <c r="E43" s="79"/>
      <c r="F43" s="79"/>
      <c r="G43" s="82"/>
      <c r="H43" s="79"/>
      <c r="I43" s="79"/>
      <c r="J43" s="79"/>
      <c r="K43" s="79"/>
      <c r="L43" s="86"/>
      <c r="M43" s="86"/>
      <c r="N43" s="79"/>
      <c r="O43" s="79"/>
      <c r="P43" s="78">
        <f>IF($B43="","",IF($N43="Yes","BOUGHT",IF($O43="Yes","IN THE PANTRY","TO BUY")))</f>
      </c>
      <c r="Q43" s="80"/>
      <c r="R43" s="78">
        <f>IF($B43="",0,IF(COUNTIF('GROCERY LIST'!$B$6:$B$205,$B43)&gt;1,1,0))</f>
      </c>
      <c r="S43" s="78">
        <f>IF(OR(N($L43)&gt;0,N($M43)&gt;0),IF($K43="",1,IF(COUNTIF('MASTER BUDGET'!$D$6:$D$25,$K43)=0,1,0)),0)</f>
      </c>
      <c r="T43" s="78">
        <f>IF($H43="",0,IF(COUNTIF('RECIPE INDEX'!$B$6:$B$105,$H43)=0,1,0))</f>
      </c>
      <c r="U43" s="75"/>
    </row>
    <row r="44" ht="17" customHeight="1" spans="1:21" x14ac:dyDescent="0.25">
      <c r="A44" s="75"/>
      <c r="B44" s="79"/>
      <c r="C44" s="80"/>
      <c r="D44" s="79"/>
      <c r="E44" s="79"/>
      <c r="F44" s="79"/>
      <c r="G44" s="82"/>
      <c r="H44" s="79"/>
      <c r="I44" s="79"/>
      <c r="J44" s="79"/>
      <c r="K44" s="79"/>
      <c r="L44" s="86"/>
      <c r="M44" s="86"/>
      <c r="N44" s="79"/>
      <c r="O44" s="79"/>
      <c r="P44" s="78">
        <f>IF($B44="","",IF($N44="Yes","BOUGHT",IF($O44="Yes","IN THE PANTRY","TO BUY")))</f>
      </c>
      <c r="Q44" s="80"/>
      <c r="R44" s="78">
        <f>IF($B44="",0,IF(COUNTIF('GROCERY LIST'!$B$6:$B$205,$B44)&gt;1,1,0))</f>
      </c>
      <c r="S44" s="78">
        <f>IF(OR(N($L44)&gt;0,N($M44)&gt;0),IF($K44="",1,IF(COUNTIF('MASTER BUDGET'!$D$6:$D$25,$K44)=0,1,0)),0)</f>
      </c>
      <c r="T44" s="78">
        <f>IF($H44="",0,IF(COUNTIF('RECIPE INDEX'!$B$6:$B$105,$H44)=0,1,0))</f>
      </c>
      <c r="U44" s="75"/>
    </row>
    <row r="45" ht="17" customHeight="1" spans="1:21" x14ac:dyDescent="0.25">
      <c r="A45" s="75"/>
      <c r="B45" s="79"/>
      <c r="C45" s="80"/>
      <c r="D45" s="79"/>
      <c r="E45" s="79"/>
      <c r="F45" s="79"/>
      <c r="G45" s="82"/>
      <c r="H45" s="79"/>
      <c r="I45" s="79"/>
      <c r="J45" s="79"/>
      <c r="K45" s="79"/>
      <c r="L45" s="86"/>
      <c r="M45" s="86"/>
      <c r="N45" s="79"/>
      <c r="O45" s="79"/>
      <c r="P45" s="78">
        <f>IF($B45="","",IF($N45="Yes","BOUGHT",IF($O45="Yes","IN THE PANTRY","TO BUY")))</f>
      </c>
      <c r="Q45" s="80"/>
      <c r="R45" s="78">
        <f>IF($B45="",0,IF(COUNTIF('GROCERY LIST'!$B$6:$B$205,$B45)&gt;1,1,0))</f>
      </c>
      <c r="S45" s="78">
        <f>IF(OR(N($L45)&gt;0,N($M45)&gt;0),IF($K45="",1,IF(COUNTIF('MASTER BUDGET'!$D$6:$D$25,$K45)=0,1,0)),0)</f>
      </c>
      <c r="T45" s="78">
        <f>IF($H45="",0,IF(COUNTIF('RECIPE INDEX'!$B$6:$B$105,$H45)=0,1,0))</f>
      </c>
      <c r="U45" s="75"/>
    </row>
    <row r="46" ht="17" customHeight="1" spans="1:21" x14ac:dyDescent="0.25">
      <c r="A46" s="75"/>
      <c r="B46" s="79"/>
      <c r="C46" s="80"/>
      <c r="D46" s="79"/>
      <c r="E46" s="79"/>
      <c r="F46" s="79"/>
      <c r="G46" s="82"/>
      <c r="H46" s="79"/>
      <c r="I46" s="79"/>
      <c r="J46" s="79"/>
      <c r="K46" s="79"/>
      <c r="L46" s="86"/>
      <c r="M46" s="86"/>
      <c r="N46" s="79"/>
      <c r="O46" s="79"/>
      <c r="P46" s="78">
        <f>IF($B46="","",IF($N46="Yes","BOUGHT",IF($O46="Yes","IN THE PANTRY","TO BUY")))</f>
      </c>
      <c r="Q46" s="80"/>
      <c r="R46" s="78">
        <f>IF($B46="",0,IF(COUNTIF('GROCERY LIST'!$B$6:$B$205,$B46)&gt;1,1,0))</f>
      </c>
      <c r="S46" s="78">
        <f>IF(OR(N($L46)&gt;0,N($M46)&gt;0),IF($K46="",1,IF(COUNTIF('MASTER BUDGET'!$D$6:$D$25,$K46)=0,1,0)),0)</f>
      </c>
      <c r="T46" s="78">
        <f>IF($H46="",0,IF(COUNTIF('RECIPE INDEX'!$B$6:$B$105,$H46)=0,1,0))</f>
      </c>
      <c r="U46" s="75"/>
    </row>
    <row r="47" ht="17" customHeight="1" spans="1:21" x14ac:dyDescent="0.25">
      <c r="A47" s="75"/>
      <c r="B47" s="79"/>
      <c r="C47" s="80"/>
      <c r="D47" s="79"/>
      <c r="E47" s="79"/>
      <c r="F47" s="79"/>
      <c r="G47" s="82"/>
      <c r="H47" s="79"/>
      <c r="I47" s="79"/>
      <c r="J47" s="79"/>
      <c r="K47" s="79"/>
      <c r="L47" s="86"/>
      <c r="M47" s="86"/>
      <c r="N47" s="79"/>
      <c r="O47" s="79"/>
      <c r="P47" s="78">
        <f>IF($B47="","",IF($N47="Yes","BOUGHT",IF($O47="Yes","IN THE PANTRY","TO BUY")))</f>
      </c>
      <c r="Q47" s="80"/>
      <c r="R47" s="78">
        <f>IF($B47="",0,IF(COUNTIF('GROCERY LIST'!$B$6:$B$205,$B47)&gt;1,1,0))</f>
      </c>
      <c r="S47" s="78">
        <f>IF(OR(N($L47)&gt;0,N($M47)&gt;0),IF($K47="",1,IF(COUNTIF('MASTER BUDGET'!$D$6:$D$25,$K47)=0,1,0)),0)</f>
      </c>
      <c r="T47" s="78">
        <f>IF($H47="",0,IF(COUNTIF('RECIPE INDEX'!$B$6:$B$105,$H47)=0,1,0))</f>
      </c>
      <c r="U47" s="75"/>
    </row>
    <row r="48" ht="17" customHeight="1" spans="1:21" x14ac:dyDescent="0.25">
      <c r="A48" s="75"/>
      <c r="B48" s="79"/>
      <c r="C48" s="80"/>
      <c r="D48" s="79"/>
      <c r="E48" s="79"/>
      <c r="F48" s="79"/>
      <c r="G48" s="82"/>
      <c r="H48" s="79"/>
      <c r="I48" s="79"/>
      <c r="J48" s="79"/>
      <c r="K48" s="79"/>
      <c r="L48" s="86"/>
      <c r="M48" s="86"/>
      <c r="N48" s="79"/>
      <c r="O48" s="79"/>
      <c r="P48" s="78">
        <f>IF($B48="","",IF($N48="Yes","BOUGHT",IF($O48="Yes","IN THE PANTRY","TO BUY")))</f>
      </c>
      <c r="Q48" s="80"/>
      <c r="R48" s="78">
        <f>IF($B48="",0,IF(COUNTIF('GROCERY LIST'!$B$6:$B$205,$B48)&gt;1,1,0))</f>
      </c>
      <c r="S48" s="78">
        <f>IF(OR(N($L48)&gt;0,N($M48)&gt;0),IF($K48="",1,IF(COUNTIF('MASTER BUDGET'!$D$6:$D$25,$K48)=0,1,0)),0)</f>
      </c>
      <c r="T48" s="78">
        <f>IF($H48="",0,IF(COUNTIF('RECIPE INDEX'!$B$6:$B$105,$H48)=0,1,0))</f>
      </c>
      <c r="U48" s="75"/>
    </row>
    <row r="49" ht="17" customHeight="1" spans="1:21" x14ac:dyDescent="0.25">
      <c r="A49" s="75"/>
      <c r="B49" s="79"/>
      <c r="C49" s="80"/>
      <c r="D49" s="79"/>
      <c r="E49" s="79"/>
      <c r="F49" s="79"/>
      <c r="G49" s="82"/>
      <c r="H49" s="79"/>
      <c r="I49" s="79"/>
      <c r="J49" s="79"/>
      <c r="K49" s="79"/>
      <c r="L49" s="86"/>
      <c r="M49" s="86"/>
      <c r="N49" s="79"/>
      <c r="O49" s="79"/>
      <c r="P49" s="78">
        <f>IF($B49="","",IF($N49="Yes","BOUGHT",IF($O49="Yes","IN THE PANTRY","TO BUY")))</f>
      </c>
      <c r="Q49" s="80"/>
      <c r="R49" s="78">
        <f>IF($B49="",0,IF(COUNTIF('GROCERY LIST'!$B$6:$B$205,$B49)&gt;1,1,0))</f>
      </c>
      <c r="S49" s="78">
        <f>IF(OR(N($L49)&gt;0,N($M49)&gt;0),IF($K49="",1,IF(COUNTIF('MASTER BUDGET'!$D$6:$D$25,$K49)=0,1,0)),0)</f>
      </c>
      <c r="T49" s="78">
        <f>IF($H49="",0,IF(COUNTIF('RECIPE INDEX'!$B$6:$B$105,$H49)=0,1,0))</f>
      </c>
      <c r="U49" s="75"/>
    </row>
    <row r="50" ht="17" customHeight="1" spans="1:21" x14ac:dyDescent="0.25">
      <c r="A50" s="75"/>
      <c r="B50" s="79"/>
      <c r="C50" s="80"/>
      <c r="D50" s="79"/>
      <c r="E50" s="79"/>
      <c r="F50" s="79"/>
      <c r="G50" s="82"/>
      <c r="H50" s="79"/>
      <c r="I50" s="79"/>
      <c r="J50" s="79"/>
      <c r="K50" s="79"/>
      <c r="L50" s="86"/>
      <c r="M50" s="86"/>
      <c r="N50" s="79"/>
      <c r="O50" s="79"/>
      <c r="P50" s="78">
        <f>IF($B50="","",IF($N50="Yes","BOUGHT",IF($O50="Yes","IN THE PANTRY","TO BUY")))</f>
      </c>
      <c r="Q50" s="80"/>
      <c r="R50" s="78">
        <f>IF($B50="",0,IF(COUNTIF('GROCERY LIST'!$B$6:$B$205,$B50)&gt;1,1,0))</f>
      </c>
      <c r="S50" s="78">
        <f>IF(OR(N($L50)&gt;0,N($M50)&gt;0),IF($K50="",1,IF(COUNTIF('MASTER BUDGET'!$D$6:$D$25,$K50)=0,1,0)),0)</f>
      </c>
      <c r="T50" s="78">
        <f>IF($H50="",0,IF(COUNTIF('RECIPE INDEX'!$B$6:$B$105,$H50)=0,1,0))</f>
      </c>
      <c r="U50" s="75"/>
    </row>
    <row r="51" ht="17" customHeight="1" spans="1:21" x14ac:dyDescent="0.25">
      <c r="A51" s="75"/>
      <c r="B51" s="79"/>
      <c r="C51" s="80"/>
      <c r="D51" s="79"/>
      <c r="E51" s="79"/>
      <c r="F51" s="79"/>
      <c r="G51" s="82"/>
      <c r="H51" s="79"/>
      <c r="I51" s="79"/>
      <c r="J51" s="79"/>
      <c r="K51" s="79"/>
      <c r="L51" s="86"/>
      <c r="M51" s="86"/>
      <c r="N51" s="79"/>
      <c r="O51" s="79"/>
      <c r="P51" s="78">
        <f>IF($B51="","",IF($N51="Yes","BOUGHT",IF($O51="Yes","IN THE PANTRY","TO BUY")))</f>
      </c>
      <c r="Q51" s="80"/>
      <c r="R51" s="78">
        <f>IF($B51="",0,IF(COUNTIF('GROCERY LIST'!$B$6:$B$205,$B51)&gt;1,1,0))</f>
      </c>
      <c r="S51" s="78">
        <f>IF(OR(N($L51)&gt;0,N($M51)&gt;0),IF($K51="",1,IF(COUNTIF('MASTER BUDGET'!$D$6:$D$25,$K51)=0,1,0)),0)</f>
      </c>
      <c r="T51" s="78">
        <f>IF($H51="",0,IF(COUNTIF('RECIPE INDEX'!$B$6:$B$105,$H51)=0,1,0))</f>
      </c>
      <c r="U51" s="75"/>
    </row>
    <row r="52" ht="17" customHeight="1" spans="1:21" x14ac:dyDescent="0.25">
      <c r="A52" s="75"/>
      <c r="B52" s="79"/>
      <c r="C52" s="80"/>
      <c r="D52" s="79"/>
      <c r="E52" s="79"/>
      <c r="F52" s="79"/>
      <c r="G52" s="82"/>
      <c r="H52" s="79"/>
      <c r="I52" s="79"/>
      <c r="J52" s="79"/>
      <c r="K52" s="79"/>
      <c r="L52" s="86"/>
      <c r="M52" s="86"/>
      <c r="N52" s="79"/>
      <c r="O52" s="79"/>
      <c r="P52" s="78">
        <f>IF($B52="","",IF($N52="Yes","BOUGHT",IF($O52="Yes","IN THE PANTRY","TO BUY")))</f>
      </c>
      <c r="Q52" s="80"/>
      <c r="R52" s="78">
        <f>IF($B52="",0,IF(COUNTIF('GROCERY LIST'!$B$6:$B$205,$B52)&gt;1,1,0))</f>
      </c>
      <c r="S52" s="78">
        <f>IF(OR(N($L52)&gt;0,N($M52)&gt;0),IF($K52="",1,IF(COUNTIF('MASTER BUDGET'!$D$6:$D$25,$K52)=0,1,0)),0)</f>
      </c>
      <c r="T52" s="78">
        <f>IF($H52="",0,IF(COUNTIF('RECIPE INDEX'!$B$6:$B$105,$H52)=0,1,0))</f>
      </c>
      <c r="U52" s="75"/>
    </row>
    <row r="53" ht="17" customHeight="1" spans="1:21" x14ac:dyDescent="0.25">
      <c r="A53" s="75"/>
      <c r="B53" s="79"/>
      <c r="C53" s="80"/>
      <c r="D53" s="79"/>
      <c r="E53" s="79"/>
      <c r="F53" s="79"/>
      <c r="G53" s="82"/>
      <c r="H53" s="79"/>
      <c r="I53" s="79"/>
      <c r="J53" s="79"/>
      <c r="K53" s="79"/>
      <c r="L53" s="86"/>
      <c r="M53" s="86"/>
      <c r="N53" s="79"/>
      <c r="O53" s="79"/>
      <c r="P53" s="78">
        <f>IF($B53="","",IF($N53="Yes","BOUGHT",IF($O53="Yes","IN THE PANTRY","TO BUY")))</f>
      </c>
      <c r="Q53" s="80"/>
      <c r="R53" s="78">
        <f>IF($B53="",0,IF(COUNTIF('GROCERY LIST'!$B$6:$B$205,$B53)&gt;1,1,0))</f>
      </c>
      <c r="S53" s="78">
        <f>IF(OR(N($L53)&gt;0,N($M53)&gt;0),IF($K53="",1,IF(COUNTIF('MASTER BUDGET'!$D$6:$D$25,$K53)=0,1,0)),0)</f>
      </c>
      <c r="T53" s="78">
        <f>IF($H53="",0,IF(COUNTIF('RECIPE INDEX'!$B$6:$B$105,$H53)=0,1,0))</f>
      </c>
      <c r="U53" s="75"/>
    </row>
    <row r="54" ht="17" customHeight="1" spans="1:21" x14ac:dyDescent="0.25">
      <c r="A54" s="75"/>
      <c r="B54" s="79"/>
      <c r="C54" s="80"/>
      <c r="D54" s="79"/>
      <c r="E54" s="79"/>
      <c r="F54" s="79"/>
      <c r="G54" s="82"/>
      <c r="H54" s="79"/>
      <c r="I54" s="79"/>
      <c r="J54" s="79"/>
      <c r="K54" s="79"/>
      <c r="L54" s="86"/>
      <c r="M54" s="86"/>
      <c r="N54" s="79"/>
      <c r="O54" s="79"/>
      <c r="P54" s="78">
        <f>IF($B54="","",IF($N54="Yes","BOUGHT",IF($O54="Yes","IN THE PANTRY","TO BUY")))</f>
      </c>
      <c r="Q54" s="80"/>
      <c r="R54" s="78">
        <f>IF($B54="",0,IF(COUNTIF('GROCERY LIST'!$B$6:$B$205,$B54)&gt;1,1,0))</f>
      </c>
      <c r="S54" s="78">
        <f>IF(OR(N($L54)&gt;0,N($M54)&gt;0),IF($K54="",1,IF(COUNTIF('MASTER BUDGET'!$D$6:$D$25,$K54)=0,1,0)),0)</f>
      </c>
      <c r="T54" s="78">
        <f>IF($H54="",0,IF(COUNTIF('RECIPE INDEX'!$B$6:$B$105,$H54)=0,1,0))</f>
      </c>
      <c r="U54" s="75"/>
    </row>
    <row r="55" ht="17" customHeight="1" spans="1:21" x14ac:dyDescent="0.25">
      <c r="A55" s="75"/>
      <c r="B55" s="79"/>
      <c r="C55" s="80"/>
      <c r="D55" s="79"/>
      <c r="E55" s="79"/>
      <c r="F55" s="79"/>
      <c r="G55" s="82"/>
      <c r="H55" s="79"/>
      <c r="I55" s="79"/>
      <c r="J55" s="79"/>
      <c r="K55" s="79"/>
      <c r="L55" s="86"/>
      <c r="M55" s="86"/>
      <c r="N55" s="79"/>
      <c r="O55" s="79"/>
      <c r="P55" s="78">
        <f>IF($B55="","",IF($N55="Yes","BOUGHT",IF($O55="Yes","IN THE PANTRY","TO BUY")))</f>
      </c>
      <c r="Q55" s="80"/>
      <c r="R55" s="78">
        <f>IF($B55="",0,IF(COUNTIF('GROCERY LIST'!$B$6:$B$205,$B55)&gt;1,1,0))</f>
      </c>
      <c r="S55" s="78">
        <f>IF(OR(N($L55)&gt;0,N($M55)&gt;0),IF($K55="",1,IF(COUNTIF('MASTER BUDGET'!$D$6:$D$25,$K55)=0,1,0)),0)</f>
      </c>
      <c r="T55" s="78">
        <f>IF($H55="",0,IF(COUNTIF('RECIPE INDEX'!$B$6:$B$105,$H55)=0,1,0))</f>
      </c>
      <c r="U55" s="75"/>
    </row>
    <row r="56" ht="17" customHeight="1" spans="1:21" x14ac:dyDescent="0.25">
      <c r="A56" s="75"/>
      <c r="B56" s="79"/>
      <c r="C56" s="80"/>
      <c r="D56" s="79"/>
      <c r="E56" s="79"/>
      <c r="F56" s="79"/>
      <c r="G56" s="82"/>
      <c r="H56" s="79"/>
      <c r="I56" s="79"/>
      <c r="J56" s="79"/>
      <c r="K56" s="79"/>
      <c r="L56" s="86"/>
      <c r="M56" s="86"/>
      <c r="N56" s="79"/>
      <c r="O56" s="79"/>
      <c r="P56" s="78">
        <f>IF($B56="","",IF($N56="Yes","BOUGHT",IF($O56="Yes","IN THE PANTRY","TO BUY")))</f>
      </c>
      <c r="Q56" s="80"/>
      <c r="R56" s="78">
        <f>IF($B56="",0,IF(COUNTIF('GROCERY LIST'!$B$6:$B$205,$B56)&gt;1,1,0))</f>
      </c>
      <c r="S56" s="78">
        <f>IF(OR(N($L56)&gt;0,N($M56)&gt;0),IF($K56="",1,IF(COUNTIF('MASTER BUDGET'!$D$6:$D$25,$K56)=0,1,0)),0)</f>
      </c>
      <c r="T56" s="78">
        <f>IF($H56="",0,IF(COUNTIF('RECIPE INDEX'!$B$6:$B$105,$H56)=0,1,0))</f>
      </c>
      <c r="U56" s="75"/>
    </row>
    <row r="57" ht="17" customHeight="1" spans="1:21" x14ac:dyDescent="0.25">
      <c r="A57" s="75"/>
      <c r="B57" s="79"/>
      <c r="C57" s="80"/>
      <c r="D57" s="79"/>
      <c r="E57" s="79"/>
      <c r="F57" s="79"/>
      <c r="G57" s="82"/>
      <c r="H57" s="79"/>
      <c r="I57" s="79"/>
      <c r="J57" s="79"/>
      <c r="K57" s="79"/>
      <c r="L57" s="86"/>
      <c r="M57" s="86"/>
      <c r="N57" s="79"/>
      <c r="O57" s="79"/>
      <c r="P57" s="78">
        <f>IF($B57="","",IF($N57="Yes","BOUGHT",IF($O57="Yes","IN THE PANTRY","TO BUY")))</f>
      </c>
      <c r="Q57" s="80"/>
      <c r="R57" s="78">
        <f>IF($B57="",0,IF(COUNTIF('GROCERY LIST'!$B$6:$B$205,$B57)&gt;1,1,0))</f>
      </c>
      <c r="S57" s="78">
        <f>IF(OR(N($L57)&gt;0,N($M57)&gt;0),IF($K57="",1,IF(COUNTIF('MASTER BUDGET'!$D$6:$D$25,$K57)=0,1,0)),0)</f>
      </c>
      <c r="T57" s="78">
        <f>IF($H57="",0,IF(COUNTIF('RECIPE INDEX'!$B$6:$B$105,$H57)=0,1,0))</f>
      </c>
      <c r="U57" s="75"/>
    </row>
    <row r="58" ht="17" customHeight="1" spans="1:21" x14ac:dyDescent="0.25">
      <c r="A58" s="75"/>
      <c r="B58" s="79"/>
      <c r="C58" s="80"/>
      <c r="D58" s="79"/>
      <c r="E58" s="79"/>
      <c r="F58" s="79"/>
      <c r="G58" s="82"/>
      <c r="H58" s="79"/>
      <c r="I58" s="79"/>
      <c r="J58" s="79"/>
      <c r="K58" s="79"/>
      <c r="L58" s="86"/>
      <c r="M58" s="86"/>
      <c r="N58" s="79"/>
      <c r="O58" s="79"/>
      <c r="P58" s="78">
        <f>IF($B58="","",IF($N58="Yes","BOUGHT",IF($O58="Yes","IN THE PANTRY","TO BUY")))</f>
      </c>
      <c r="Q58" s="80"/>
      <c r="R58" s="78">
        <f>IF($B58="",0,IF(COUNTIF('GROCERY LIST'!$B$6:$B$205,$B58)&gt;1,1,0))</f>
      </c>
      <c r="S58" s="78">
        <f>IF(OR(N($L58)&gt;0,N($M58)&gt;0),IF($K58="",1,IF(COUNTIF('MASTER BUDGET'!$D$6:$D$25,$K58)=0,1,0)),0)</f>
      </c>
      <c r="T58" s="78">
        <f>IF($H58="",0,IF(COUNTIF('RECIPE INDEX'!$B$6:$B$105,$H58)=0,1,0))</f>
      </c>
      <c r="U58" s="75"/>
    </row>
    <row r="59" ht="17" customHeight="1" spans="1:21" x14ac:dyDescent="0.25">
      <c r="A59" s="75"/>
      <c r="B59" s="79"/>
      <c r="C59" s="80"/>
      <c r="D59" s="79"/>
      <c r="E59" s="79"/>
      <c r="F59" s="79"/>
      <c r="G59" s="82"/>
      <c r="H59" s="79"/>
      <c r="I59" s="79"/>
      <c r="J59" s="79"/>
      <c r="K59" s="79"/>
      <c r="L59" s="86"/>
      <c r="M59" s="86"/>
      <c r="N59" s="79"/>
      <c r="O59" s="79"/>
      <c r="P59" s="78">
        <f>IF($B59="","",IF($N59="Yes","BOUGHT",IF($O59="Yes","IN THE PANTRY","TO BUY")))</f>
      </c>
      <c r="Q59" s="80"/>
      <c r="R59" s="78">
        <f>IF($B59="",0,IF(COUNTIF('GROCERY LIST'!$B$6:$B$205,$B59)&gt;1,1,0))</f>
      </c>
      <c r="S59" s="78">
        <f>IF(OR(N($L59)&gt;0,N($M59)&gt;0),IF($K59="",1,IF(COUNTIF('MASTER BUDGET'!$D$6:$D$25,$K59)=0,1,0)),0)</f>
      </c>
      <c r="T59" s="78">
        <f>IF($H59="",0,IF(COUNTIF('RECIPE INDEX'!$B$6:$B$105,$H59)=0,1,0))</f>
      </c>
      <c r="U59" s="75"/>
    </row>
    <row r="60" ht="17" customHeight="1" spans="1:21" x14ac:dyDescent="0.25">
      <c r="A60" s="75"/>
      <c r="B60" s="79"/>
      <c r="C60" s="80"/>
      <c r="D60" s="79"/>
      <c r="E60" s="79"/>
      <c r="F60" s="79"/>
      <c r="G60" s="82"/>
      <c r="H60" s="79"/>
      <c r="I60" s="79"/>
      <c r="J60" s="79"/>
      <c r="K60" s="79"/>
      <c r="L60" s="86"/>
      <c r="M60" s="86"/>
      <c r="N60" s="79"/>
      <c r="O60" s="79"/>
      <c r="P60" s="78">
        <f>IF($B60="","",IF($N60="Yes","BOUGHT",IF($O60="Yes","IN THE PANTRY","TO BUY")))</f>
      </c>
      <c r="Q60" s="80"/>
      <c r="R60" s="78">
        <f>IF($B60="",0,IF(COUNTIF('GROCERY LIST'!$B$6:$B$205,$B60)&gt;1,1,0))</f>
      </c>
      <c r="S60" s="78">
        <f>IF(OR(N($L60)&gt;0,N($M60)&gt;0),IF($K60="",1,IF(COUNTIF('MASTER BUDGET'!$D$6:$D$25,$K60)=0,1,0)),0)</f>
      </c>
      <c r="T60" s="78">
        <f>IF($H60="",0,IF(COUNTIF('RECIPE INDEX'!$B$6:$B$105,$H60)=0,1,0))</f>
      </c>
      <c r="U60" s="75"/>
    </row>
    <row r="61" ht="17" customHeight="1" spans="1:21" x14ac:dyDescent="0.25">
      <c r="A61" s="75"/>
      <c r="B61" s="79"/>
      <c r="C61" s="80"/>
      <c r="D61" s="79"/>
      <c r="E61" s="79"/>
      <c r="F61" s="79"/>
      <c r="G61" s="82"/>
      <c r="H61" s="79"/>
      <c r="I61" s="79"/>
      <c r="J61" s="79"/>
      <c r="K61" s="79"/>
      <c r="L61" s="86"/>
      <c r="M61" s="86"/>
      <c r="N61" s="79"/>
      <c r="O61" s="79"/>
      <c r="P61" s="78">
        <f>IF($B61="","",IF($N61="Yes","BOUGHT",IF($O61="Yes","IN THE PANTRY","TO BUY")))</f>
      </c>
      <c r="Q61" s="80"/>
      <c r="R61" s="78">
        <f>IF($B61="",0,IF(COUNTIF('GROCERY LIST'!$B$6:$B$205,$B61)&gt;1,1,0))</f>
      </c>
      <c r="S61" s="78">
        <f>IF(OR(N($L61)&gt;0,N($M61)&gt;0),IF($K61="",1,IF(COUNTIF('MASTER BUDGET'!$D$6:$D$25,$K61)=0,1,0)),0)</f>
      </c>
      <c r="T61" s="78">
        <f>IF($H61="",0,IF(COUNTIF('RECIPE INDEX'!$B$6:$B$105,$H61)=0,1,0))</f>
      </c>
      <c r="U61" s="75"/>
    </row>
    <row r="62" ht="17" customHeight="1" spans="1:21" x14ac:dyDescent="0.25">
      <c r="A62" s="75"/>
      <c r="B62" s="79"/>
      <c r="C62" s="80"/>
      <c r="D62" s="79"/>
      <c r="E62" s="79"/>
      <c r="F62" s="79"/>
      <c r="G62" s="82"/>
      <c r="H62" s="79"/>
      <c r="I62" s="79"/>
      <c r="J62" s="79"/>
      <c r="K62" s="79"/>
      <c r="L62" s="86"/>
      <c r="M62" s="86"/>
      <c r="N62" s="79"/>
      <c r="O62" s="79"/>
      <c r="P62" s="78">
        <f>IF($B62="","",IF($N62="Yes","BOUGHT",IF($O62="Yes","IN THE PANTRY","TO BUY")))</f>
      </c>
      <c r="Q62" s="80"/>
      <c r="R62" s="78">
        <f>IF($B62="",0,IF(COUNTIF('GROCERY LIST'!$B$6:$B$205,$B62)&gt;1,1,0))</f>
      </c>
      <c r="S62" s="78">
        <f>IF(OR(N($L62)&gt;0,N($M62)&gt;0),IF($K62="",1,IF(COUNTIF('MASTER BUDGET'!$D$6:$D$25,$K62)=0,1,0)),0)</f>
      </c>
      <c r="T62" s="78">
        <f>IF($H62="",0,IF(COUNTIF('RECIPE INDEX'!$B$6:$B$105,$H62)=0,1,0))</f>
      </c>
      <c r="U62" s="75"/>
    </row>
    <row r="63" ht="17" customHeight="1" spans="1:21" x14ac:dyDescent="0.25">
      <c r="A63" s="75"/>
      <c r="B63" s="79"/>
      <c r="C63" s="80"/>
      <c r="D63" s="79"/>
      <c r="E63" s="79"/>
      <c r="F63" s="79"/>
      <c r="G63" s="82"/>
      <c r="H63" s="79"/>
      <c r="I63" s="79"/>
      <c r="J63" s="79"/>
      <c r="K63" s="79"/>
      <c r="L63" s="86"/>
      <c r="M63" s="86"/>
      <c r="N63" s="79"/>
      <c r="O63" s="79"/>
      <c r="P63" s="78">
        <f>IF($B63="","",IF($N63="Yes","BOUGHT",IF($O63="Yes","IN THE PANTRY","TO BUY")))</f>
      </c>
      <c r="Q63" s="80"/>
      <c r="R63" s="78">
        <f>IF($B63="",0,IF(COUNTIF('GROCERY LIST'!$B$6:$B$205,$B63)&gt;1,1,0))</f>
      </c>
      <c r="S63" s="78">
        <f>IF(OR(N($L63)&gt;0,N($M63)&gt;0),IF($K63="",1,IF(COUNTIF('MASTER BUDGET'!$D$6:$D$25,$K63)=0,1,0)),0)</f>
      </c>
      <c r="T63" s="78">
        <f>IF($H63="",0,IF(COUNTIF('RECIPE INDEX'!$B$6:$B$105,$H63)=0,1,0))</f>
      </c>
      <c r="U63" s="75"/>
    </row>
    <row r="64" ht="17" customHeight="1" spans="1:21" x14ac:dyDescent="0.25">
      <c r="A64" s="75"/>
      <c r="B64" s="79"/>
      <c r="C64" s="80"/>
      <c r="D64" s="79"/>
      <c r="E64" s="79"/>
      <c r="F64" s="79"/>
      <c r="G64" s="82"/>
      <c r="H64" s="79"/>
      <c r="I64" s="79"/>
      <c r="J64" s="79"/>
      <c r="K64" s="79"/>
      <c r="L64" s="86"/>
      <c r="M64" s="86"/>
      <c r="N64" s="79"/>
      <c r="O64" s="79"/>
      <c r="P64" s="78">
        <f>IF($B64="","",IF($N64="Yes","BOUGHT",IF($O64="Yes","IN THE PANTRY","TO BUY")))</f>
      </c>
      <c r="Q64" s="80"/>
      <c r="R64" s="78">
        <f>IF($B64="",0,IF(COUNTIF('GROCERY LIST'!$B$6:$B$205,$B64)&gt;1,1,0))</f>
      </c>
      <c r="S64" s="78">
        <f>IF(OR(N($L64)&gt;0,N($M64)&gt;0),IF($K64="",1,IF(COUNTIF('MASTER BUDGET'!$D$6:$D$25,$K64)=0,1,0)),0)</f>
      </c>
      <c r="T64" s="78">
        <f>IF($H64="",0,IF(COUNTIF('RECIPE INDEX'!$B$6:$B$105,$H64)=0,1,0))</f>
      </c>
      <c r="U64" s="75"/>
    </row>
    <row r="65" ht="17" customHeight="1" spans="1:21" x14ac:dyDescent="0.25">
      <c r="A65" s="75"/>
      <c r="B65" s="79"/>
      <c r="C65" s="80"/>
      <c r="D65" s="79"/>
      <c r="E65" s="79"/>
      <c r="F65" s="79"/>
      <c r="G65" s="82"/>
      <c r="H65" s="79"/>
      <c r="I65" s="79"/>
      <c r="J65" s="79"/>
      <c r="K65" s="79"/>
      <c r="L65" s="86"/>
      <c r="M65" s="86"/>
      <c r="N65" s="79"/>
      <c r="O65" s="79"/>
      <c r="P65" s="78">
        <f>IF($B65="","",IF($N65="Yes","BOUGHT",IF($O65="Yes","IN THE PANTRY","TO BUY")))</f>
      </c>
      <c r="Q65" s="80"/>
      <c r="R65" s="78">
        <f>IF($B65="",0,IF(COUNTIF('GROCERY LIST'!$B$6:$B$205,$B65)&gt;1,1,0))</f>
      </c>
      <c r="S65" s="78">
        <f>IF(OR(N($L65)&gt;0,N($M65)&gt;0),IF($K65="",1,IF(COUNTIF('MASTER BUDGET'!$D$6:$D$25,$K65)=0,1,0)),0)</f>
      </c>
      <c r="T65" s="78">
        <f>IF($H65="",0,IF(COUNTIF('RECIPE INDEX'!$B$6:$B$105,$H65)=0,1,0))</f>
      </c>
      <c r="U65" s="75"/>
    </row>
    <row r="66" ht="17" customHeight="1" spans="1:21" x14ac:dyDescent="0.25">
      <c r="A66" s="75"/>
      <c r="B66" s="79"/>
      <c r="C66" s="80"/>
      <c r="D66" s="79"/>
      <c r="E66" s="79"/>
      <c r="F66" s="79"/>
      <c r="G66" s="82"/>
      <c r="H66" s="79"/>
      <c r="I66" s="79"/>
      <c r="J66" s="79"/>
      <c r="K66" s="79"/>
      <c r="L66" s="86"/>
      <c r="M66" s="86"/>
      <c r="N66" s="79"/>
      <c r="O66" s="79"/>
      <c r="P66" s="78">
        <f>IF($B66="","",IF($N66="Yes","BOUGHT",IF($O66="Yes","IN THE PANTRY","TO BUY")))</f>
      </c>
      <c r="Q66" s="80"/>
      <c r="R66" s="78">
        <f>IF($B66="",0,IF(COUNTIF('GROCERY LIST'!$B$6:$B$205,$B66)&gt;1,1,0))</f>
      </c>
      <c r="S66" s="78">
        <f>IF(OR(N($L66)&gt;0,N($M66)&gt;0),IF($K66="",1,IF(COUNTIF('MASTER BUDGET'!$D$6:$D$25,$K66)=0,1,0)),0)</f>
      </c>
      <c r="T66" s="78">
        <f>IF($H66="",0,IF(COUNTIF('RECIPE INDEX'!$B$6:$B$105,$H66)=0,1,0))</f>
      </c>
      <c r="U66" s="75"/>
    </row>
    <row r="67" ht="17" customHeight="1" spans="1:21" x14ac:dyDescent="0.25">
      <c r="A67" s="75"/>
      <c r="B67" s="79"/>
      <c r="C67" s="80"/>
      <c r="D67" s="79"/>
      <c r="E67" s="79"/>
      <c r="F67" s="79"/>
      <c r="G67" s="82"/>
      <c r="H67" s="79"/>
      <c r="I67" s="79"/>
      <c r="J67" s="79"/>
      <c r="K67" s="79"/>
      <c r="L67" s="86"/>
      <c r="M67" s="86"/>
      <c r="N67" s="79"/>
      <c r="O67" s="79"/>
      <c r="P67" s="78">
        <f>IF($B67="","",IF($N67="Yes","BOUGHT",IF($O67="Yes","IN THE PANTRY","TO BUY")))</f>
      </c>
      <c r="Q67" s="80"/>
      <c r="R67" s="78">
        <f>IF($B67="",0,IF(COUNTIF('GROCERY LIST'!$B$6:$B$205,$B67)&gt;1,1,0))</f>
      </c>
      <c r="S67" s="78">
        <f>IF(OR(N($L67)&gt;0,N($M67)&gt;0),IF($K67="",1,IF(COUNTIF('MASTER BUDGET'!$D$6:$D$25,$K67)=0,1,0)),0)</f>
      </c>
      <c r="T67" s="78">
        <f>IF($H67="",0,IF(COUNTIF('RECIPE INDEX'!$B$6:$B$105,$H67)=0,1,0))</f>
      </c>
      <c r="U67" s="75"/>
    </row>
    <row r="68" ht="17" customHeight="1" spans="1:21" x14ac:dyDescent="0.25">
      <c r="A68" s="75"/>
      <c r="B68" s="79"/>
      <c r="C68" s="80"/>
      <c r="D68" s="79"/>
      <c r="E68" s="79"/>
      <c r="F68" s="79"/>
      <c r="G68" s="82"/>
      <c r="H68" s="79"/>
      <c r="I68" s="79"/>
      <c r="J68" s="79"/>
      <c r="K68" s="79"/>
      <c r="L68" s="86"/>
      <c r="M68" s="86"/>
      <c r="N68" s="79"/>
      <c r="O68" s="79"/>
      <c r="P68" s="78">
        <f>IF($B68="","",IF($N68="Yes","BOUGHT",IF($O68="Yes","IN THE PANTRY","TO BUY")))</f>
      </c>
      <c r="Q68" s="80"/>
      <c r="R68" s="78">
        <f>IF($B68="",0,IF(COUNTIF('GROCERY LIST'!$B$6:$B$205,$B68)&gt;1,1,0))</f>
      </c>
      <c r="S68" s="78">
        <f>IF(OR(N($L68)&gt;0,N($M68)&gt;0),IF($K68="",1,IF(COUNTIF('MASTER BUDGET'!$D$6:$D$25,$K68)=0,1,0)),0)</f>
      </c>
      <c r="T68" s="78">
        <f>IF($H68="",0,IF(COUNTIF('RECIPE INDEX'!$B$6:$B$105,$H68)=0,1,0))</f>
      </c>
      <c r="U68" s="75"/>
    </row>
    <row r="69" ht="17" customHeight="1" spans="1:21" x14ac:dyDescent="0.25">
      <c r="A69" s="75"/>
      <c r="B69" s="79"/>
      <c r="C69" s="80"/>
      <c r="D69" s="79"/>
      <c r="E69" s="79"/>
      <c r="F69" s="79"/>
      <c r="G69" s="82"/>
      <c r="H69" s="79"/>
      <c r="I69" s="79"/>
      <c r="J69" s="79"/>
      <c r="K69" s="79"/>
      <c r="L69" s="86"/>
      <c r="M69" s="86"/>
      <c r="N69" s="79"/>
      <c r="O69" s="79"/>
      <c r="P69" s="78">
        <f>IF($B69="","",IF($N69="Yes","BOUGHT",IF($O69="Yes","IN THE PANTRY","TO BUY")))</f>
      </c>
      <c r="Q69" s="80"/>
      <c r="R69" s="78">
        <f>IF($B69="",0,IF(COUNTIF('GROCERY LIST'!$B$6:$B$205,$B69)&gt;1,1,0))</f>
      </c>
      <c r="S69" s="78">
        <f>IF(OR(N($L69)&gt;0,N($M69)&gt;0),IF($K69="",1,IF(COUNTIF('MASTER BUDGET'!$D$6:$D$25,$K69)=0,1,0)),0)</f>
      </c>
      <c r="T69" s="78">
        <f>IF($H69="",0,IF(COUNTIF('RECIPE INDEX'!$B$6:$B$105,$H69)=0,1,0))</f>
      </c>
      <c r="U69" s="75"/>
    </row>
    <row r="70" ht="17" customHeight="1" spans="1:21" x14ac:dyDescent="0.25">
      <c r="A70" s="75"/>
      <c r="B70" s="79"/>
      <c r="C70" s="80"/>
      <c r="D70" s="79"/>
      <c r="E70" s="79"/>
      <c r="F70" s="79"/>
      <c r="G70" s="82"/>
      <c r="H70" s="79"/>
      <c r="I70" s="79"/>
      <c r="J70" s="79"/>
      <c r="K70" s="79"/>
      <c r="L70" s="86"/>
      <c r="M70" s="86"/>
      <c r="N70" s="79"/>
      <c r="O70" s="79"/>
      <c r="P70" s="78">
        <f>IF($B70="","",IF($N70="Yes","BOUGHT",IF($O70="Yes","IN THE PANTRY","TO BUY")))</f>
      </c>
      <c r="Q70" s="80"/>
      <c r="R70" s="78">
        <f>IF($B70="",0,IF(COUNTIF('GROCERY LIST'!$B$6:$B$205,$B70)&gt;1,1,0))</f>
      </c>
      <c r="S70" s="78">
        <f>IF(OR(N($L70)&gt;0,N($M70)&gt;0),IF($K70="",1,IF(COUNTIF('MASTER BUDGET'!$D$6:$D$25,$K70)=0,1,0)),0)</f>
      </c>
      <c r="T70" s="78">
        <f>IF($H70="",0,IF(COUNTIF('RECIPE INDEX'!$B$6:$B$105,$H70)=0,1,0))</f>
      </c>
      <c r="U70" s="75"/>
    </row>
    <row r="71" ht="17" customHeight="1" spans="1:21" x14ac:dyDescent="0.25">
      <c r="A71" s="75"/>
      <c r="B71" s="79"/>
      <c r="C71" s="80"/>
      <c r="D71" s="79"/>
      <c r="E71" s="79"/>
      <c r="F71" s="79"/>
      <c r="G71" s="82"/>
      <c r="H71" s="79"/>
      <c r="I71" s="79"/>
      <c r="J71" s="79"/>
      <c r="K71" s="79"/>
      <c r="L71" s="86"/>
      <c r="M71" s="86"/>
      <c r="N71" s="79"/>
      <c r="O71" s="79"/>
      <c r="P71" s="78">
        <f>IF($B71="","",IF($N71="Yes","BOUGHT",IF($O71="Yes","IN THE PANTRY","TO BUY")))</f>
      </c>
      <c r="Q71" s="80"/>
      <c r="R71" s="78">
        <f>IF($B71="",0,IF(COUNTIF('GROCERY LIST'!$B$6:$B$205,$B71)&gt;1,1,0))</f>
      </c>
      <c r="S71" s="78">
        <f>IF(OR(N($L71)&gt;0,N($M71)&gt;0),IF($K71="",1,IF(COUNTIF('MASTER BUDGET'!$D$6:$D$25,$K71)=0,1,0)),0)</f>
      </c>
      <c r="T71" s="78">
        <f>IF($H71="",0,IF(COUNTIF('RECIPE INDEX'!$B$6:$B$105,$H71)=0,1,0))</f>
      </c>
      <c r="U71" s="75"/>
    </row>
    <row r="72" ht="17" customHeight="1" spans="1:21" x14ac:dyDescent="0.25">
      <c r="A72" s="75"/>
      <c r="B72" s="79"/>
      <c r="C72" s="80"/>
      <c r="D72" s="79"/>
      <c r="E72" s="79"/>
      <c r="F72" s="79"/>
      <c r="G72" s="82"/>
      <c r="H72" s="79"/>
      <c r="I72" s="79"/>
      <c r="J72" s="79"/>
      <c r="K72" s="79"/>
      <c r="L72" s="86"/>
      <c r="M72" s="86"/>
      <c r="N72" s="79"/>
      <c r="O72" s="79"/>
      <c r="P72" s="78">
        <f>IF($B72="","",IF($N72="Yes","BOUGHT",IF($O72="Yes","IN THE PANTRY","TO BUY")))</f>
      </c>
      <c r="Q72" s="80"/>
      <c r="R72" s="78">
        <f>IF($B72="",0,IF(COUNTIF('GROCERY LIST'!$B$6:$B$205,$B72)&gt;1,1,0))</f>
      </c>
      <c r="S72" s="78">
        <f>IF(OR(N($L72)&gt;0,N($M72)&gt;0),IF($K72="",1,IF(COUNTIF('MASTER BUDGET'!$D$6:$D$25,$K72)=0,1,0)),0)</f>
      </c>
      <c r="T72" s="78">
        <f>IF($H72="",0,IF(COUNTIF('RECIPE INDEX'!$B$6:$B$105,$H72)=0,1,0))</f>
      </c>
      <c r="U72" s="75"/>
    </row>
    <row r="73" ht="17" customHeight="1" spans="1:21" x14ac:dyDescent="0.25">
      <c r="A73" s="75"/>
      <c r="B73" s="79"/>
      <c r="C73" s="80"/>
      <c r="D73" s="79"/>
      <c r="E73" s="79"/>
      <c r="F73" s="79"/>
      <c r="G73" s="82"/>
      <c r="H73" s="79"/>
      <c r="I73" s="79"/>
      <c r="J73" s="79"/>
      <c r="K73" s="79"/>
      <c r="L73" s="86"/>
      <c r="M73" s="86"/>
      <c r="N73" s="79"/>
      <c r="O73" s="79"/>
      <c r="P73" s="78">
        <f>IF($B73="","",IF($N73="Yes","BOUGHT",IF($O73="Yes","IN THE PANTRY","TO BUY")))</f>
      </c>
      <c r="Q73" s="80"/>
      <c r="R73" s="78">
        <f>IF($B73="",0,IF(COUNTIF('GROCERY LIST'!$B$6:$B$205,$B73)&gt;1,1,0))</f>
      </c>
      <c r="S73" s="78">
        <f>IF(OR(N($L73)&gt;0,N($M73)&gt;0),IF($K73="",1,IF(COUNTIF('MASTER BUDGET'!$D$6:$D$25,$K73)=0,1,0)),0)</f>
      </c>
      <c r="T73" s="78">
        <f>IF($H73="",0,IF(COUNTIF('RECIPE INDEX'!$B$6:$B$105,$H73)=0,1,0))</f>
      </c>
      <c r="U73" s="75"/>
    </row>
    <row r="74" ht="17" customHeight="1" spans="1:21" x14ac:dyDescent="0.25">
      <c r="A74" s="75"/>
      <c r="B74" s="79"/>
      <c r="C74" s="80"/>
      <c r="D74" s="79"/>
      <c r="E74" s="79"/>
      <c r="F74" s="79"/>
      <c r="G74" s="82"/>
      <c r="H74" s="79"/>
      <c r="I74" s="79"/>
      <c r="J74" s="79"/>
      <c r="K74" s="79"/>
      <c r="L74" s="86"/>
      <c r="M74" s="86"/>
      <c r="N74" s="79"/>
      <c r="O74" s="79"/>
      <c r="P74" s="78">
        <f>IF($B74="","",IF($N74="Yes","BOUGHT",IF($O74="Yes","IN THE PANTRY","TO BUY")))</f>
      </c>
      <c r="Q74" s="80"/>
      <c r="R74" s="78">
        <f>IF($B74="",0,IF(COUNTIF('GROCERY LIST'!$B$6:$B$205,$B74)&gt;1,1,0))</f>
      </c>
      <c r="S74" s="78">
        <f>IF(OR(N($L74)&gt;0,N($M74)&gt;0),IF($K74="",1,IF(COUNTIF('MASTER BUDGET'!$D$6:$D$25,$K74)=0,1,0)),0)</f>
      </c>
      <c r="T74" s="78">
        <f>IF($H74="",0,IF(COUNTIF('RECIPE INDEX'!$B$6:$B$105,$H74)=0,1,0))</f>
      </c>
      <c r="U74" s="75"/>
    </row>
    <row r="75" ht="17" customHeight="1" spans="1:21" x14ac:dyDescent="0.25">
      <c r="A75" s="75"/>
      <c r="B75" s="79"/>
      <c r="C75" s="80"/>
      <c r="D75" s="79"/>
      <c r="E75" s="79"/>
      <c r="F75" s="79"/>
      <c r="G75" s="82"/>
      <c r="H75" s="79"/>
      <c r="I75" s="79"/>
      <c r="J75" s="79"/>
      <c r="K75" s="79"/>
      <c r="L75" s="86"/>
      <c r="M75" s="86"/>
      <c r="N75" s="79"/>
      <c r="O75" s="79"/>
      <c r="P75" s="78">
        <f>IF($B75="","",IF($N75="Yes","BOUGHT",IF($O75="Yes","IN THE PANTRY","TO BUY")))</f>
      </c>
      <c r="Q75" s="80"/>
      <c r="R75" s="78">
        <f>IF($B75="",0,IF(COUNTIF('GROCERY LIST'!$B$6:$B$205,$B75)&gt;1,1,0))</f>
      </c>
      <c r="S75" s="78">
        <f>IF(OR(N($L75)&gt;0,N($M75)&gt;0),IF($K75="",1,IF(COUNTIF('MASTER BUDGET'!$D$6:$D$25,$K75)=0,1,0)),0)</f>
      </c>
      <c r="T75" s="78">
        <f>IF($H75="",0,IF(COUNTIF('RECIPE INDEX'!$B$6:$B$105,$H75)=0,1,0))</f>
      </c>
      <c r="U75" s="75"/>
    </row>
    <row r="76" ht="17" customHeight="1" spans="1:21" x14ac:dyDescent="0.25">
      <c r="A76" s="75"/>
      <c r="B76" s="79"/>
      <c r="C76" s="80"/>
      <c r="D76" s="79"/>
      <c r="E76" s="79"/>
      <c r="F76" s="79"/>
      <c r="G76" s="82"/>
      <c r="H76" s="79"/>
      <c r="I76" s="79"/>
      <c r="J76" s="79"/>
      <c r="K76" s="79"/>
      <c r="L76" s="86"/>
      <c r="M76" s="86"/>
      <c r="N76" s="79"/>
      <c r="O76" s="79"/>
      <c r="P76" s="78">
        <f>IF($B76="","",IF($N76="Yes","BOUGHT",IF($O76="Yes","IN THE PANTRY","TO BUY")))</f>
      </c>
      <c r="Q76" s="80"/>
      <c r="R76" s="78">
        <f>IF($B76="",0,IF(COUNTIF('GROCERY LIST'!$B$6:$B$205,$B76)&gt;1,1,0))</f>
      </c>
      <c r="S76" s="78">
        <f>IF(OR(N($L76)&gt;0,N($M76)&gt;0),IF($K76="",1,IF(COUNTIF('MASTER BUDGET'!$D$6:$D$25,$K76)=0,1,0)),0)</f>
      </c>
      <c r="T76" s="78">
        <f>IF($H76="",0,IF(COUNTIF('RECIPE INDEX'!$B$6:$B$105,$H76)=0,1,0))</f>
      </c>
      <c r="U76" s="75"/>
    </row>
    <row r="77" ht="17" customHeight="1" spans="1:21" x14ac:dyDescent="0.25">
      <c r="A77" s="75"/>
      <c r="B77" s="79"/>
      <c r="C77" s="80"/>
      <c r="D77" s="79"/>
      <c r="E77" s="79"/>
      <c r="F77" s="79"/>
      <c r="G77" s="82"/>
      <c r="H77" s="79"/>
      <c r="I77" s="79"/>
      <c r="J77" s="79"/>
      <c r="K77" s="79"/>
      <c r="L77" s="86"/>
      <c r="M77" s="86"/>
      <c r="N77" s="79"/>
      <c r="O77" s="79"/>
      <c r="P77" s="78">
        <f>IF($B77="","",IF($N77="Yes","BOUGHT",IF($O77="Yes","IN THE PANTRY","TO BUY")))</f>
      </c>
      <c r="Q77" s="80"/>
      <c r="R77" s="78">
        <f>IF($B77="",0,IF(COUNTIF('GROCERY LIST'!$B$6:$B$205,$B77)&gt;1,1,0))</f>
      </c>
      <c r="S77" s="78">
        <f>IF(OR(N($L77)&gt;0,N($M77)&gt;0),IF($K77="",1,IF(COUNTIF('MASTER BUDGET'!$D$6:$D$25,$K77)=0,1,0)),0)</f>
      </c>
      <c r="T77" s="78">
        <f>IF($H77="",0,IF(COUNTIF('RECIPE INDEX'!$B$6:$B$105,$H77)=0,1,0))</f>
      </c>
      <c r="U77" s="75"/>
    </row>
    <row r="78" ht="17" customHeight="1" spans="1:21" x14ac:dyDescent="0.25">
      <c r="A78" s="75"/>
      <c r="B78" s="79"/>
      <c r="C78" s="80"/>
      <c r="D78" s="79"/>
      <c r="E78" s="79"/>
      <c r="F78" s="79"/>
      <c r="G78" s="82"/>
      <c r="H78" s="79"/>
      <c r="I78" s="79"/>
      <c r="J78" s="79"/>
      <c r="K78" s="79"/>
      <c r="L78" s="86"/>
      <c r="M78" s="86"/>
      <c r="N78" s="79"/>
      <c r="O78" s="79"/>
      <c r="P78" s="78">
        <f>IF($B78="","",IF($N78="Yes","BOUGHT",IF($O78="Yes","IN THE PANTRY","TO BUY")))</f>
      </c>
      <c r="Q78" s="80"/>
      <c r="R78" s="78">
        <f>IF($B78="",0,IF(COUNTIF('GROCERY LIST'!$B$6:$B$205,$B78)&gt;1,1,0))</f>
      </c>
      <c r="S78" s="78">
        <f>IF(OR(N($L78)&gt;0,N($M78)&gt;0),IF($K78="",1,IF(COUNTIF('MASTER BUDGET'!$D$6:$D$25,$K78)=0,1,0)),0)</f>
      </c>
      <c r="T78" s="78">
        <f>IF($H78="",0,IF(COUNTIF('RECIPE INDEX'!$B$6:$B$105,$H78)=0,1,0))</f>
      </c>
      <c r="U78" s="75"/>
    </row>
    <row r="79" ht="17" customHeight="1" spans="1:21" x14ac:dyDescent="0.25">
      <c r="A79" s="75"/>
      <c r="B79" s="79"/>
      <c r="C79" s="80"/>
      <c r="D79" s="79"/>
      <c r="E79" s="79"/>
      <c r="F79" s="79"/>
      <c r="G79" s="82"/>
      <c r="H79" s="79"/>
      <c r="I79" s="79"/>
      <c r="J79" s="79"/>
      <c r="K79" s="79"/>
      <c r="L79" s="86"/>
      <c r="M79" s="86"/>
      <c r="N79" s="79"/>
      <c r="O79" s="79"/>
      <c r="P79" s="78">
        <f>IF($B79="","",IF($N79="Yes","BOUGHT",IF($O79="Yes","IN THE PANTRY","TO BUY")))</f>
      </c>
      <c r="Q79" s="80"/>
      <c r="R79" s="78">
        <f>IF($B79="",0,IF(COUNTIF('GROCERY LIST'!$B$6:$B$205,$B79)&gt;1,1,0))</f>
      </c>
      <c r="S79" s="78">
        <f>IF(OR(N($L79)&gt;0,N($M79)&gt;0),IF($K79="",1,IF(COUNTIF('MASTER BUDGET'!$D$6:$D$25,$K79)=0,1,0)),0)</f>
      </c>
      <c r="T79" s="78">
        <f>IF($H79="",0,IF(COUNTIF('RECIPE INDEX'!$B$6:$B$105,$H79)=0,1,0))</f>
      </c>
      <c r="U79" s="75"/>
    </row>
    <row r="80" ht="17" customHeight="1" spans="1:21" x14ac:dyDescent="0.25">
      <c r="A80" s="75"/>
      <c r="B80" s="79"/>
      <c r="C80" s="80"/>
      <c r="D80" s="79"/>
      <c r="E80" s="79"/>
      <c r="F80" s="79"/>
      <c r="G80" s="82"/>
      <c r="H80" s="79"/>
      <c r="I80" s="79"/>
      <c r="J80" s="79"/>
      <c r="K80" s="79"/>
      <c r="L80" s="86"/>
      <c r="M80" s="86"/>
      <c r="N80" s="79"/>
      <c r="O80" s="79"/>
      <c r="P80" s="78">
        <f>IF($B80="","",IF($N80="Yes","BOUGHT",IF($O80="Yes","IN THE PANTRY","TO BUY")))</f>
      </c>
      <c r="Q80" s="80"/>
      <c r="R80" s="78">
        <f>IF($B80="",0,IF(COUNTIF('GROCERY LIST'!$B$6:$B$205,$B80)&gt;1,1,0))</f>
      </c>
      <c r="S80" s="78">
        <f>IF(OR(N($L80)&gt;0,N($M80)&gt;0),IF($K80="",1,IF(COUNTIF('MASTER BUDGET'!$D$6:$D$25,$K80)=0,1,0)),0)</f>
      </c>
      <c r="T80" s="78">
        <f>IF($H80="",0,IF(COUNTIF('RECIPE INDEX'!$B$6:$B$105,$H80)=0,1,0))</f>
      </c>
      <c r="U80" s="75"/>
    </row>
    <row r="81" ht="17" customHeight="1" spans="1:21" x14ac:dyDescent="0.25">
      <c r="A81" s="75"/>
      <c r="B81" s="79"/>
      <c r="C81" s="80"/>
      <c r="D81" s="79"/>
      <c r="E81" s="79"/>
      <c r="F81" s="79"/>
      <c r="G81" s="82"/>
      <c r="H81" s="79"/>
      <c r="I81" s="79"/>
      <c r="J81" s="79"/>
      <c r="K81" s="79"/>
      <c r="L81" s="86"/>
      <c r="M81" s="86"/>
      <c r="N81" s="79"/>
      <c r="O81" s="79"/>
      <c r="P81" s="78">
        <f>IF($B81="","",IF($N81="Yes","BOUGHT",IF($O81="Yes","IN THE PANTRY","TO BUY")))</f>
      </c>
      <c r="Q81" s="80"/>
      <c r="R81" s="78">
        <f>IF($B81="",0,IF(COUNTIF('GROCERY LIST'!$B$6:$B$205,$B81)&gt;1,1,0))</f>
      </c>
      <c r="S81" s="78">
        <f>IF(OR(N($L81)&gt;0,N($M81)&gt;0),IF($K81="",1,IF(COUNTIF('MASTER BUDGET'!$D$6:$D$25,$K81)=0,1,0)),0)</f>
      </c>
      <c r="T81" s="78">
        <f>IF($H81="",0,IF(COUNTIF('RECIPE INDEX'!$B$6:$B$105,$H81)=0,1,0))</f>
      </c>
      <c r="U81" s="75"/>
    </row>
    <row r="82" ht="17" customHeight="1" spans="1:21" x14ac:dyDescent="0.25">
      <c r="A82" s="75"/>
      <c r="B82" s="79"/>
      <c r="C82" s="80"/>
      <c r="D82" s="79"/>
      <c r="E82" s="79"/>
      <c r="F82" s="79"/>
      <c r="G82" s="82"/>
      <c r="H82" s="79"/>
      <c r="I82" s="79"/>
      <c r="J82" s="79"/>
      <c r="K82" s="79"/>
      <c r="L82" s="86"/>
      <c r="M82" s="86"/>
      <c r="N82" s="79"/>
      <c r="O82" s="79"/>
      <c r="P82" s="78">
        <f>IF($B82="","",IF($N82="Yes","BOUGHT",IF($O82="Yes","IN THE PANTRY","TO BUY")))</f>
      </c>
      <c r="Q82" s="80"/>
      <c r="R82" s="78">
        <f>IF($B82="",0,IF(COUNTIF('GROCERY LIST'!$B$6:$B$205,$B82)&gt;1,1,0))</f>
      </c>
      <c r="S82" s="78">
        <f>IF(OR(N($L82)&gt;0,N($M82)&gt;0),IF($K82="",1,IF(COUNTIF('MASTER BUDGET'!$D$6:$D$25,$K82)=0,1,0)),0)</f>
      </c>
      <c r="T82" s="78">
        <f>IF($H82="",0,IF(COUNTIF('RECIPE INDEX'!$B$6:$B$105,$H82)=0,1,0))</f>
      </c>
      <c r="U82" s="75"/>
    </row>
    <row r="83" ht="17" customHeight="1" spans="1:21" x14ac:dyDescent="0.25">
      <c r="A83" s="75"/>
      <c r="B83" s="79"/>
      <c r="C83" s="80"/>
      <c r="D83" s="79"/>
      <c r="E83" s="79"/>
      <c r="F83" s="79"/>
      <c r="G83" s="82"/>
      <c r="H83" s="79"/>
      <c r="I83" s="79"/>
      <c r="J83" s="79"/>
      <c r="K83" s="79"/>
      <c r="L83" s="86"/>
      <c r="M83" s="86"/>
      <c r="N83" s="79"/>
      <c r="O83" s="79"/>
      <c r="P83" s="78">
        <f>IF($B83="","",IF($N83="Yes","BOUGHT",IF($O83="Yes","IN THE PANTRY","TO BUY")))</f>
      </c>
      <c r="Q83" s="80"/>
      <c r="R83" s="78">
        <f>IF($B83="",0,IF(COUNTIF('GROCERY LIST'!$B$6:$B$205,$B83)&gt;1,1,0))</f>
      </c>
      <c r="S83" s="78">
        <f>IF(OR(N($L83)&gt;0,N($M83)&gt;0),IF($K83="",1,IF(COUNTIF('MASTER BUDGET'!$D$6:$D$25,$K83)=0,1,0)),0)</f>
      </c>
      <c r="T83" s="78">
        <f>IF($H83="",0,IF(COUNTIF('RECIPE INDEX'!$B$6:$B$105,$H83)=0,1,0))</f>
      </c>
      <c r="U83" s="75"/>
    </row>
    <row r="84" ht="17" customHeight="1" spans="1:21" x14ac:dyDescent="0.25">
      <c r="A84" s="75"/>
      <c r="B84" s="79"/>
      <c r="C84" s="80"/>
      <c r="D84" s="79"/>
      <c r="E84" s="79"/>
      <c r="F84" s="79"/>
      <c r="G84" s="82"/>
      <c r="H84" s="79"/>
      <c r="I84" s="79"/>
      <c r="J84" s="79"/>
      <c r="K84" s="79"/>
      <c r="L84" s="86"/>
      <c r="M84" s="86"/>
      <c r="N84" s="79"/>
      <c r="O84" s="79"/>
      <c r="P84" s="78">
        <f>IF($B84="","",IF($N84="Yes","BOUGHT",IF($O84="Yes","IN THE PANTRY","TO BUY")))</f>
      </c>
      <c r="Q84" s="80"/>
      <c r="R84" s="78">
        <f>IF($B84="",0,IF(COUNTIF('GROCERY LIST'!$B$6:$B$205,$B84)&gt;1,1,0))</f>
      </c>
      <c r="S84" s="78">
        <f>IF(OR(N($L84)&gt;0,N($M84)&gt;0),IF($K84="",1,IF(COUNTIF('MASTER BUDGET'!$D$6:$D$25,$K84)=0,1,0)),0)</f>
      </c>
      <c r="T84" s="78">
        <f>IF($H84="",0,IF(COUNTIF('RECIPE INDEX'!$B$6:$B$105,$H84)=0,1,0))</f>
      </c>
      <c r="U84" s="75"/>
    </row>
    <row r="85" ht="17" customHeight="1" spans="1:21" x14ac:dyDescent="0.25">
      <c r="A85" s="75"/>
      <c r="B85" s="79"/>
      <c r="C85" s="80"/>
      <c r="D85" s="79"/>
      <c r="E85" s="79"/>
      <c r="F85" s="79"/>
      <c r="G85" s="82"/>
      <c r="H85" s="79"/>
      <c r="I85" s="79"/>
      <c r="J85" s="79"/>
      <c r="K85" s="79"/>
      <c r="L85" s="86"/>
      <c r="M85" s="86"/>
      <c r="N85" s="79"/>
      <c r="O85" s="79"/>
      <c r="P85" s="78">
        <f>IF($B85="","",IF($N85="Yes","BOUGHT",IF($O85="Yes","IN THE PANTRY","TO BUY")))</f>
      </c>
      <c r="Q85" s="80"/>
      <c r="R85" s="78">
        <f>IF($B85="",0,IF(COUNTIF('GROCERY LIST'!$B$6:$B$205,$B85)&gt;1,1,0))</f>
      </c>
      <c r="S85" s="78">
        <f>IF(OR(N($L85)&gt;0,N($M85)&gt;0),IF($K85="",1,IF(COUNTIF('MASTER BUDGET'!$D$6:$D$25,$K85)=0,1,0)),0)</f>
      </c>
      <c r="T85" s="78">
        <f>IF($H85="",0,IF(COUNTIF('RECIPE INDEX'!$B$6:$B$105,$H85)=0,1,0))</f>
      </c>
      <c r="U85" s="75"/>
    </row>
    <row r="86" ht="17" customHeight="1" spans="1:21" x14ac:dyDescent="0.25">
      <c r="A86" s="75"/>
      <c r="B86" s="79"/>
      <c r="C86" s="80"/>
      <c r="D86" s="79"/>
      <c r="E86" s="79"/>
      <c r="F86" s="79"/>
      <c r="G86" s="82"/>
      <c r="H86" s="79"/>
      <c r="I86" s="79"/>
      <c r="J86" s="79"/>
      <c r="K86" s="79"/>
      <c r="L86" s="86"/>
      <c r="M86" s="86"/>
      <c r="N86" s="79"/>
      <c r="O86" s="79"/>
      <c r="P86" s="78">
        <f>IF($B86="","",IF($N86="Yes","BOUGHT",IF($O86="Yes","IN THE PANTRY","TO BUY")))</f>
      </c>
      <c r="Q86" s="80"/>
      <c r="R86" s="78">
        <f>IF($B86="",0,IF(COUNTIF('GROCERY LIST'!$B$6:$B$205,$B86)&gt;1,1,0))</f>
      </c>
      <c r="S86" s="78">
        <f>IF(OR(N($L86)&gt;0,N($M86)&gt;0),IF($K86="",1,IF(COUNTIF('MASTER BUDGET'!$D$6:$D$25,$K86)=0,1,0)),0)</f>
      </c>
      <c r="T86" s="78">
        <f>IF($H86="",0,IF(COUNTIF('RECIPE INDEX'!$B$6:$B$105,$H86)=0,1,0))</f>
      </c>
      <c r="U86" s="75"/>
    </row>
    <row r="87" ht="17" customHeight="1" spans="1:21" x14ac:dyDescent="0.25">
      <c r="A87" s="75"/>
      <c r="B87" s="79"/>
      <c r="C87" s="80"/>
      <c r="D87" s="79"/>
      <c r="E87" s="79"/>
      <c r="F87" s="79"/>
      <c r="G87" s="82"/>
      <c r="H87" s="79"/>
      <c r="I87" s="79"/>
      <c r="J87" s="79"/>
      <c r="K87" s="79"/>
      <c r="L87" s="86"/>
      <c r="M87" s="86"/>
      <c r="N87" s="79"/>
      <c r="O87" s="79"/>
      <c r="P87" s="78">
        <f>IF($B87="","",IF($N87="Yes","BOUGHT",IF($O87="Yes","IN THE PANTRY","TO BUY")))</f>
      </c>
      <c r="Q87" s="80"/>
      <c r="R87" s="78">
        <f>IF($B87="",0,IF(COUNTIF('GROCERY LIST'!$B$6:$B$205,$B87)&gt;1,1,0))</f>
      </c>
      <c r="S87" s="78">
        <f>IF(OR(N($L87)&gt;0,N($M87)&gt;0),IF($K87="",1,IF(COUNTIF('MASTER BUDGET'!$D$6:$D$25,$K87)=0,1,0)),0)</f>
      </c>
      <c r="T87" s="78">
        <f>IF($H87="",0,IF(COUNTIF('RECIPE INDEX'!$B$6:$B$105,$H87)=0,1,0))</f>
      </c>
      <c r="U87" s="75"/>
    </row>
    <row r="88" ht="17" customHeight="1" spans="1:21" x14ac:dyDescent="0.25">
      <c r="A88" s="75"/>
      <c r="B88" s="79"/>
      <c r="C88" s="80"/>
      <c r="D88" s="79"/>
      <c r="E88" s="79"/>
      <c r="F88" s="79"/>
      <c r="G88" s="82"/>
      <c r="H88" s="79"/>
      <c r="I88" s="79"/>
      <c r="J88" s="79"/>
      <c r="K88" s="79"/>
      <c r="L88" s="86"/>
      <c r="M88" s="86"/>
      <c r="N88" s="79"/>
      <c r="O88" s="79"/>
      <c r="P88" s="78">
        <f>IF($B88="","",IF($N88="Yes","BOUGHT",IF($O88="Yes","IN THE PANTRY","TO BUY")))</f>
      </c>
      <c r="Q88" s="80"/>
      <c r="R88" s="78">
        <f>IF($B88="",0,IF(COUNTIF('GROCERY LIST'!$B$6:$B$205,$B88)&gt;1,1,0))</f>
      </c>
      <c r="S88" s="78">
        <f>IF(OR(N($L88)&gt;0,N($M88)&gt;0),IF($K88="",1,IF(COUNTIF('MASTER BUDGET'!$D$6:$D$25,$K88)=0,1,0)),0)</f>
      </c>
      <c r="T88" s="78">
        <f>IF($H88="",0,IF(COUNTIF('RECIPE INDEX'!$B$6:$B$105,$H88)=0,1,0))</f>
      </c>
      <c r="U88" s="75"/>
    </row>
    <row r="89" ht="17" customHeight="1" spans="1:21" x14ac:dyDescent="0.25">
      <c r="A89" s="75"/>
      <c r="B89" s="79"/>
      <c r="C89" s="80"/>
      <c r="D89" s="79"/>
      <c r="E89" s="79"/>
      <c r="F89" s="79"/>
      <c r="G89" s="82"/>
      <c r="H89" s="79"/>
      <c r="I89" s="79"/>
      <c r="J89" s="79"/>
      <c r="K89" s="79"/>
      <c r="L89" s="86"/>
      <c r="M89" s="86"/>
      <c r="N89" s="79"/>
      <c r="O89" s="79"/>
      <c r="P89" s="78">
        <f>IF($B89="","",IF($N89="Yes","BOUGHT",IF($O89="Yes","IN THE PANTRY","TO BUY")))</f>
      </c>
      <c r="Q89" s="80"/>
      <c r="R89" s="78">
        <f>IF($B89="",0,IF(COUNTIF('GROCERY LIST'!$B$6:$B$205,$B89)&gt;1,1,0))</f>
      </c>
      <c r="S89" s="78">
        <f>IF(OR(N($L89)&gt;0,N($M89)&gt;0),IF($K89="",1,IF(COUNTIF('MASTER BUDGET'!$D$6:$D$25,$K89)=0,1,0)),0)</f>
      </c>
      <c r="T89" s="78">
        <f>IF($H89="",0,IF(COUNTIF('RECIPE INDEX'!$B$6:$B$105,$H89)=0,1,0))</f>
      </c>
      <c r="U89" s="75"/>
    </row>
    <row r="90" ht="17" customHeight="1" spans="1:21" x14ac:dyDescent="0.25">
      <c r="A90" s="75"/>
      <c r="B90" s="79"/>
      <c r="C90" s="80"/>
      <c r="D90" s="79"/>
      <c r="E90" s="79"/>
      <c r="F90" s="79"/>
      <c r="G90" s="82"/>
      <c r="H90" s="79"/>
      <c r="I90" s="79"/>
      <c r="J90" s="79"/>
      <c r="K90" s="79"/>
      <c r="L90" s="86"/>
      <c r="M90" s="86"/>
      <c r="N90" s="79"/>
      <c r="O90" s="79"/>
      <c r="P90" s="78">
        <f>IF($B90="","",IF($N90="Yes","BOUGHT",IF($O90="Yes","IN THE PANTRY","TO BUY")))</f>
      </c>
      <c r="Q90" s="80"/>
      <c r="R90" s="78">
        <f>IF($B90="",0,IF(COUNTIF('GROCERY LIST'!$B$6:$B$205,$B90)&gt;1,1,0))</f>
      </c>
      <c r="S90" s="78">
        <f>IF(OR(N($L90)&gt;0,N($M90)&gt;0),IF($K90="",1,IF(COUNTIF('MASTER BUDGET'!$D$6:$D$25,$K90)=0,1,0)),0)</f>
      </c>
      <c r="T90" s="78">
        <f>IF($H90="",0,IF(COUNTIF('RECIPE INDEX'!$B$6:$B$105,$H90)=0,1,0))</f>
      </c>
      <c r="U90" s="75"/>
    </row>
    <row r="91" ht="17" customHeight="1" spans="1:21" x14ac:dyDescent="0.25">
      <c r="A91" s="75"/>
      <c r="B91" s="79"/>
      <c r="C91" s="80"/>
      <c r="D91" s="79"/>
      <c r="E91" s="79"/>
      <c r="F91" s="79"/>
      <c r="G91" s="82"/>
      <c r="H91" s="79"/>
      <c r="I91" s="79"/>
      <c r="J91" s="79"/>
      <c r="K91" s="79"/>
      <c r="L91" s="86"/>
      <c r="M91" s="86"/>
      <c r="N91" s="79"/>
      <c r="O91" s="79"/>
      <c r="P91" s="78">
        <f>IF($B91="","",IF($N91="Yes","BOUGHT",IF($O91="Yes","IN THE PANTRY","TO BUY")))</f>
      </c>
      <c r="Q91" s="80"/>
      <c r="R91" s="78">
        <f>IF($B91="",0,IF(COUNTIF('GROCERY LIST'!$B$6:$B$205,$B91)&gt;1,1,0))</f>
      </c>
      <c r="S91" s="78">
        <f>IF(OR(N($L91)&gt;0,N($M91)&gt;0),IF($K91="",1,IF(COUNTIF('MASTER BUDGET'!$D$6:$D$25,$K91)=0,1,0)),0)</f>
      </c>
      <c r="T91" s="78">
        <f>IF($H91="",0,IF(COUNTIF('RECIPE INDEX'!$B$6:$B$105,$H91)=0,1,0))</f>
      </c>
      <c r="U91" s="75"/>
    </row>
    <row r="92" ht="17" customHeight="1" spans="1:21" x14ac:dyDescent="0.25">
      <c r="A92" s="75"/>
      <c r="B92" s="79"/>
      <c r="C92" s="80"/>
      <c r="D92" s="79"/>
      <c r="E92" s="79"/>
      <c r="F92" s="79"/>
      <c r="G92" s="82"/>
      <c r="H92" s="79"/>
      <c r="I92" s="79"/>
      <c r="J92" s="79"/>
      <c r="K92" s="79"/>
      <c r="L92" s="86"/>
      <c r="M92" s="86"/>
      <c r="N92" s="79"/>
      <c r="O92" s="79"/>
      <c r="P92" s="78">
        <f>IF($B92="","",IF($N92="Yes","BOUGHT",IF($O92="Yes","IN THE PANTRY","TO BUY")))</f>
      </c>
      <c r="Q92" s="80"/>
      <c r="R92" s="78">
        <f>IF($B92="",0,IF(COUNTIF('GROCERY LIST'!$B$6:$B$205,$B92)&gt;1,1,0))</f>
      </c>
      <c r="S92" s="78">
        <f>IF(OR(N($L92)&gt;0,N($M92)&gt;0),IF($K92="",1,IF(COUNTIF('MASTER BUDGET'!$D$6:$D$25,$K92)=0,1,0)),0)</f>
      </c>
      <c r="T92" s="78">
        <f>IF($H92="",0,IF(COUNTIF('RECIPE INDEX'!$B$6:$B$105,$H92)=0,1,0))</f>
      </c>
      <c r="U92" s="75"/>
    </row>
    <row r="93" ht="17" customHeight="1" spans="1:21" x14ac:dyDescent="0.25">
      <c r="A93" s="75"/>
      <c r="B93" s="79"/>
      <c r="C93" s="80"/>
      <c r="D93" s="79"/>
      <c r="E93" s="79"/>
      <c r="F93" s="79"/>
      <c r="G93" s="82"/>
      <c r="H93" s="79"/>
      <c r="I93" s="79"/>
      <c r="J93" s="79"/>
      <c r="K93" s="79"/>
      <c r="L93" s="86"/>
      <c r="M93" s="86"/>
      <c r="N93" s="79"/>
      <c r="O93" s="79"/>
      <c r="P93" s="78">
        <f>IF($B93="","",IF($N93="Yes","BOUGHT",IF($O93="Yes","IN THE PANTRY","TO BUY")))</f>
      </c>
      <c r="Q93" s="80"/>
      <c r="R93" s="78">
        <f>IF($B93="",0,IF(COUNTIF('GROCERY LIST'!$B$6:$B$205,$B93)&gt;1,1,0))</f>
      </c>
      <c r="S93" s="78">
        <f>IF(OR(N($L93)&gt;0,N($M93)&gt;0),IF($K93="",1,IF(COUNTIF('MASTER BUDGET'!$D$6:$D$25,$K93)=0,1,0)),0)</f>
      </c>
      <c r="T93" s="78">
        <f>IF($H93="",0,IF(COUNTIF('RECIPE INDEX'!$B$6:$B$105,$H93)=0,1,0))</f>
      </c>
      <c r="U93" s="75"/>
    </row>
    <row r="94" ht="17" customHeight="1" spans="1:21" x14ac:dyDescent="0.25">
      <c r="A94" s="75"/>
      <c r="B94" s="79"/>
      <c r="C94" s="80"/>
      <c r="D94" s="79"/>
      <c r="E94" s="79"/>
      <c r="F94" s="79"/>
      <c r="G94" s="82"/>
      <c r="H94" s="79"/>
      <c r="I94" s="79"/>
      <c r="J94" s="79"/>
      <c r="K94" s="79"/>
      <c r="L94" s="86"/>
      <c r="M94" s="86"/>
      <c r="N94" s="79"/>
      <c r="O94" s="79"/>
      <c r="P94" s="78">
        <f>IF($B94="","",IF($N94="Yes","BOUGHT",IF($O94="Yes","IN THE PANTRY","TO BUY")))</f>
      </c>
      <c r="Q94" s="80"/>
      <c r="R94" s="78">
        <f>IF($B94="",0,IF(COUNTIF('GROCERY LIST'!$B$6:$B$205,$B94)&gt;1,1,0))</f>
      </c>
      <c r="S94" s="78">
        <f>IF(OR(N($L94)&gt;0,N($M94)&gt;0),IF($K94="",1,IF(COUNTIF('MASTER BUDGET'!$D$6:$D$25,$K94)=0,1,0)),0)</f>
      </c>
      <c r="T94" s="78">
        <f>IF($H94="",0,IF(COUNTIF('RECIPE INDEX'!$B$6:$B$105,$H94)=0,1,0))</f>
      </c>
      <c r="U94" s="75"/>
    </row>
    <row r="95" ht="17" customHeight="1" spans="1:21" x14ac:dyDescent="0.25">
      <c r="A95" s="75"/>
      <c r="B95" s="79"/>
      <c r="C95" s="80"/>
      <c r="D95" s="79"/>
      <c r="E95" s="79"/>
      <c r="F95" s="79"/>
      <c r="G95" s="82"/>
      <c r="H95" s="79"/>
      <c r="I95" s="79"/>
      <c r="J95" s="79"/>
      <c r="K95" s="79"/>
      <c r="L95" s="86"/>
      <c r="M95" s="86"/>
      <c r="N95" s="79"/>
      <c r="O95" s="79"/>
      <c r="P95" s="78">
        <f>IF($B95="","",IF($N95="Yes","BOUGHT",IF($O95="Yes","IN THE PANTRY","TO BUY")))</f>
      </c>
      <c r="Q95" s="80"/>
      <c r="R95" s="78">
        <f>IF($B95="",0,IF(COUNTIF('GROCERY LIST'!$B$6:$B$205,$B95)&gt;1,1,0))</f>
      </c>
      <c r="S95" s="78">
        <f>IF(OR(N($L95)&gt;0,N($M95)&gt;0),IF($K95="",1,IF(COUNTIF('MASTER BUDGET'!$D$6:$D$25,$K95)=0,1,0)),0)</f>
      </c>
      <c r="T95" s="78">
        <f>IF($H95="",0,IF(COUNTIF('RECIPE INDEX'!$B$6:$B$105,$H95)=0,1,0))</f>
      </c>
      <c r="U95" s="75"/>
    </row>
    <row r="96" ht="17" customHeight="1" spans="1:21" x14ac:dyDescent="0.25">
      <c r="A96" s="75"/>
      <c r="B96" s="79"/>
      <c r="C96" s="80"/>
      <c r="D96" s="79"/>
      <c r="E96" s="79"/>
      <c r="F96" s="79"/>
      <c r="G96" s="82"/>
      <c r="H96" s="79"/>
      <c r="I96" s="79"/>
      <c r="J96" s="79"/>
      <c r="K96" s="79"/>
      <c r="L96" s="86"/>
      <c r="M96" s="86"/>
      <c r="N96" s="79"/>
      <c r="O96" s="79"/>
      <c r="P96" s="78">
        <f>IF($B96="","",IF($N96="Yes","BOUGHT",IF($O96="Yes","IN THE PANTRY","TO BUY")))</f>
      </c>
      <c r="Q96" s="80"/>
      <c r="R96" s="78">
        <f>IF($B96="",0,IF(COUNTIF('GROCERY LIST'!$B$6:$B$205,$B96)&gt;1,1,0))</f>
      </c>
      <c r="S96" s="78">
        <f>IF(OR(N($L96)&gt;0,N($M96)&gt;0),IF($K96="",1,IF(COUNTIF('MASTER BUDGET'!$D$6:$D$25,$K96)=0,1,0)),0)</f>
      </c>
      <c r="T96" s="78">
        <f>IF($H96="",0,IF(COUNTIF('RECIPE INDEX'!$B$6:$B$105,$H96)=0,1,0))</f>
      </c>
      <c r="U96" s="75"/>
    </row>
    <row r="97" ht="17" customHeight="1" spans="1:21" x14ac:dyDescent="0.25">
      <c r="A97" s="75"/>
      <c r="B97" s="79"/>
      <c r="C97" s="80"/>
      <c r="D97" s="79"/>
      <c r="E97" s="79"/>
      <c r="F97" s="79"/>
      <c r="G97" s="82"/>
      <c r="H97" s="79"/>
      <c r="I97" s="79"/>
      <c r="J97" s="79"/>
      <c r="K97" s="79"/>
      <c r="L97" s="86"/>
      <c r="M97" s="86"/>
      <c r="N97" s="79"/>
      <c r="O97" s="79"/>
      <c r="P97" s="78">
        <f>IF($B97="","",IF($N97="Yes","BOUGHT",IF($O97="Yes","IN THE PANTRY","TO BUY")))</f>
      </c>
      <c r="Q97" s="80"/>
      <c r="R97" s="78">
        <f>IF($B97="",0,IF(COUNTIF('GROCERY LIST'!$B$6:$B$205,$B97)&gt;1,1,0))</f>
      </c>
      <c r="S97" s="78">
        <f>IF(OR(N($L97)&gt;0,N($M97)&gt;0),IF($K97="",1,IF(COUNTIF('MASTER BUDGET'!$D$6:$D$25,$K97)=0,1,0)),0)</f>
      </c>
      <c r="T97" s="78">
        <f>IF($H97="",0,IF(COUNTIF('RECIPE INDEX'!$B$6:$B$105,$H97)=0,1,0))</f>
      </c>
      <c r="U97" s="75"/>
    </row>
    <row r="98" ht="17" customHeight="1" spans="1:21" x14ac:dyDescent="0.25">
      <c r="A98" s="75"/>
      <c r="B98" s="79"/>
      <c r="C98" s="80"/>
      <c r="D98" s="79"/>
      <c r="E98" s="79"/>
      <c r="F98" s="79"/>
      <c r="G98" s="82"/>
      <c r="H98" s="79"/>
      <c r="I98" s="79"/>
      <c r="J98" s="79"/>
      <c r="K98" s="79"/>
      <c r="L98" s="86"/>
      <c r="M98" s="86"/>
      <c r="N98" s="79"/>
      <c r="O98" s="79"/>
      <c r="P98" s="78">
        <f>IF($B98="","",IF($N98="Yes","BOUGHT",IF($O98="Yes","IN THE PANTRY","TO BUY")))</f>
      </c>
      <c r="Q98" s="80"/>
      <c r="R98" s="78">
        <f>IF($B98="",0,IF(COUNTIF('GROCERY LIST'!$B$6:$B$205,$B98)&gt;1,1,0))</f>
      </c>
      <c r="S98" s="78">
        <f>IF(OR(N($L98)&gt;0,N($M98)&gt;0),IF($K98="",1,IF(COUNTIF('MASTER BUDGET'!$D$6:$D$25,$K98)=0,1,0)),0)</f>
      </c>
      <c r="T98" s="78">
        <f>IF($H98="",0,IF(COUNTIF('RECIPE INDEX'!$B$6:$B$105,$H98)=0,1,0))</f>
      </c>
      <c r="U98" s="75"/>
    </row>
    <row r="99" ht="17" customHeight="1" spans="1:21" x14ac:dyDescent="0.25">
      <c r="A99" s="75"/>
      <c r="B99" s="79"/>
      <c r="C99" s="80"/>
      <c r="D99" s="79"/>
      <c r="E99" s="79"/>
      <c r="F99" s="79"/>
      <c r="G99" s="82"/>
      <c r="H99" s="79"/>
      <c r="I99" s="79"/>
      <c r="J99" s="79"/>
      <c r="K99" s="79"/>
      <c r="L99" s="86"/>
      <c r="M99" s="86"/>
      <c r="N99" s="79"/>
      <c r="O99" s="79"/>
      <c r="P99" s="78">
        <f>IF($B99="","",IF($N99="Yes","BOUGHT",IF($O99="Yes","IN THE PANTRY","TO BUY")))</f>
      </c>
      <c r="Q99" s="80"/>
      <c r="R99" s="78">
        <f>IF($B99="",0,IF(COUNTIF('GROCERY LIST'!$B$6:$B$205,$B99)&gt;1,1,0))</f>
      </c>
      <c r="S99" s="78">
        <f>IF(OR(N($L99)&gt;0,N($M99)&gt;0),IF($K99="",1,IF(COUNTIF('MASTER BUDGET'!$D$6:$D$25,$K99)=0,1,0)),0)</f>
      </c>
      <c r="T99" s="78">
        <f>IF($H99="",0,IF(COUNTIF('RECIPE INDEX'!$B$6:$B$105,$H99)=0,1,0))</f>
      </c>
      <c r="U99" s="75"/>
    </row>
    <row r="100" ht="17" customHeight="1" spans="1:21" x14ac:dyDescent="0.25">
      <c r="A100" s="75"/>
      <c r="B100" s="79"/>
      <c r="C100" s="80"/>
      <c r="D100" s="79"/>
      <c r="E100" s="79"/>
      <c r="F100" s="79"/>
      <c r="G100" s="82"/>
      <c r="H100" s="79"/>
      <c r="I100" s="79"/>
      <c r="J100" s="79"/>
      <c r="K100" s="79"/>
      <c r="L100" s="86"/>
      <c r="M100" s="86"/>
      <c r="N100" s="79"/>
      <c r="O100" s="79"/>
      <c r="P100" s="78">
        <f>IF($B100="","",IF($N100="Yes","BOUGHT",IF($O100="Yes","IN THE PANTRY","TO BUY")))</f>
      </c>
      <c r="Q100" s="80"/>
      <c r="R100" s="78">
        <f>IF($B100="",0,IF(COUNTIF('GROCERY LIST'!$B$6:$B$205,$B100)&gt;1,1,0))</f>
      </c>
      <c r="S100" s="78">
        <f>IF(OR(N($L100)&gt;0,N($M100)&gt;0),IF($K100="",1,IF(COUNTIF('MASTER BUDGET'!$D$6:$D$25,$K100)=0,1,0)),0)</f>
      </c>
      <c r="T100" s="78">
        <f>IF($H100="",0,IF(COUNTIF('RECIPE INDEX'!$B$6:$B$105,$H100)=0,1,0))</f>
      </c>
      <c r="U100" s="75"/>
    </row>
    <row r="101" ht="17" customHeight="1" spans="1:21" x14ac:dyDescent="0.25">
      <c r="A101" s="75"/>
      <c r="B101" s="79"/>
      <c r="C101" s="80"/>
      <c r="D101" s="79"/>
      <c r="E101" s="79"/>
      <c r="F101" s="79"/>
      <c r="G101" s="82"/>
      <c r="H101" s="79"/>
      <c r="I101" s="79"/>
      <c r="J101" s="79"/>
      <c r="K101" s="79"/>
      <c r="L101" s="86"/>
      <c r="M101" s="86"/>
      <c r="N101" s="79"/>
      <c r="O101" s="79"/>
      <c r="P101" s="78">
        <f>IF($B101="","",IF($N101="Yes","BOUGHT",IF($O101="Yes","IN THE PANTRY","TO BUY")))</f>
      </c>
      <c r="Q101" s="80"/>
      <c r="R101" s="78">
        <f>IF($B101="",0,IF(COUNTIF('GROCERY LIST'!$B$6:$B$205,$B101)&gt;1,1,0))</f>
      </c>
      <c r="S101" s="78">
        <f>IF(OR(N($L101)&gt;0,N($M101)&gt;0),IF($K101="",1,IF(COUNTIF('MASTER BUDGET'!$D$6:$D$25,$K101)=0,1,0)),0)</f>
      </c>
      <c r="T101" s="78">
        <f>IF($H101="",0,IF(COUNTIF('RECIPE INDEX'!$B$6:$B$105,$H101)=0,1,0))</f>
      </c>
      <c r="U101" s="75"/>
    </row>
    <row r="102" ht="17" customHeight="1" spans="1:21" x14ac:dyDescent="0.25">
      <c r="A102" s="75"/>
      <c r="B102" s="79"/>
      <c r="C102" s="80"/>
      <c r="D102" s="79"/>
      <c r="E102" s="79"/>
      <c r="F102" s="79"/>
      <c r="G102" s="82"/>
      <c r="H102" s="79"/>
      <c r="I102" s="79"/>
      <c r="J102" s="79"/>
      <c r="K102" s="79"/>
      <c r="L102" s="86"/>
      <c r="M102" s="86"/>
      <c r="N102" s="79"/>
      <c r="O102" s="79"/>
      <c r="P102" s="78">
        <f>IF($B102="","",IF($N102="Yes","BOUGHT",IF($O102="Yes","IN THE PANTRY","TO BUY")))</f>
      </c>
      <c r="Q102" s="80"/>
      <c r="R102" s="78">
        <f>IF($B102="",0,IF(COUNTIF('GROCERY LIST'!$B$6:$B$205,$B102)&gt;1,1,0))</f>
      </c>
      <c r="S102" s="78">
        <f>IF(OR(N($L102)&gt;0,N($M102)&gt;0),IF($K102="",1,IF(COUNTIF('MASTER BUDGET'!$D$6:$D$25,$K102)=0,1,0)),0)</f>
      </c>
      <c r="T102" s="78">
        <f>IF($H102="",0,IF(COUNTIF('RECIPE INDEX'!$B$6:$B$105,$H102)=0,1,0))</f>
      </c>
      <c r="U102" s="75"/>
    </row>
    <row r="103" ht="17" customHeight="1" spans="1:21" x14ac:dyDescent="0.25">
      <c r="A103" s="75"/>
      <c r="B103" s="79"/>
      <c r="C103" s="80"/>
      <c r="D103" s="79"/>
      <c r="E103" s="79"/>
      <c r="F103" s="79"/>
      <c r="G103" s="82"/>
      <c r="H103" s="79"/>
      <c r="I103" s="79"/>
      <c r="J103" s="79"/>
      <c r="K103" s="79"/>
      <c r="L103" s="86"/>
      <c r="M103" s="86"/>
      <c r="N103" s="79"/>
      <c r="O103" s="79"/>
      <c r="P103" s="78">
        <f>IF($B103="","",IF($N103="Yes","BOUGHT",IF($O103="Yes","IN THE PANTRY","TO BUY")))</f>
      </c>
      <c r="Q103" s="80"/>
      <c r="R103" s="78">
        <f>IF($B103="",0,IF(COUNTIF('GROCERY LIST'!$B$6:$B$205,$B103)&gt;1,1,0))</f>
      </c>
      <c r="S103" s="78">
        <f>IF(OR(N($L103)&gt;0,N($M103)&gt;0),IF($K103="",1,IF(COUNTIF('MASTER BUDGET'!$D$6:$D$25,$K103)=0,1,0)),0)</f>
      </c>
      <c r="T103" s="78">
        <f>IF($H103="",0,IF(COUNTIF('RECIPE INDEX'!$B$6:$B$105,$H103)=0,1,0))</f>
      </c>
      <c r="U103" s="75"/>
    </row>
    <row r="104" ht="17" customHeight="1" spans="1:21" x14ac:dyDescent="0.25">
      <c r="A104" s="75"/>
      <c r="B104" s="79"/>
      <c r="C104" s="80"/>
      <c r="D104" s="79"/>
      <c r="E104" s="79"/>
      <c r="F104" s="79"/>
      <c r="G104" s="82"/>
      <c r="H104" s="79"/>
      <c r="I104" s="79"/>
      <c r="J104" s="79"/>
      <c r="K104" s="79"/>
      <c r="L104" s="86"/>
      <c r="M104" s="86"/>
      <c r="N104" s="79"/>
      <c r="O104" s="79"/>
      <c r="P104" s="78">
        <f>IF($B104="","",IF($N104="Yes","BOUGHT",IF($O104="Yes","IN THE PANTRY","TO BUY")))</f>
      </c>
      <c r="Q104" s="80"/>
      <c r="R104" s="78">
        <f>IF($B104="",0,IF(COUNTIF('GROCERY LIST'!$B$6:$B$205,$B104)&gt;1,1,0))</f>
      </c>
      <c r="S104" s="78">
        <f>IF(OR(N($L104)&gt;0,N($M104)&gt;0),IF($K104="",1,IF(COUNTIF('MASTER BUDGET'!$D$6:$D$25,$K104)=0,1,0)),0)</f>
      </c>
      <c r="T104" s="78">
        <f>IF($H104="",0,IF(COUNTIF('RECIPE INDEX'!$B$6:$B$105,$H104)=0,1,0))</f>
      </c>
      <c r="U104" s="75"/>
    </row>
    <row r="105" ht="17" customHeight="1" spans="1:21" x14ac:dyDescent="0.25">
      <c r="A105" s="75"/>
      <c r="B105" s="79"/>
      <c r="C105" s="80"/>
      <c r="D105" s="79"/>
      <c r="E105" s="79"/>
      <c r="F105" s="79"/>
      <c r="G105" s="82"/>
      <c r="H105" s="79"/>
      <c r="I105" s="79"/>
      <c r="J105" s="79"/>
      <c r="K105" s="79"/>
      <c r="L105" s="86"/>
      <c r="M105" s="86"/>
      <c r="N105" s="79"/>
      <c r="O105" s="79"/>
      <c r="P105" s="78">
        <f>IF($B105="","",IF($N105="Yes","BOUGHT",IF($O105="Yes","IN THE PANTRY","TO BUY")))</f>
      </c>
      <c r="Q105" s="80"/>
      <c r="R105" s="78">
        <f>IF($B105="",0,IF(COUNTIF('GROCERY LIST'!$B$6:$B$205,$B105)&gt;1,1,0))</f>
      </c>
      <c r="S105" s="78">
        <f>IF(OR(N($L105)&gt;0,N($M105)&gt;0),IF($K105="",1,IF(COUNTIF('MASTER BUDGET'!$D$6:$D$25,$K105)=0,1,0)),0)</f>
      </c>
      <c r="T105" s="78">
        <f>IF($H105="",0,IF(COUNTIF('RECIPE INDEX'!$B$6:$B$105,$H105)=0,1,0))</f>
      </c>
      <c r="U105" s="75"/>
    </row>
    <row r="106" ht="17" customHeight="1" spans="1:21" x14ac:dyDescent="0.25">
      <c r="A106" s="75"/>
      <c r="B106" s="79"/>
      <c r="C106" s="80"/>
      <c r="D106" s="79"/>
      <c r="E106" s="79"/>
      <c r="F106" s="79"/>
      <c r="G106" s="82"/>
      <c r="H106" s="79"/>
      <c r="I106" s="79"/>
      <c r="J106" s="79"/>
      <c r="K106" s="79"/>
      <c r="L106" s="86"/>
      <c r="M106" s="86"/>
      <c r="N106" s="79"/>
      <c r="O106" s="79"/>
      <c r="P106" s="78">
        <f>IF($B106="","",IF($N106="Yes","BOUGHT",IF($O106="Yes","IN THE PANTRY","TO BUY")))</f>
      </c>
      <c r="Q106" s="80"/>
      <c r="R106" s="78">
        <f>IF($B106="",0,IF(COUNTIF('GROCERY LIST'!$B$6:$B$205,$B106)&gt;1,1,0))</f>
      </c>
      <c r="S106" s="78">
        <f>IF(OR(N($L106)&gt;0,N($M106)&gt;0),IF($K106="",1,IF(COUNTIF('MASTER BUDGET'!$D$6:$D$25,$K106)=0,1,0)),0)</f>
      </c>
      <c r="T106" s="78">
        <f>IF($H106="",0,IF(COUNTIF('RECIPE INDEX'!$B$6:$B$105,$H106)=0,1,0))</f>
      </c>
      <c r="U106" s="75"/>
    </row>
    <row r="107" ht="17" customHeight="1" spans="1:21" x14ac:dyDescent="0.25">
      <c r="A107" s="75"/>
      <c r="B107" s="79"/>
      <c r="C107" s="80"/>
      <c r="D107" s="79"/>
      <c r="E107" s="79"/>
      <c r="F107" s="79"/>
      <c r="G107" s="82"/>
      <c r="H107" s="79"/>
      <c r="I107" s="79"/>
      <c r="J107" s="79"/>
      <c r="K107" s="79"/>
      <c r="L107" s="86"/>
      <c r="M107" s="86"/>
      <c r="N107" s="79"/>
      <c r="O107" s="79"/>
      <c r="P107" s="78">
        <f>IF($B107="","",IF($N107="Yes","BOUGHT",IF($O107="Yes","IN THE PANTRY","TO BUY")))</f>
      </c>
      <c r="Q107" s="80"/>
      <c r="R107" s="78">
        <f>IF($B107="",0,IF(COUNTIF('GROCERY LIST'!$B$6:$B$205,$B107)&gt;1,1,0))</f>
      </c>
      <c r="S107" s="78">
        <f>IF(OR(N($L107)&gt;0,N($M107)&gt;0),IF($K107="",1,IF(COUNTIF('MASTER BUDGET'!$D$6:$D$25,$K107)=0,1,0)),0)</f>
      </c>
      <c r="T107" s="78">
        <f>IF($H107="",0,IF(COUNTIF('RECIPE INDEX'!$B$6:$B$105,$H107)=0,1,0))</f>
      </c>
      <c r="U107" s="75"/>
    </row>
    <row r="108" ht="17" customHeight="1" spans="1:21" x14ac:dyDescent="0.25">
      <c r="A108" s="75"/>
      <c r="B108" s="79"/>
      <c r="C108" s="80"/>
      <c r="D108" s="79"/>
      <c r="E108" s="79"/>
      <c r="F108" s="79"/>
      <c r="G108" s="82"/>
      <c r="H108" s="79"/>
      <c r="I108" s="79"/>
      <c r="J108" s="79"/>
      <c r="K108" s="79"/>
      <c r="L108" s="86"/>
      <c r="M108" s="86"/>
      <c r="N108" s="79"/>
      <c r="O108" s="79"/>
      <c r="P108" s="78">
        <f>IF($B108="","",IF($N108="Yes","BOUGHT",IF($O108="Yes","IN THE PANTRY","TO BUY")))</f>
      </c>
      <c r="Q108" s="80"/>
      <c r="R108" s="78">
        <f>IF($B108="",0,IF(COUNTIF('GROCERY LIST'!$B$6:$B$205,$B108)&gt;1,1,0))</f>
      </c>
      <c r="S108" s="78">
        <f>IF(OR(N($L108)&gt;0,N($M108)&gt;0),IF($K108="",1,IF(COUNTIF('MASTER BUDGET'!$D$6:$D$25,$K108)=0,1,0)),0)</f>
      </c>
      <c r="T108" s="78">
        <f>IF($H108="",0,IF(COUNTIF('RECIPE INDEX'!$B$6:$B$105,$H108)=0,1,0))</f>
      </c>
      <c r="U108" s="75"/>
    </row>
    <row r="109" ht="17" customHeight="1" spans="1:21" x14ac:dyDescent="0.25">
      <c r="A109" s="75"/>
      <c r="B109" s="79"/>
      <c r="C109" s="80"/>
      <c r="D109" s="79"/>
      <c r="E109" s="79"/>
      <c r="F109" s="79"/>
      <c r="G109" s="82"/>
      <c r="H109" s="79"/>
      <c r="I109" s="79"/>
      <c r="J109" s="79"/>
      <c r="K109" s="79"/>
      <c r="L109" s="86"/>
      <c r="M109" s="86"/>
      <c r="N109" s="79"/>
      <c r="O109" s="79"/>
      <c r="P109" s="78">
        <f>IF($B109="","",IF($N109="Yes","BOUGHT",IF($O109="Yes","IN THE PANTRY","TO BUY")))</f>
      </c>
      <c r="Q109" s="80"/>
      <c r="R109" s="78">
        <f>IF($B109="",0,IF(COUNTIF('GROCERY LIST'!$B$6:$B$205,$B109)&gt;1,1,0))</f>
      </c>
      <c r="S109" s="78">
        <f>IF(OR(N($L109)&gt;0,N($M109)&gt;0),IF($K109="",1,IF(COUNTIF('MASTER BUDGET'!$D$6:$D$25,$K109)=0,1,0)),0)</f>
      </c>
      <c r="T109" s="78">
        <f>IF($H109="",0,IF(COUNTIF('RECIPE INDEX'!$B$6:$B$105,$H109)=0,1,0))</f>
      </c>
      <c r="U109" s="75"/>
    </row>
    <row r="110" ht="17" customHeight="1" spans="1:21" x14ac:dyDescent="0.25">
      <c r="A110" s="75"/>
      <c r="B110" s="79"/>
      <c r="C110" s="80"/>
      <c r="D110" s="79"/>
      <c r="E110" s="79"/>
      <c r="F110" s="79"/>
      <c r="G110" s="82"/>
      <c r="H110" s="79"/>
      <c r="I110" s="79"/>
      <c r="J110" s="79"/>
      <c r="K110" s="79"/>
      <c r="L110" s="86"/>
      <c r="M110" s="86"/>
      <c r="N110" s="79"/>
      <c r="O110" s="79"/>
      <c r="P110" s="78">
        <f>IF($B110="","",IF($N110="Yes","BOUGHT",IF($O110="Yes","IN THE PANTRY","TO BUY")))</f>
      </c>
      <c r="Q110" s="80"/>
      <c r="R110" s="78">
        <f>IF($B110="",0,IF(COUNTIF('GROCERY LIST'!$B$6:$B$205,$B110)&gt;1,1,0))</f>
      </c>
      <c r="S110" s="78">
        <f>IF(OR(N($L110)&gt;0,N($M110)&gt;0),IF($K110="",1,IF(COUNTIF('MASTER BUDGET'!$D$6:$D$25,$K110)=0,1,0)),0)</f>
      </c>
      <c r="T110" s="78">
        <f>IF($H110="",0,IF(COUNTIF('RECIPE INDEX'!$B$6:$B$105,$H110)=0,1,0))</f>
      </c>
      <c r="U110" s="75"/>
    </row>
    <row r="111" ht="17" customHeight="1" spans="1:21" x14ac:dyDescent="0.25">
      <c r="A111" s="75"/>
      <c r="B111" s="79"/>
      <c r="C111" s="80"/>
      <c r="D111" s="79"/>
      <c r="E111" s="79"/>
      <c r="F111" s="79"/>
      <c r="G111" s="82"/>
      <c r="H111" s="79"/>
      <c r="I111" s="79"/>
      <c r="J111" s="79"/>
      <c r="K111" s="79"/>
      <c r="L111" s="86"/>
      <c r="M111" s="86"/>
      <c r="N111" s="79"/>
      <c r="O111" s="79"/>
      <c r="P111" s="78">
        <f>IF($B111="","",IF($N111="Yes","BOUGHT",IF($O111="Yes","IN THE PANTRY","TO BUY")))</f>
      </c>
      <c r="Q111" s="80"/>
      <c r="R111" s="78">
        <f>IF($B111="",0,IF(COUNTIF('GROCERY LIST'!$B$6:$B$205,$B111)&gt;1,1,0))</f>
      </c>
      <c r="S111" s="78">
        <f>IF(OR(N($L111)&gt;0,N($M111)&gt;0),IF($K111="",1,IF(COUNTIF('MASTER BUDGET'!$D$6:$D$25,$K111)=0,1,0)),0)</f>
      </c>
      <c r="T111" s="78">
        <f>IF($H111="",0,IF(COUNTIF('RECIPE INDEX'!$B$6:$B$105,$H111)=0,1,0))</f>
      </c>
      <c r="U111" s="75"/>
    </row>
    <row r="112" ht="17" customHeight="1" spans="1:21" x14ac:dyDescent="0.25">
      <c r="A112" s="75"/>
      <c r="B112" s="79"/>
      <c r="C112" s="80"/>
      <c r="D112" s="79"/>
      <c r="E112" s="79"/>
      <c r="F112" s="79"/>
      <c r="G112" s="82"/>
      <c r="H112" s="79"/>
      <c r="I112" s="79"/>
      <c r="J112" s="79"/>
      <c r="K112" s="79"/>
      <c r="L112" s="86"/>
      <c r="M112" s="86"/>
      <c r="N112" s="79"/>
      <c r="O112" s="79"/>
      <c r="P112" s="78">
        <f>IF($B112="","",IF($N112="Yes","BOUGHT",IF($O112="Yes","IN THE PANTRY","TO BUY")))</f>
      </c>
      <c r="Q112" s="80"/>
      <c r="R112" s="78">
        <f>IF($B112="",0,IF(COUNTIF('GROCERY LIST'!$B$6:$B$205,$B112)&gt;1,1,0))</f>
      </c>
      <c r="S112" s="78">
        <f>IF(OR(N($L112)&gt;0,N($M112)&gt;0),IF($K112="",1,IF(COUNTIF('MASTER BUDGET'!$D$6:$D$25,$K112)=0,1,0)),0)</f>
      </c>
      <c r="T112" s="78">
        <f>IF($H112="",0,IF(COUNTIF('RECIPE INDEX'!$B$6:$B$105,$H112)=0,1,0))</f>
      </c>
      <c r="U112" s="75"/>
    </row>
    <row r="113" ht="17" customHeight="1" spans="1:21" x14ac:dyDescent="0.25">
      <c r="A113" s="75"/>
      <c r="B113" s="79"/>
      <c r="C113" s="80"/>
      <c r="D113" s="79"/>
      <c r="E113" s="79"/>
      <c r="F113" s="79"/>
      <c r="G113" s="82"/>
      <c r="H113" s="79"/>
      <c r="I113" s="79"/>
      <c r="J113" s="79"/>
      <c r="K113" s="79"/>
      <c r="L113" s="86"/>
      <c r="M113" s="86"/>
      <c r="N113" s="79"/>
      <c r="O113" s="79"/>
      <c r="P113" s="78">
        <f>IF($B113="","",IF($N113="Yes","BOUGHT",IF($O113="Yes","IN THE PANTRY","TO BUY")))</f>
      </c>
      <c r="Q113" s="80"/>
      <c r="R113" s="78">
        <f>IF($B113="",0,IF(COUNTIF('GROCERY LIST'!$B$6:$B$205,$B113)&gt;1,1,0))</f>
      </c>
      <c r="S113" s="78">
        <f>IF(OR(N($L113)&gt;0,N($M113)&gt;0),IF($K113="",1,IF(COUNTIF('MASTER BUDGET'!$D$6:$D$25,$K113)=0,1,0)),0)</f>
      </c>
      <c r="T113" s="78">
        <f>IF($H113="",0,IF(COUNTIF('RECIPE INDEX'!$B$6:$B$105,$H113)=0,1,0))</f>
      </c>
      <c r="U113" s="75"/>
    </row>
    <row r="114" ht="17" customHeight="1" spans="1:21" x14ac:dyDescent="0.25">
      <c r="A114" s="75"/>
      <c r="B114" s="79"/>
      <c r="C114" s="80"/>
      <c r="D114" s="79"/>
      <c r="E114" s="79"/>
      <c r="F114" s="79"/>
      <c r="G114" s="82"/>
      <c r="H114" s="79"/>
      <c r="I114" s="79"/>
      <c r="J114" s="79"/>
      <c r="K114" s="79"/>
      <c r="L114" s="86"/>
      <c r="M114" s="86"/>
      <c r="N114" s="79"/>
      <c r="O114" s="79"/>
      <c r="P114" s="78">
        <f>IF($B114="","",IF($N114="Yes","BOUGHT",IF($O114="Yes","IN THE PANTRY","TO BUY")))</f>
      </c>
      <c r="Q114" s="80"/>
      <c r="R114" s="78">
        <f>IF($B114="",0,IF(COUNTIF('GROCERY LIST'!$B$6:$B$205,$B114)&gt;1,1,0))</f>
      </c>
      <c r="S114" s="78">
        <f>IF(OR(N($L114)&gt;0,N($M114)&gt;0),IF($K114="",1,IF(COUNTIF('MASTER BUDGET'!$D$6:$D$25,$K114)=0,1,0)),0)</f>
      </c>
      <c r="T114" s="78">
        <f>IF($H114="",0,IF(COUNTIF('RECIPE INDEX'!$B$6:$B$105,$H114)=0,1,0))</f>
      </c>
      <c r="U114" s="75"/>
    </row>
    <row r="115" ht="17" customHeight="1" spans="1:21" x14ac:dyDescent="0.25">
      <c r="A115" s="75"/>
      <c r="B115" s="79"/>
      <c r="C115" s="80"/>
      <c r="D115" s="79"/>
      <c r="E115" s="79"/>
      <c r="F115" s="79"/>
      <c r="G115" s="82"/>
      <c r="H115" s="79"/>
      <c r="I115" s="79"/>
      <c r="J115" s="79"/>
      <c r="K115" s="79"/>
      <c r="L115" s="86"/>
      <c r="M115" s="86"/>
      <c r="N115" s="79"/>
      <c r="O115" s="79"/>
      <c r="P115" s="78">
        <f>IF($B115="","",IF($N115="Yes","BOUGHT",IF($O115="Yes","IN THE PANTRY","TO BUY")))</f>
      </c>
      <c r="Q115" s="80"/>
      <c r="R115" s="78">
        <f>IF($B115="",0,IF(COUNTIF('GROCERY LIST'!$B$6:$B$205,$B115)&gt;1,1,0))</f>
      </c>
      <c r="S115" s="78">
        <f>IF(OR(N($L115)&gt;0,N($M115)&gt;0),IF($K115="",1,IF(COUNTIF('MASTER BUDGET'!$D$6:$D$25,$K115)=0,1,0)),0)</f>
      </c>
      <c r="T115" s="78">
        <f>IF($H115="",0,IF(COUNTIF('RECIPE INDEX'!$B$6:$B$105,$H115)=0,1,0))</f>
      </c>
      <c r="U115" s="75"/>
    </row>
    <row r="116" ht="17" customHeight="1" spans="1:21" x14ac:dyDescent="0.25">
      <c r="A116" s="75"/>
      <c r="B116" s="79"/>
      <c r="C116" s="80"/>
      <c r="D116" s="79"/>
      <c r="E116" s="79"/>
      <c r="F116" s="79"/>
      <c r="G116" s="82"/>
      <c r="H116" s="79"/>
      <c r="I116" s="79"/>
      <c r="J116" s="79"/>
      <c r="K116" s="79"/>
      <c r="L116" s="86"/>
      <c r="M116" s="86"/>
      <c r="N116" s="79"/>
      <c r="O116" s="79"/>
      <c r="P116" s="78">
        <f>IF($B116="","",IF($N116="Yes","BOUGHT",IF($O116="Yes","IN THE PANTRY","TO BUY")))</f>
      </c>
      <c r="Q116" s="80"/>
      <c r="R116" s="78">
        <f>IF($B116="",0,IF(COUNTIF('GROCERY LIST'!$B$6:$B$205,$B116)&gt;1,1,0))</f>
      </c>
      <c r="S116" s="78">
        <f>IF(OR(N($L116)&gt;0,N($M116)&gt;0),IF($K116="",1,IF(COUNTIF('MASTER BUDGET'!$D$6:$D$25,$K116)=0,1,0)),0)</f>
      </c>
      <c r="T116" s="78">
        <f>IF($H116="",0,IF(COUNTIF('RECIPE INDEX'!$B$6:$B$105,$H116)=0,1,0))</f>
      </c>
      <c r="U116" s="75"/>
    </row>
    <row r="117" ht="17" customHeight="1" spans="1:21" x14ac:dyDescent="0.25">
      <c r="A117" s="75"/>
      <c r="B117" s="79"/>
      <c r="C117" s="80"/>
      <c r="D117" s="79"/>
      <c r="E117" s="79"/>
      <c r="F117" s="79"/>
      <c r="G117" s="82"/>
      <c r="H117" s="79"/>
      <c r="I117" s="79"/>
      <c r="J117" s="79"/>
      <c r="K117" s="79"/>
      <c r="L117" s="86"/>
      <c r="M117" s="86"/>
      <c r="N117" s="79"/>
      <c r="O117" s="79"/>
      <c r="P117" s="78">
        <f>IF($B117="","",IF($N117="Yes","BOUGHT",IF($O117="Yes","IN THE PANTRY","TO BUY")))</f>
      </c>
      <c r="Q117" s="80"/>
      <c r="R117" s="78">
        <f>IF($B117="",0,IF(COUNTIF('GROCERY LIST'!$B$6:$B$205,$B117)&gt;1,1,0))</f>
      </c>
      <c r="S117" s="78">
        <f>IF(OR(N($L117)&gt;0,N($M117)&gt;0),IF($K117="",1,IF(COUNTIF('MASTER BUDGET'!$D$6:$D$25,$K117)=0,1,0)),0)</f>
      </c>
      <c r="T117" s="78">
        <f>IF($H117="",0,IF(COUNTIF('RECIPE INDEX'!$B$6:$B$105,$H117)=0,1,0))</f>
      </c>
      <c r="U117" s="75"/>
    </row>
    <row r="118" ht="17" customHeight="1" spans="1:21" x14ac:dyDescent="0.25">
      <c r="A118" s="75"/>
      <c r="B118" s="79"/>
      <c r="C118" s="80"/>
      <c r="D118" s="79"/>
      <c r="E118" s="79"/>
      <c r="F118" s="79"/>
      <c r="G118" s="82"/>
      <c r="H118" s="79"/>
      <c r="I118" s="79"/>
      <c r="J118" s="79"/>
      <c r="K118" s="79"/>
      <c r="L118" s="86"/>
      <c r="M118" s="86"/>
      <c r="N118" s="79"/>
      <c r="O118" s="79"/>
      <c r="P118" s="78">
        <f>IF($B118="","",IF($N118="Yes","BOUGHT",IF($O118="Yes","IN THE PANTRY","TO BUY")))</f>
      </c>
      <c r="Q118" s="80"/>
      <c r="R118" s="78">
        <f>IF($B118="",0,IF(COUNTIF('GROCERY LIST'!$B$6:$B$205,$B118)&gt;1,1,0))</f>
      </c>
      <c r="S118" s="78">
        <f>IF(OR(N($L118)&gt;0,N($M118)&gt;0),IF($K118="",1,IF(COUNTIF('MASTER BUDGET'!$D$6:$D$25,$K118)=0,1,0)),0)</f>
      </c>
      <c r="T118" s="78">
        <f>IF($H118="",0,IF(COUNTIF('RECIPE INDEX'!$B$6:$B$105,$H118)=0,1,0))</f>
      </c>
      <c r="U118" s="75"/>
    </row>
    <row r="119" ht="17" customHeight="1" spans="1:21" x14ac:dyDescent="0.25">
      <c r="A119" s="75"/>
      <c r="B119" s="79"/>
      <c r="C119" s="80"/>
      <c r="D119" s="79"/>
      <c r="E119" s="79"/>
      <c r="F119" s="79"/>
      <c r="G119" s="82"/>
      <c r="H119" s="79"/>
      <c r="I119" s="79"/>
      <c r="J119" s="79"/>
      <c r="K119" s="79"/>
      <c r="L119" s="86"/>
      <c r="M119" s="86"/>
      <c r="N119" s="79"/>
      <c r="O119" s="79"/>
      <c r="P119" s="78">
        <f>IF($B119="","",IF($N119="Yes","BOUGHT",IF($O119="Yes","IN THE PANTRY","TO BUY")))</f>
      </c>
      <c r="Q119" s="80"/>
      <c r="R119" s="78">
        <f>IF($B119="",0,IF(COUNTIF('GROCERY LIST'!$B$6:$B$205,$B119)&gt;1,1,0))</f>
      </c>
      <c r="S119" s="78">
        <f>IF(OR(N($L119)&gt;0,N($M119)&gt;0),IF($K119="",1,IF(COUNTIF('MASTER BUDGET'!$D$6:$D$25,$K119)=0,1,0)),0)</f>
      </c>
      <c r="T119" s="78">
        <f>IF($H119="",0,IF(COUNTIF('RECIPE INDEX'!$B$6:$B$105,$H119)=0,1,0))</f>
      </c>
      <c r="U119" s="75"/>
    </row>
    <row r="120" ht="17" customHeight="1" spans="1:21" x14ac:dyDescent="0.25">
      <c r="A120" s="75"/>
      <c r="B120" s="79"/>
      <c r="C120" s="80"/>
      <c r="D120" s="79"/>
      <c r="E120" s="79"/>
      <c r="F120" s="79"/>
      <c r="G120" s="82"/>
      <c r="H120" s="79"/>
      <c r="I120" s="79"/>
      <c r="J120" s="79"/>
      <c r="K120" s="79"/>
      <c r="L120" s="86"/>
      <c r="M120" s="86"/>
      <c r="N120" s="79"/>
      <c r="O120" s="79"/>
      <c r="P120" s="78">
        <f>IF($B120="","",IF($N120="Yes","BOUGHT",IF($O120="Yes","IN THE PANTRY","TO BUY")))</f>
      </c>
      <c r="Q120" s="80"/>
      <c r="R120" s="78">
        <f>IF($B120="",0,IF(COUNTIF('GROCERY LIST'!$B$6:$B$205,$B120)&gt;1,1,0))</f>
      </c>
      <c r="S120" s="78">
        <f>IF(OR(N($L120)&gt;0,N($M120)&gt;0),IF($K120="",1,IF(COUNTIF('MASTER BUDGET'!$D$6:$D$25,$K120)=0,1,0)),0)</f>
      </c>
      <c r="T120" s="78">
        <f>IF($H120="",0,IF(COUNTIF('RECIPE INDEX'!$B$6:$B$105,$H120)=0,1,0))</f>
      </c>
      <c r="U120" s="75"/>
    </row>
    <row r="121" ht="17" customHeight="1" spans="1:21" x14ac:dyDescent="0.25">
      <c r="A121" s="75"/>
      <c r="B121" s="79"/>
      <c r="C121" s="80"/>
      <c r="D121" s="79"/>
      <c r="E121" s="79"/>
      <c r="F121" s="79"/>
      <c r="G121" s="82"/>
      <c r="H121" s="79"/>
      <c r="I121" s="79"/>
      <c r="J121" s="79"/>
      <c r="K121" s="79"/>
      <c r="L121" s="86"/>
      <c r="M121" s="86"/>
      <c r="N121" s="79"/>
      <c r="O121" s="79"/>
      <c r="P121" s="78">
        <f>IF($B121="","",IF($N121="Yes","BOUGHT",IF($O121="Yes","IN THE PANTRY","TO BUY")))</f>
      </c>
      <c r="Q121" s="80"/>
      <c r="R121" s="78">
        <f>IF($B121="",0,IF(COUNTIF('GROCERY LIST'!$B$6:$B$205,$B121)&gt;1,1,0))</f>
      </c>
      <c r="S121" s="78">
        <f>IF(OR(N($L121)&gt;0,N($M121)&gt;0),IF($K121="",1,IF(COUNTIF('MASTER BUDGET'!$D$6:$D$25,$K121)=0,1,0)),0)</f>
      </c>
      <c r="T121" s="78">
        <f>IF($H121="",0,IF(COUNTIF('RECIPE INDEX'!$B$6:$B$105,$H121)=0,1,0))</f>
      </c>
      <c r="U121" s="75"/>
    </row>
    <row r="122" ht="17" customHeight="1" spans="1:21" x14ac:dyDescent="0.25">
      <c r="A122" s="75"/>
      <c r="B122" s="79"/>
      <c r="C122" s="80"/>
      <c r="D122" s="79"/>
      <c r="E122" s="79"/>
      <c r="F122" s="79"/>
      <c r="G122" s="82"/>
      <c r="H122" s="79"/>
      <c r="I122" s="79"/>
      <c r="J122" s="79"/>
      <c r="K122" s="79"/>
      <c r="L122" s="86"/>
      <c r="M122" s="86"/>
      <c r="N122" s="79"/>
      <c r="O122" s="79"/>
      <c r="P122" s="78">
        <f>IF($B122="","",IF($N122="Yes","BOUGHT",IF($O122="Yes","IN THE PANTRY","TO BUY")))</f>
      </c>
      <c r="Q122" s="80"/>
      <c r="R122" s="78">
        <f>IF($B122="",0,IF(COUNTIF('GROCERY LIST'!$B$6:$B$205,$B122)&gt;1,1,0))</f>
      </c>
      <c r="S122" s="78">
        <f>IF(OR(N($L122)&gt;0,N($M122)&gt;0),IF($K122="",1,IF(COUNTIF('MASTER BUDGET'!$D$6:$D$25,$K122)=0,1,0)),0)</f>
      </c>
      <c r="T122" s="78">
        <f>IF($H122="",0,IF(COUNTIF('RECIPE INDEX'!$B$6:$B$105,$H122)=0,1,0))</f>
      </c>
      <c r="U122" s="75"/>
    </row>
    <row r="123" ht="17" customHeight="1" spans="1:21" x14ac:dyDescent="0.25">
      <c r="A123" s="75"/>
      <c r="B123" s="79"/>
      <c r="C123" s="80"/>
      <c r="D123" s="79"/>
      <c r="E123" s="79"/>
      <c r="F123" s="79"/>
      <c r="G123" s="82"/>
      <c r="H123" s="79"/>
      <c r="I123" s="79"/>
      <c r="J123" s="79"/>
      <c r="K123" s="79"/>
      <c r="L123" s="86"/>
      <c r="M123" s="86"/>
      <c r="N123" s="79"/>
      <c r="O123" s="79"/>
      <c r="P123" s="78">
        <f>IF($B123="","",IF($N123="Yes","BOUGHT",IF($O123="Yes","IN THE PANTRY","TO BUY")))</f>
      </c>
      <c r="Q123" s="80"/>
      <c r="R123" s="78">
        <f>IF($B123="",0,IF(COUNTIF('GROCERY LIST'!$B$6:$B$205,$B123)&gt;1,1,0))</f>
      </c>
      <c r="S123" s="78">
        <f>IF(OR(N($L123)&gt;0,N($M123)&gt;0),IF($K123="",1,IF(COUNTIF('MASTER BUDGET'!$D$6:$D$25,$K123)=0,1,0)),0)</f>
      </c>
      <c r="T123" s="78">
        <f>IF($H123="",0,IF(COUNTIF('RECIPE INDEX'!$B$6:$B$105,$H123)=0,1,0))</f>
      </c>
      <c r="U123" s="75"/>
    </row>
    <row r="124" ht="17" customHeight="1" spans="1:21" x14ac:dyDescent="0.25">
      <c r="A124" s="75"/>
      <c r="B124" s="79"/>
      <c r="C124" s="80"/>
      <c r="D124" s="79"/>
      <c r="E124" s="79"/>
      <c r="F124" s="79"/>
      <c r="G124" s="82"/>
      <c r="H124" s="79"/>
      <c r="I124" s="79"/>
      <c r="J124" s="79"/>
      <c r="K124" s="79"/>
      <c r="L124" s="86"/>
      <c r="M124" s="86"/>
      <c r="N124" s="79"/>
      <c r="O124" s="79"/>
      <c r="P124" s="78">
        <f>IF($B124="","",IF($N124="Yes","BOUGHT",IF($O124="Yes","IN THE PANTRY","TO BUY")))</f>
      </c>
      <c r="Q124" s="80"/>
      <c r="R124" s="78">
        <f>IF($B124="",0,IF(COUNTIF('GROCERY LIST'!$B$6:$B$205,$B124)&gt;1,1,0))</f>
      </c>
      <c r="S124" s="78">
        <f>IF(OR(N($L124)&gt;0,N($M124)&gt;0),IF($K124="",1,IF(COUNTIF('MASTER BUDGET'!$D$6:$D$25,$K124)=0,1,0)),0)</f>
      </c>
      <c r="T124" s="78">
        <f>IF($H124="",0,IF(COUNTIF('RECIPE INDEX'!$B$6:$B$105,$H124)=0,1,0))</f>
      </c>
      <c r="U124" s="75"/>
    </row>
    <row r="125" ht="17" customHeight="1" spans="1:21" x14ac:dyDescent="0.25">
      <c r="A125" s="75"/>
      <c r="B125" s="79"/>
      <c r="C125" s="80"/>
      <c r="D125" s="79"/>
      <c r="E125" s="79"/>
      <c r="F125" s="79"/>
      <c r="G125" s="82"/>
      <c r="H125" s="79"/>
      <c r="I125" s="79"/>
      <c r="J125" s="79"/>
      <c r="K125" s="79"/>
      <c r="L125" s="86"/>
      <c r="M125" s="86"/>
      <c r="N125" s="79"/>
      <c r="O125" s="79"/>
      <c r="P125" s="78">
        <f>IF($B125="","",IF($N125="Yes","BOUGHT",IF($O125="Yes","IN THE PANTRY","TO BUY")))</f>
      </c>
      <c r="Q125" s="80"/>
      <c r="R125" s="78">
        <f>IF($B125="",0,IF(COUNTIF('GROCERY LIST'!$B$6:$B$205,$B125)&gt;1,1,0))</f>
      </c>
      <c r="S125" s="78">
        <f>IF(OR(N($L125)&gt;0,N($M125)&gt;0),IF($K125="",1,IF(COUNTIF('MASTER BUDGET'!$D$6:$D$25,$K125)=0,1,0)),0)</f>
      </c>
      <c r="T125" s="78">
        <f>IF($H125="",0,IF(COUNTIF('RECIPE INDEX'!$B$6:$B$105,$H125)=0,1,0))</f>
      </c>
      <c r="U125" s="75"/>
    </row>
    <row r="126" ht="17" customHeight="1" spans="1:21" x14ac:dyDescent="0.25">
      <c r="A126" s="75"/>
      <c r="B126" s="79"/>
      <c r="C126" s="80"/>
      <c r="D126" s="79"/>
      <c r="E126" s="79"/>
      <c r="F126" s="79"/>
      <c r="G126" s="82"/>
      <c r="H126" s="79"/>
      <c r="I126" s="79"/>
      <c r="J126" s="79"/>
      <c r="K126" s="79"/>
      <c r="L126" s="86"/>
      <c r="M126" s="86"/>
      <c r="N126" s="79"/>
      <c r="O126" s="79"/>
      <c r="P126" s="78">
        <f>IF($B126="","",IF($N126="Yes","BOUGHT",IF($O126="Yes","IN THE PANTRY","TO BUY")))</f>
      </c>
      <c r="Q126" s="80"/>
      <c r="R126" s="78">
        <f>IF($B126="",0,IF(COUNTIF('GROCERY LIST'!$B$6:$B$205,$B126)&gt;1,1,0))</f>
      </c>
      <c r="S126" s="78">
        <f>IF(OR(N($L126)&gt;0,N($M126)&gt;0),IF($K126="",1,IF(COUNTIF('MASTER BUDGET'!$D$6:$D$25,$K126)=0,1,0)),0)</f>
      </c>
      <c r="T126" s="78">
        <f>IF($H126="",0,IF(COUNTIF('RECIPE INDEX'!$B$6:$B$105,$H126)=0,1,0))</f>
      </c>
      <c r="U126" s="75"/>
    </row>
    <row r="127" ht="17" customHeight="1" spans="1:21" x14ac:dyDescent="0.25">
      <c r="A127" s="75"/>
      <c r="B127" s="79"/>
      <c r="C127" s="80"/>
      <c r="D127" s="79"/>
      <c r="E127" s="79"/>
      <c r="F127" s="79"/>
      <c r="G127" s="82"/>
      <c r="H127" s="79"/>
      <c r="I127" s="79"/>
      <c r="J127" s="79"/>
      <c r="K127" s="79"/>
      <c r="L127" s="86"/>
      <c r="M127" s="86"/>
      <c r="N127" s="79"/>
      <c r="O127" s="79"/>
      <c r="P127" s="78">
        <f>IF($B127="","",IF($N127="Yes","BOUGHT",IF($O127="Yes","IN THE PANTRY","TO BUY")))</f>
      </c>
      <c r="Q127" s="80"/>
      <c r="R127" s="78">
        <f>IF($B127="",0,IF(COUNTIF('GROCERY LIST'!$B$6:$B$205,$B127)&gt;1,1,0))</f>
      </c>
      <c r="S127" s="78">
        <f>IF(OR(N($L127)&gt;0,N($M127)&gt;0),IF($K127="",1,IF(COUNTIF('MASTER BUDGET'!$D$6:$D$25,$K127)=0,1,0)),0)</f>
      </c>
      <c r="T127" s="78">
        <f>IF($H127="",0,IF(COUNTIF('RECIPE INDEX'!$B$6:$B$105,$H127)=0,1,0))</f>
      </c>
      <c r="U127" s="75"/>
    </row>
    <row r="128" ht="17" customHeight="1" spans="1:21" x14ac:dyDescent="0.25">
      <c r="A128" s="75"/>
      <c r="B128" s="79"/>
      <c r="C128" s="80"/>
      <c r="D128" s="79"/>
      <c r="E128" s="79"/>
      <c r="F128" s="79"/>
      <c r="G128" s="82"/>
      <c r="H128" s="79"/>
      <c r="I128" s="79"/>
      <c r="J128" s="79"/>
      <c r="K128" s="79"/>
      <c r="L128" s="86"/>
      <c r="M128" s="86"/>
      <c r="N128" s="79"/>
      <c r="O128" s="79"/>
      <c r="P128" s="78">
        <f>IF($B128="","",IF($N128="Yes","BOUGHT",IF($O128="Yes","IN THE PANTRY","TO BUY")))</f>
      </c>
      <c r="Q128" s="80"/>
      <c r="R128" s="78">
        <f>IF($B128="",0,IF(COUNTIF('GROCERY LIST'!$B$6:$B$205,$B128)&gt;1,1,0))</f>
      </c>
      <c r="S128" s="78">
        <f>IF(OR(N($L128)&gt;0,N($M128)&gt;0),IF($K128="",1,IF(COUNTIF('MASTER BUDGET'!$D$6:$D$25,$K128)=0,1,0)),0)</f>
      </c>
      <c r="T128" s="78">
        <f>IF($H128="",0,IF(COUNTIF('RECIPE INDEX'!$B$6:$B$105,$H128)=0,1,0))</f>
      </c>
      <c r="U128" s="75"/>
    </row>
    <row r="129" ht="17" customHeight="1" spans="1:21" x14ac:dyDescent="0.25">
      <c r="A129" s="75"/>
      <c r="B129" s="79"/>
      <c r="C129" s="80"/>
      <c r="D129" s="79"/>
      <c r="E129" s="79"/>
      <c r="F129" s="79"/>
      <c r="G129" s="82"/>
      <c r="H129" s="79"/>
      <c r="I129" s="79"/>
      <c r="J129" s="79"/>
      <c r="K129" s="79"/>
      <c r="L129" s="86"/>
      <c r="M129" s="86"/>
      <c r="N129" s="79"/>
      <c r="O129" s="79"/>
      <c r="P129" s="78">
        <f>IF($B129="","",IF($N129="Yes","BOUGHT",IF($O129="Yes","IN THE PANTRY","TO BUY")))</f>
      </c>
      <c r="Q129" s="80"/>
      <c r="R129" s="78">
        <f>IF($B129="",0,IF(COUNTIF('GROCERY LIST'!$B$6:$B$205,$B129)&gt;1,1,0))</f>
      </c>
      <c r="S129" s="78">
        <f>IF(OR(N($L129)&gt;0,N($M129)&gt;0),IF($K129="",1,IF(COUNTIF('MASTER BUDGET'!$D$6:$D$25,$K129)=0,1,0)),0)</f>
      </c>
      <c r="T129" s="78">
        <f>IF($H129="",0,IF(COUNTIF('RECIPE INDEX'!$B$6:$B$105,$H129)=0,1,0))</f>
      </c>
      <c r="U129" s="75"/>
    </row>
    <row r="130" ht="17" customHeight="1" spans="1:21" x14ac:dyDescent="0.25">
      <c r="A130" s="75"/>
      <c r="B130" s="79"/>
      <c r="C130" s="80"/>
      <c r="D130" s="79"/>
      <c r="E130" s="79"/>
      <c r="F130" s="79"/>
      <c r="G130" s="82"/>
      <c r="H130" s="79"/>
      <c r="I130" s="79"/>
      <c r="J130" s="79"/>
      <c r="K130" s="79"/>
      <c r="L130" s="86"/>
      <c r="M130" s="86"/>
      <c r="N130" s="79"/>
      <c r="O130" s="79"/>
      <c r="P130" s="78">
        <f>IF($B130="","",IF($N130="Yes","BOUGHT",IF($O130="Yes","IN THE PANTRY","TO BUY")))</f>
      </c>
      <c r="Q130" s="80"/>
      <c r="R130" s="78">
        <f>IF($B130="",0,IF(COUNTIF('GROCERY LIST'!$B$6:$B$205,$B130)&gt;1,1,0))</f>
      </c>
      <c r="S130" s="78">
        <f>IF(OR(N($L130)&gt;0,N($M130)&gt;0),IF($K130="",1,IF(COUNTIF('MASTER BUDGET'!$D$6:$D$25,$K130)=0,1,0)),0)</f>
      </c>
      <c r="T130" s="78">
        <f>IF($H130="",0,IF(COUNTIF('RECIPE INDEX'!$B$6:$B$105,$H130)=0,1,0))</f>
      </c>
      <c r="U130" s="75"/>
    </row>
    <row r="131" ht="17" customHeight="1" spans="1:21" x14ac:dyDescent="0.25">
      <c r="A131" s="75"/>
      <c r="B131" s="79"/>
      <c r="C131" s="80"/>
      <c r="D131" s="79"/>
      <c r="E131" s="79"/>
      <c r="F131" s="79"/>
      <c r="G131" s="82"/>
      <c r="H131" s="79"/>
      <c r="I131" s="79"/>
      <c r="J131" s="79"/>
      <c r="K131" s="79"/>
      <c r="L131" s="86"/>
      <c r="M131" s="86"/>
      <c r="N131" s="79"/>
      <c r="O131" s="79"/>
      <c r="P131" s="78">
        <f>IF($B131="","",IF($N131="Yes","BOUGHT",IF($O131="Yes","IN THE PANTRY","TO BUY")))</f>
      </c>
      <c r="Q131" s="80"/>
      <c r="R131" s="78">
        <f>IF($B131="",0,IF(COUNTIF('GROCERY LIST'!$B$6:$B$205,$B131)&gt;1,1,0))</f>
      </c>
      <c r="S131" s="78">
        <f>IF(OR(N($L131)&gt;0,N($M131)&gt;0),IF($K131="",1,IF(COUNTIF('MASTER BUDGET'!$D$6:$D$25,$K131)=0,1,0)),0)</f>
      </c>
      <c r="T131" s="78">
        <f>IF($H131="",0,IF(COUNTIF('RECIPE INDEX'!$B$6:$B$105,$H131)=0,1,0))</f>
      </c>
      <c r="U131" s="75"/>
    </row>
    <row r="132" ht="17" customHeight="1" spans="1:21" x14ac:dyDescent="0.25">
      <c r="A132" s="75"/>
      <c r="B132" s="79"/>
      <c r="C132" s="80"/>
      <c r="D132" s="79"/>
      <c r="E132" s="79"/>
      <c r="F132" s="79"/>
      <c r="G132" s="82"/>
      <c r="H132" s="79"/>
      <c r="I132" s="79"/>
      <c r="J132" s="79"/>
      <c r="K132" s="79"/>
      <c r="L132" s="86"/>
      <c r="M132" s="86"/>
      <c r="N132" s="79"/>
      <c r="O132" s="79"/>
      <c r="P132" s="78">
        <f>IF($B132="","",IF($N132="Yes","BOUGHT",IF($O132="Yes","IN THE PANTRY","TO BUY")))</f>
      </c>
      <c r="Q132" s="80"/>
      <c r="R132" s="78">
        <f>IF($B132="",0,IF(COUNTIF('GROCERY LIST'!$B$6:$B$205,$B132)&gt;1,1,0))</f>
      </c>
      <c r="S132" s="78">
        <f>IF(OR(N($L132)&gt;0,N($M132)&gt;0),IF($K132="",1,IF(COUNTIF('MASTER BUDGET'!$D$6:$D$25,$K132)=0,1,0)),0)</f>
      </c>
      <c r="T132" s="78">
        <f>IF($H132="",0,IF(COUNTIF('RECIPE INDEX'!$B$6:$B$105,$H132)=0,1,0))</f>
      </c>
      <c r="U132" s="75"/>
    </row>
    <row r="133" ht="17" customHeight="1" spans="1:21" x14ac:dyDescent="0.25">
      <c r="A133" s="75"/>
      <c r="B133" s="79"/>
      <c r="C133" s="80"/>
      <c r="D133" s="79"/>
      <c r="E133" s="79"/>
      <c r="F133" s="79"/>
      <c r="G133" s="82"/>
      <c r="H133" s="79"/>
      <c r="I133" s="79"/>
      <c r="J133" s="79"/>
      <c r="K133" s="79"/>
      <c r="L133" s="86"/>
      <c r="M133" s="86"/>
      <c r="N133" s="79"/>
      <c r="O133" s="79"/>
      <c r="P133" s="78">
        <f>IF($B133="","",IF($N133="Yes","BOUGHT",IF($O133="Yes","IN THE PANTRY","TO BUY")))</f>
      </c>
      <c r="Q133" s="80"/>
      <c r="R133" s="78">
        <f>IF($B133="",0,IF(COUNTIF('GROCERY LIST'!$B$6:$B$205,$B133)&gt;1,1,0))</f>
      </c>
      <c r="S133" s="78">
        <f>IF(OR(N($L133)&gt;0,N($M133)&gt;0),IF($K133="",1,IF(COUNTIF('MASTER BUDGET'!$D$6:$D$25,$K133)=0,1,0)),0)</f>
      </c>
      <c r="T133" s="78">
        <f>IF($H133="",0,IF(COUNTIF('RECIPE INDEX'!$B$6:$B$105,$H133)=0,1,0))</f>
      </c>
      <c r="U133" s="75"/>
    </row>
    <row r="134" ht="17" customHeight="1" spans="1:21" x14ac:dyDescent="0.25">
      <c r="A134" s="75"/>
      <c r="B134" s="79"/>
      <c r="C134" s="80"/>
      <c r="D134" s="79"/>
      <c r="E134" s="79"/>
      <c r="F134" s="79"/>
      <c r="G134" s="82"/>
      <c r="H134" s="79"/>
      <c r="I134" s="79"/>
      <c r="J134" s="79"/>
      <c r="K134" s="79"/>
      <c r="L134" s="86"/>
      <c r="M134" s="86"/>
      <c r="N134" s="79"/>
      <c r="O134" s="79"/>
      <c r="P134" s="78">
        <f>IF($B134="","",IF($N134="Yes","BOUGHT",IF($O134="Yes","IN THE PANTRY","TO BUY")))</f>
      </c>
      <c r="Q134" s="80"/>
      <c r="R134" s="78">
        <f>IF($B134="",0,IF(COUNTIF('GROCERY LIST'!$B$6:$B$205,$B134)&gt;1,1,0))</f>
      </c>
      <c r="S134" s="78">
        <f>IF(OR(N($L134)&gt;0,N($M134)&gt;0),IF($K134="",1,IF(COUNTIF('MASTER BUDGET'!$D$6:$D$25,$K134)=0,1,0)),0)</f>
      </c>
      <c r="T134" s="78">
        <f>IF($H134="",0,IF(COUNTIF('RECIPE INDEX'!$B$6:$B$105,$H134)=0,1,0))</f>
      </c>
      <c r="U134" s="75"/>
    </row>
    <row r="135" ht="17" customHeight="1" spans="1:21" x14ac:dyDescent="0.25">
      <c r="A135" s="75"/>
      <c r="B135" s="79"/>
      <c r="C135" s="80"/>
      <c r="D135" s="79"/>
      <c r="E135" s="79"/>
      <c r="F135" s="79"/>
      <c r="G135" s="82"/>
      <c r="H135" s="79"/>
      <c r="I135" s="79"/>
      <c r="J135" s="79"/>
      <c r="K135" s="79"/>
      <c r="L135" s="86"/>
      <c r="M135" s="86"/>
      <c r="N135" s="79"/>
      <c r="O135" s="79"/>
      <c r="P135" s="78">
        <f>IF($B135="","",IF($N135="Yes","BOUGHT",IF($O135="Yes","IN THE PANTRY","TO BUY")))</f>
      </c>
      <c r="Q135" s="80"/>
      <c r="R135" s="78">
        <f>IF($B135="",0,IF(COUNTIF('GROCERY LIST'!$B$6:$B$205,$B135)&gt;1,1,0))</f>
      </c>
      <c r="S135" s="78">
        <f>IF(OR(N($L135)&gt;0,N($M135)&gt;0),IF($K135="",1,IF(COUNTIF('MASTER BUDGET'!$D$6:$D$25,$K135)=0,1,0)),0)</f>
      </c>
      <c r="T135" s="78">
        <f>IF($H135="",0,IF(COUNTIF('RECIPE INDEX'!$B$6:$B$105,$H135)=0,1,0))</f>
      </c>
      <c r="U135" s="75"/>
    </row>
    <row r="136" ht="17" customHeight="1" spans="1:21" x14ac:dyDescent="0.25">
      <c r="A136" s="75"/>
      <c r="B136" s="79"/>
      <c r="C136" s="80"/>
      <c r="D136" s="79"/>
      <c r="E136" s="79"/>
      <c r="F136" s="79"/>
      <c r="G136" s="82"/>
      <c r="H136" s="79"/>
      <c r="I136" s="79"/>
      <c r="J136" s="79"/>
      <c r="K136" s="79"/>
      <c r="L136" s="86"/>
      <c r="M136" s="86"/>
      <c r="N136" s="79"/>
      <c r="O136" s="79"/>
      <c r="P136" s="78">
        <f>IF($B136="","",IF($N136="Yes","BOUGHT",IF($O136="Yes","IN THE PANTRY","TO BUY")))</f>
      </c>
      <c r="Q136" s="80"/>
      <c r="R136" s="78">
        <f>IF($B136="",0,IF(COUNTIF('GROCERY LIST'!$B$6:$B$205,$B136)&gt;1,1,0))</f>
      </c>
      <c r="S136" s="78">
        <f>IF(OR(N($L136)&gt;0,N($M136)&gt;0),IF($K136="",1,IF(COUNTIF('MASTER BUDGET'!$D$6:$D$25,$K136)=0,1,0)),0)</f>
      </c>
      <c r="T136" s="78">
        <f>IF($H136="",0,IF(COUNTIF('RECIPE INDEX'!$B$6:$B$105,$H136)=0,1,0))</f>
      </c>
      <c r="U136" s="75"/>
    </row>
    <row r="137" ht="17" customHeight="1" spans="1:21" x14ac:dyDescent="0.25">
      <c r="A137" s="75"/>
      <c r="B137" s="79"/>
      <c r="C137" s="80"/>
      <c r="D137" s="79"/>
      <c r="E137" s="79"/>
      <c r="F137" s="79"/>
      <c r="G137" s="82"/>
      <c r="H137" s="79"/>
      <c r="I137" s="79"/>
      <c r="J137" s="79"/>
      <c r="K137" s="79"/>
      <c r="L137" s="86"/>
      <c r="M137" s="86"/>
      <c r="N137" s="79"/>
      <c r="O137" s="79"/>
      <c r="P137" s="78">
        <f>IF($B137="","",IF($N137="Yes","BOUGHT",IF($O137="Yes","IN THE PANTRY","TO BUY")))</f>
      </c>
      <c r="Q137" s="80"/>
      <c r="R137" s="78">
        <f>IF($B137="",0,IF(COUNTIF('GROCERY LIST'!$B$6:$B$205,$B137)&gt;1,1,0))</f>
      </c>
      <c r="S137" s="78">
        <f>IF(OR(N($L137)&gt;0,N($M137)&gt;0),IF($K137="",1,IF(COUNTIF('MASTER BUDGET'!$D$6:$D$25,$K137)=0,1,0)),0)</f>
      </c>
      <c r="T137" s="78">
        <f>IF($H137="",0,IF(COUNTIF('RECIPE INDEX'!$B$6:$B$105,$H137)=0,1,0))</f>
      </c>
      <c r="U137" s="75"/>
    </row>
    <row r="138" ht="17" customHeight="1" spans="1:21" x14ac:dyDescent="0.25">
      <c r="A138" s="75"/>
      <c r="B138" s="79"/>
      <c r="C138" s="80"/>
      <c r="D138" s="79"/>
      <c r="E138" s="79"/>
      <c r="F138" s="79"/>
      <c r="G138" s="82"/>
      <c r="H138" s="79"/>
      <c r="I138" s="79"/>
      <c r="J138" s="79"/>
      <c r="K138" s="79"/>
      <c r="L138" s="86"/>
      <c r="M138" s="86"/>
      <c r="N138" s="79"/>
      <c r="O138" s="79"/>
      <c r="P138" s="78">
        <f>IF($B138="","",IF($N138="Yes","BOUGHT",IF($O138="Yes","IN THE PANTRY","TO BUY")))</f>
      </c>
      <c r="Q138" s="80"/>
      <c r="R138" s="78">
        <f>IF($B138="",0,IF(COUNTIF('GROCERY LIST'!$B$6:$B$205,$B138)&gt;1,1,0))</f>
      </c>
      <c r="S138" s="78">
        <f>IF(OR(N($L138)&gt;0,N($M138)&gt;0),IF($K138="",1,IF(COUNTIF('MASTER BUDGET'!$D$6:$D$25,$K138)=0,1,0)),0)</f>
      </c>
      <c r="T138" s="78">
        <f>IF($H138="",0,IF(COUNTIF('RECIPE INDEX'!$B$6:$B$105,$H138)=0,1,0))</f>
      </c>
      <c r="U138" s="75"/>
    </row>
    <row r="139" ht="17" customHeight="1" spans="1:21" x14ac:dyDescent="0.25">
      <c r="A139" s="75"/>
      <c r="B139" s="79"/>
      <c r="C139" s="80"/>
      <c r="D139" s="79"/>
      <c r="E139" s="79"/>
      <c r="F139" s="79"/>
      <c r="G139" s="82"/>
      <c r="H139" s="79"/>
      <c r="I139" s="79"/>
      <c r="J139" s="79"/>
      <c r="K139" s="79"/>
      <c r="L139" s="86"/>
      <c r="M139" s="86"/>
      <c r="N139" s="79"/>
      <c r="O139" s="79"/>
      <c r="P139" s="78">
        <f>IF($B139="","",IF($N139="Yes","BOUGHT",IF($O139="Yes","IN THE PANTRY","TO BUY")))</f>
      </c>
      <c r="Q139" s="80"/>
      <c r="R139" s="78">
        <f>IF($B139="",0,IF(COUNTIF('GROCERY LIST'!$B$6:$B$205,$B139)&gt;1,1,0))</f>
      </c>
      <c r="S139" s="78">
        <f>IF(OR(N($L139)&gt;0,N($M139)&gt;0),IF($K139="",1,IF(COUNTIF('MASTER BUDGET'!$D$6:$D$25,$K139)=0,1,0)),0)</f>
      </c>
      <c r="T139" s="78">
        <f>IF($H139="",0,IF(COUNTIF('RECIPE INDEX'!$B$6:$B$105,$H139)=0,1,0))</f>
      </c>
      <c r="U139" s="75"/>
    </row>
    <row r="140" ht="17" customHeight="1" spans="1:21" x14ac:dyDescent="0.25">
      <c r="A140" s="75"/>
      <c r="B140" s="79"/>
      <c r="C140" s="80"/>
      <c r="D140" s="79"/>
      <c r="E140" s="79"/>
      <c r="F140" s="79"/>
      <c r="G140" s="82"/>
      <c r="H140" s="79"/>
      <c r="I140" s="79"/>
      <c r="J140" s="79"/>
      <c r="K140" s="79"/>
      <c r="L140" s="86"/>
      <c r="M140" s="86"/>
      <c r="N140" s="79"/>
      <c r="O140" s="79"/>
      <c r="P140" s="78">
        <f>IF($B140="","",IF($N140="Yes","BOUGHT",IF($O140="Yes","IN THE PANTRY","TO BUY")))</f>
      </c>
      <c r="Q140" s="80"/>
      <c r="R140" s="78">
        <f>IF($B140="",0,IF(COUNTIF('GROCERY LIST'!$B$6:$B$205,$B140)&gt;1,1,0))</f>
      </c>
      <c r="S140" s="78">
        <f>IF(OR(N($L140)&gt;0,N($M140)&gt;0),IF($K140="",1,IF(COUNTIF('MASTER BUDGET'!$D$6:$D$25,$K140)=0,1,0)),0)</f>
      </c>
      <c r="T140" s="78">
        <f>IF($H140="",0,IF(COUNTIF('RECIPE INDEX'!$B$6:$B$105,$H140)=0,1,0))</f>
      </c>
      <c r="U140" s="75"/>
    </row>
    <row r="141" ht="17" customHeight="1" spans="1:21" x14ac:dyDescent="0.25">
      <c r="A141" s="75"/>
      <c r="B141" s="79"/>
      <c r="C141" s="80"/>
      <c r="D141" s="79"/>
      <c r="E141" s="79"/>
      <c r="F141" s="79"/>
      <c r="G141" s="82"/>
      <c r="H141" s="79"/>
      <c r="I141" s="79"/>
      <c r="J141" s="79"/>
      <c r="K141" s="79"/>
      <c r="L141" s="86"/>
      <c r="M141" s="86"/>
      <c r="N141" s="79"/>
      <c r="O141" s="79"/>
      <c r="P141" s="78">
        <f>IF($B141="","",IF($N141="Yes","BOUGHT",IF($O141="Yes","IN THE PANTRY","TO BUY")))</f>
      </c>
      <c r="Q141" s="80"/>
      <c r="R141" s="78">
        <f>IF($B141="",0,IF(COUNTIF('GROCERY LIST'!$B$6:$B$205,$B141)&gt;1,1,0))</f>
      </c>
      <c r="S141" s="78">
        <f>IF(OR(N($L141)&gt;0,N($M141)&gt;0),IF($K141="",1,IF(COUNTIF('MASTER BUDGET'!$D$6:$D$25,$K141)=0,1,0)),0)</f>
      </c>
      <c r="T141" s="78">
        <f>IF($H141="",0,IF(COUNTIF('RECIPE INDEX'!$B$6:$B$105,$H141)=0,1,0))</f>
      </c>
      <c r="U141" s="75"/>
    </row>
    <row r="142" ht="17" customHeight="1" spans="1:21" x14ac:dyDescent="0.25">
      <c r="A142" s="75"/>
      <c r="B142" s="79"/>
      <c r="C142" s="80"/>
      <c r="D142" s="79"/>
      <c r="E142" s="79"/>
      <c r="F142" s="79"/>
      <c r="G142" s="82"/>
      <c r="H142" s="79"/>
      <c r="I142" s="79"/>
      <c r="J142" s="79"/>
      <c r="K142" s="79"/>
      <c r="L142" s="86"/>
      <c r="M142" s="86"/>
      <c r="N142" s="79"/>
      <c r="O142" s="79"/>
      <c r="P142" s="78">
        <f>IF($B142="","",IF($N142="Yes","BOUGHT",IF($O142="Yes","IN THE PANTRY","TO BUY")))</f>
      </c>
      <c r="Q142" s="80"/>
      <c r="R142" s="78">
        <f>IF($B142="",0,IF(COUNTIF('GROCERY LIST'!$B$6:$B$205,$B142)&gt;1,1,0))</f>
      </c>
      <c r="S142" s="78">
        <f>IF(OR(N($L142)&gt;0,N($M142)&gt;0),IF($K142="",1,IF(COUNTIF('MASTER BUDGET'!$D$6:$D$25,$K142)=0,1,0)),0)</f>
      </c>
      <c r="T142" s="78">
        <f>IF($H142="",0,IF(COUNTIF('RECIPE INDEX'!$B$6:$B$105,$H142)=0,1,0))</f>
      </c>
      <c r="U142" s="75"/>
    </row>
    <row r="143" ht="17" customHeight="1" spans="1:21" x14ac:dyDescent="0.25">
      <c r="A143" s="75"/>
      <c r="B143" s="79"/>
      <c r="C143" s="80"/>
      <c r="D143" s="79"/>
      <c r="E143" s="79"/>
      <c r="F143" s="79"/>
      <c r="G143" s="82"/>
      <c r="H143" s="79"/>
      <c r="I143" s="79"/>
      <c r="J143" s="79"/>
      <c r="K143" s="79"/>
      <c r="L143" s="86"/>
      <c r="M143" s="86"/>
      <c r="N143" s="79"/>
      <c r="O143" s="79"/>
      <c r="P143" s="78">
        <f>IF($B143="","",IF($N143="Yes","BOUGHT",IF($O143="Yes","IN THE PANTRY","TO BUY")))</f>
      </c>
      <c r="Q143" s="80"/>
      <c r="R143" s="78">
        <f>IF($B143="",0,IF(COUNTIF('GROCERY LIST'!$B$6:$B$205,$B143)&gt;1,1,0))</f>
      </c>
      <c r="S143" s="78">
        <f>IF(OR(N($L143)&gt;0,N($M143)&gt;0),IF($K143="",1,IF(COUNTIF('MASTER BUDGET'!$D$6:$D$25,$K143)=0,1,0)),0)</f>
      </c>
      <c r="T143" s="78">
        <f>IF($H143="",0,IF(COUNTIF('RECIPE INDEX'!$B$6:$B$105,$H143)=0,1,0))</f>
      </c>
      <c r="U143" s="75"/>
    </row>
    <row r="144" ht="17" customHeight="1" spans="1:21" x14ac:dyDescent="0.25">
      <c r="A144" s="75"/>
      <c r="B144" s="79"/>
      <c r="C144" s="80"/>
      <c r="D144" s="79"/>
      <c r="E144" s="79"/>
      <c r="F144" s="79"/>
      <c r="G144" s="82"/>
      <c r="H144" s="79"/>
      <c r="I144" s="79"/>
      <c r="J144" s="79"/>
      <c r="K144" s="79"/>
      <c r="L144" s="86"/>
      <c r="M144" s="86"/>
      <c r="N144" s="79"/>
      <c r="O144" s="79"/>
      <c r="P144" s="78">
        <f>IF($B144="","",IF($N144="Yes","BOUGHT",IF($O144="Yes","IN THE PANTRY","TO BUY")))</f>
      </c>
      <c r="Q144" s="80"/>
      <c r="R144" s="78">
        <f>IF($B144="",0,IF(COUNTIF('GROCERY LIST'!$B$6:$B$205,$B144)&gt;1,1,0))</f>
      </c>
      <c r="S144" s="78">
        <f>IF(OR(N($L144)&gt;0,N($M144)&gt;0),IF($K144="",1,IF(COUNTIF('MASTER BUDGET'!$D$6:$D$25,$K144)=0,1,0)),0)</f>
      </c>
      <c r="T144" s="78">
        <f>IF($H144="",0,IF(COUNTIF('RECIPE INDEX'!$B$6:$B$105,$H144)=0,1,0))</f>
      </c>
      <c r="U144" s="75"/>
    </row>
    <row r="145" ht="17" customHeight="1" spans="1:21" x14ac:dyDescent="0.25">
      <c r="A145" s="75"/>
      <c r="B145" s="79"/>
      <c r="C145" s="80"/>
      <c r="D145" s="79"/>
      <c r="E145" s="79"/>
      <c r="F145" s="79"/>
      <c r="G145" s="82"/>
      <c r="H145" s="79"/>
      <c r="I145" s="79"/>
      <c r="J145" s="79"/>
      <c r="K145" s="79"/>
      <c r="L145" s="86"/>
      <c r="M145" s="86"/>
      <c r="N145" s="79"/>
      <c r="O145" s="79"/>
      <c r="P145" s="78">
        <f>IF($B145="","",IF($N145="Yes","BOUGHT",IF($O145="Yes","IN THE PANTRY","TO BUY")))</f>
      </c>
      <c r="Q145" s="80"/>
      <c r="R145" s="78">
        <f>IF($B145="",0,IF(COUNTIF('GROCERY LIST'!$B$6:$B$205,$B145)&gt;1,1,0))</f>
      </c>
      <c r="S145" s="78">
        <f>IF(OR(N($L145)&gt;0,N($M145)&gt;0),IF($K145="",1,IF(COUNTIF('MASTER BUDGET'!$D$6:$D$25,$K145)=0,1,0)),0)</f>
      </c>
      <c r="T145" s="78">
        <f>IF($H145="",0,IF(COUNTIF('RECIPE INDEX'!$B$6:$B$105,$H145)=0,1,0))</f>
      </c>
      <c r="U145" s="75"/>
    </row>
    <row r="146" ht="17" customHeight="1" spans="1:21" x14ac:dyDescent="0.25">
      <c r="A146" s="75"/>
      <c r="B146" s="79"/>
      <c r="C146" s="80"/>
      <c r="D146" s="79"/>
      <c r="E146" s="79"/>
      <c r="F146" s="79"/>
      <c r="G146" s="82"/>
      <c r="H146" s="79"/>
      <c r="I146" s="79"/>
      <c r="J146" s="79"/>
      <c r="K146" s="79"/>
      <c r="L146" s="86"/>
      <c r="M146" s="86"/>
      <c r="N146" s="79"/>
      <c r="O146" s="79"/>
      <c r="P146" s="78">
        <f>IF($B146="","",IF($N146="Yes","BOUGHT",IF($O146="Yes","IN THE PANTRY","TO BUY")))</f>
      </c>
      <c r="Q146" s="80"/>
      <c r="R146" s="78">
        <f>IF($B146="",0,IF(COUNTIF('GROCERY LIST'!$B$6:$B$205,$B146)&gt;1,1,0))</f>
      </c>
      <c r="S146" s="78">
        <f>IF(OR(N($L146)&gt;0,N($M146)&gt;0),IF($K146="",1,IF(COUNTIF('MASTER BUDGET'!$D$6:$D$25,$K146)=0,1,0)),0)</f>
      </c>
      <c r="T146" s="78">
        <f>IF($H146="",0,IF(COUNTIF('RECIPE INDEX'!$B$6:$B$105,$H146)=0,1,0))</f>
      </c>
      <c r="U146" s="75"/>
    </row>
    <row r="147" ht="17" customHeight="1" spans="1:21" x14ac:dyDescent="0.25">
      <c r="A147" s="75"/>
      <c r="B147" s="79"/>
      <c r="C147" s="80"/>
      <c r="D147" s="79"/>
      <c r="E147" s="79"/>
      <c r="F147" s="79"/>
      <c r="G147" s="82"/>
      <c r="H147" s="79"/>
      <c r="I147" s="79"/>
      <c r="J147" s="79"/>
      <c r="K147" s="79"/>
      <c r="L147" s="86"/>
      <c r="M147" s="86"/>
      <c r="N147" s="79"/>
      <c r="O147" s="79"/>
      <c r="P147" s="78">
        <f>IF($B147="","",IF($N147="Yes","BOUGHT",IF($O147="Yes","IN THE PANTRY","TO BUY")))</f>
      </c>
      <c r="Q147" s="80"/>
      <c r="R147" s="78">
        <f>IF($B147="",0,IF(COUNTIF('GROCERY LIST'!$B$6:$B$205,$B147)&gt;1,1,0))</f>
      </c>
      <c r="S147" s="78">
        <f>IF(OR(N($L147)&gt;0,N($M147)&gt;0),IF($K147="",1,IF(COUNTIF('MASTER BUDGET'!$D$6:$D$25,$K147)=0,1,0)),0)</f>
      </c>
      <c r="T147" s="78">
        <f>IF($H147="",0,IF(COUNTIF('RECIPE INDEX'!$B$6:$B$105,$H147)=0,1,0))</f>
      </c>
      <c r="U147" s="75"/>
    </row>
    <row r="148" ht="17" customHeight="1" spans="1:21" x14ac:dyDescent="0.25">
      <c r="A148" s="75"/>
      <c r="B148" s="79"/>
      <c r="C148" s="80"/>
      <c r="D148" s="79"/>
      <c r="E148" s="79"/>
      <c r="F148" s="79"/>
      <c r="G148" s="82"/>
      <c r="H148" s="79"/>
      <c r="I148" s="79"/>
      <c r="J148" s="79"/>
      <c r="K148" s="79"/>
      <c r="L148" s="86"/>
      <c r="M148" s="86"/>
      <c r="N148" s="79"/>
      <c r="O148" s="79"/>
      <c r="P148" s="78">
        <f>IF($B148="","",IF($N148="Yes","BOUGHT",IF($O148="Yes","IN THE PANTRY","TO BUY")))</f>
      </c>
      <c r="Q148" s="80"/>
      <c r="R148" s="78">
        <f>IF($B148="",0,IF(COUNTIF('GROCERY LIST'!$B$6:$B$205,$B148)&gt;1,1,0))</f>
      </c>
      <c r="S148" s="78">
        <f>IF(OR(N($L148)&gt;0,N($M148)&gt;0),IF($K148="",1,IF(COUNTIF('MASTER BUDGET'!$D$6:$D$25,$K148)=0,1,0)),0)</f>
      </c>
      <c r="T148" s="78">
        <f>IF($H148="",0,IF(COUNTIF('RECIPE INDEX'!$B$6:$B$105,$H148)=0,1,0))</f>
      </c>
      <c r="U148" s="75"/>
    </row>
    <row r="149" ht="17" customHeight="1" spans="1:21" x14ac:dyDescent="0.25">
      <c r="A149" s="75"/>
      <c r="B149" s="79"/>
      <c r="C149" s="80"/>
      <c r="D149" s="79"/>
      <c r="E149" s="79"/>
      <c r="F149" s="79"/>
      <c r="G149" s="82"/>
      <c r="H149" s="79"/>
      <c r="I149" s="79"/>
      <c r="J149" s="79"/>
      <c r="K149" s="79"/>
      <c r="L149" s="86"/>
      <c r="M149" s="86"/>
      <c r="N149" s="79"/>
      <c r="O149" s="79"/>
      <c r="P149" s="78">
        <f>IF($B149="","",IF($N149="Yes","BOUGHT",IF($O149="Yes","IN THE PANTRY","TO BUY")))</f>
      </c>
      <c r="Q149" s="80"/>
      <c r="R149" s="78">
        <f>IF($B149="",0,IF(COUNTIF('GROCERY LIST'!$B$6:$B$205,$B149)&gt;1,1,0))</f>
      </c>
      <c r="S149" s="78">
        <f>IF(OR(N($L149)&gt;0,N($M149)&gt;0),IF($K149="",1,IF(COUNTIF('MASTER BUDGET'!$D$6:$D$25,$K149)=0,1,0)),0)</f>
      </c>
      <c r="T149" s="78">
        <f>IF($H149="",0,IF(COUNTIF('RECIPE INDEX'!$B$6:$B$105,$H149)=0,1,0))</f>
      </c>
      <c r="U149" s="75"/>
    </row>
    <row r="150" ht="17" customHeight="1" spans="1:21" x14ac:dyDescent="0.25">
      <c r="A150" s="75"/>
      <c r="B150" s="79"/>
      <c r="C150" s="80"/>
      <c r="D150" s="79"/>
      <c r="E150" s="79"/>
      <c r="F150" s="79"/>
      <c r="G150" s="82"/>
      <c r="H150" s="79"/>
      <c r="I150" s="79"/>
      <c r="J150" s="79"/>
      <c r="K150" s="79"/>
      <c r="L150" s="86"/>
      <c r="M150" s="86"/>
      <c r="N150" s="79"/>
      <c r="O150" s="79"/>
      <c r="P150" s="78">
        <f>IF($B150="","",IF($N150="Yes","BOUGHT",IF($O150="Yes","IN THE PANTRY","TO BUY")))</f>
      </c>
      <c r="Q150" s="80"/>
      <c r="R150" s="78">
        <f>IF($B150="",0,IF(COUNTIF('GROCERY LIST'!$B$6:$B$205,$B150)&gt;1,1,0))</f>
      </c>
      <c r="S150" s="78">
        <f>IF(OR(N($L150)&gt;0,N($M150)&gt;0),IF($K150="",1,IF(COUNTIF('MASTER BUDGET'!$D$6:$D$25,$K150)=0,1,0)),0)</f>
      </c>
      <c r="T150" s="78">
        <f>IF($H150="",0,IF(COUNTIF('RECIPE INDEX'!$B$6:$B$105,$H150)=0,1,0))</f>
      </c>
      <c r="U150" s="75"/>
    </row>
    <row r="151" ht="17" customHeight="1" spans="1:21" x14ac:dyDescent="0.25">
      <c r="A151" s="75"/>
      <c r="B151" s="79"/>
      <c r="C151" s="80"/>
      <c r="D151" s="79"/>
      <c r="E151" s="79"/>
      <c r="F151" s="79"/>
      <c r="G151" s="82"/>
      <c r="H151" s="79"/>
      <c r="I151" s="79"/>
      <c r="J151" s="79"/>
      <c r="K151" s="79"/>
      <c r="L151" s="86"/>
      <c r="M151" s="86"/>
      <c r="N151" s="79"/>
      <c r="O151" s="79"/>
      <c r="P151" s="78">
        <f>IF($B151="","",IF($N151="Yes","BOUGHT",IF($O151="Yes","IN THE PANTRY","TO BUY")))</f>
      </c>
      <c r="Q151" s="80"/>
      <c r="R151" s="78">
        <f>IF($B151="",0,IF(COUNTIF('GROCERY LIST'!$B$6:$B$205,$B151)&gt;1,1,0))</f>
      </c>
      <c r="S151" s="78">
        <f>IF(OR(N($L151)&gt;0,N($M151)&gt;0),IF($K151="",1,IF(COUNTIF('MASTER BUDGET'!$D$6:$D$25,$K151)=0,1,0)),0)</f>
      </c>
      <c r="T151" s="78">
        <f>IF($H151="",0,IF(COUNTIF('RECIPE INDEX'!$B$6:$B$105,$H151)=0,1,0))</f>
      </c>
      <c r="U151" s="75"/>
    </row>
    <row r="152" ht="17" customHeight="1" spans="1:21" x14ac:dyDescent="0.25">
      <c r="A152" s="75"/>
      <c r="B152" s="79"/>
      <c r="C152" s="80"/>
      <c r="D152" s="79"/>
      <c r="E152" s="79"/>
      <c r="F152" s="79"/>
      <c r="G152" s="82"/>
      <c r="H152" s="79"/>
      <c r="I152" s="79"/>
      <c r="J152" s="79"/>
      <c r="K152" s="79"/>
      <c r="L152" s="86"/>
      <c r="M152" s="86"/>
      <c r="N152" s="79"/>
      <c r="O152" s="79"/>
      <c r="P152" s="78">
        <f>IF($B152="","",IF($N152="Yes","BOUGHT",IF($O152="Yes","IN THE PANTRY","TO BUY")))</f>
      </c>
      <c r="Q152" s="80"/>
      <c r="R152" s="78">
        <f>IF($B152="",0,IF(COUNTIF('GROCERY LIST'!$B$6:$B$205,$B152)&gt;1,1,0))</f>
      </c>
      <c r="S152" s="78">
        <f>IF(OR(N($L152)&gt;0,N($M152)&gt;0),IF($K152="",1,IF(COUNTIF('MASTER BUDGET'!$D$6:$D$25,$K152)=0,1,0)),0)</f>
      </c>
      <c r="T152" s="78">
        <f>IF($H152="",0,IF(COUNTIF('RECIPE INDEX'!$B$6:$B$105,$H152)=0,1,0))</f>
      </c>
      <c r="U152" s="75"/>
    </row>
    <row r="153" ht="17" customHeight="1" spans="1:21" x14ac:dyDescent="0.25">
      <c r="A153" s="75"/>
      <c r="B153" s="79"/>
      <c r="C153" s="80"/>
      <c r="D153" s="79"/>
      <c r="E153" s="79"/>
      <c r="F153" s="79"/>
      <c r="G153" s="82"/>
      <c r="H153" s="79"/>
      <c r="I153" s="79"/>
      <c r="J153" s="79"/>
      <c r="K153" s="79"/>
      <c r="L153" s="86"/>
      <c r="M153" s="86"/>
      <c r="N153" s="79"/>
      <c r="O153" s="79"/>
      <c r="P153" s="78">
        <f>IF($B153="","",IF($N153="Yes","BOUGHT",IF($O153="Yes","IN THE PANTRY","TO BUY")))</f>
      </c>
      <c r="Q153" s="80"/>
      <c r="R153" s="78">
        <f>IF($B153="",0,IF(COUNTIF('GROCERY LIST'!$B$6:$B$205,$B153)&gt;1,1,0))</f>
      </c>
      <c r="S153" s="78">
        <f>IF(OR(N($L153)&gt;0,N($M153)&gt;0),IF($K153="",1,IF(COUNTIF('MASTER BUDGET'!$D$6:$D$25,$K153)=0,1,0)),0)</f>
      </c>
      <c r="T153" s="78">
        <f>IF($H153="",0,IF(COUNTIF('RECIPE INDEX'!$B$6:$B$105,$H153)=0,1,0))</f>
      </c>
      <c r="U153" s="75"/>
    </row>
    <row r="154" ht="17" customHeight="1" spans="1:21" x14ac:dyDescent="0.25">
      <c r="A154" s="75"/>
      <c r="B154" s="79"/>
      <c r="C154" s="80"/>
      <c r="D154" s="79"/>
      <c r="E154" s="79"/>
      <c r="F154" s="79"/>
      <c r="G154" s="82"/>
      <c r="H154" s="79"/>
      <c r="I154" s="79"/>
      <c r="J154" s="79"/>
      <c r="K154" s="79"/>
      <c r="L154" s="86"/>
      <c r="M154" s="86"/>
      <c r="N154" s="79"/>
      <c r="O154" s="79"/>
      <c r="P154" s="78">
        <f>IF($B154="","",IF($N154="Yes","BOUGHT",IF($O154="Yes","IN THE PANTRY","TO BUY")))</f>
      </c>
      <c r="Q154" s="80"/>
      <c r="R154" s="78">
        <f>IF($B154="",0,IF(COUNTIF('GROCERY LIST'!$B$6:$B$205,$B154)&gt;1,1,0))</f>
      </c>
      <c r="S154" s="78">
        <f>IF(OR(N($L154)&gt;0,N($M154)&gt;0),IF($K154="",1,IF(COUNTIF('MASTER BUDGET'!$D$6:$D$25,$K154)=0,1,0)),0)</f>
      </c>
      <c r="T154" s="78">
        <f>IF($H154="",0,IF(COUNTIF('RECIPE INDEX'!$B$6:$B$105,$H154)=0,1,0))</f>
      </c>
      <c r="U154" s="75"/>
    </row>
    <row r="155" ht="17" customHeight="1" spans="1:21" x14ac:dyDescent="0.25">
      <c r="A155" s="75"/>
      <c r="B155" s="79"/>
      <c r="C155" s="80"/>
      <c r="D155" s="79"/>
      <c r="E155" s="79"/>
      <c r="F155" s="79"/>
      <c r="G155" s="82"/>
      <c r="H155" s="79"/>
      <c r="I155" s="79"/>
      <c r="J155" s="79"/>
      <c r="K155" s="79"/>
      <c r="L155" s="86"/>
      <c r="M155" s="86"/>
      <c r="N155" s="79"/>
      <c r="O155" s="79"/>
      <c r="P155" s="78">
        <f>IF($B155="","",IF($N155="Yes","BOUGHT",IF($O155="Yes","IN THE PANTRY","TO BUY")))</f>
      </c>
      <c r="Q155" s="80"/>
      <c r="R155" s="78">
        <f>IF($B155="",0,IF(COUNTIF('GROCERY LIST'!$B$6:$B$205,$B155)&gt;1,1,0))</f>
      </c>
      <c r="S155" s="78">
        <f>IF(OR(N($L155)&gt;0,N($M155)&gt;0),IF($K155="",1,IF(COUNTIF('MASTER BUDGET'!$D$6:$D$25,$K155)=0,1,0)),0)</f>
      </c>
      <c r="T155" s="78">
        <f>IF($H155="",0,IF(COUNTIF('RECIPE INDEX'!$B$6:$B$105,$H155)=0,1,0))</f>
      </c>
      <c r="U155" s="75"/>
    </row>
    <row r="156" ht="17" customHeight="1" spans="1:21" x14ac:dyDescent="0.25">
      <c r="A156" s="75"/>
      <c r="B156" s="79"/>
      <c r="C156" s="80"/>
      <c r="D156" s="79"/>
      <c r="E156" s="79"/>
      <c r="F156" s="79"/>
      <c r="G156" s="82"/>
      <c r="H156" s="79"/>
      <c r="I156" s="79"/>
      <c r="J156" s="79"/>
      <c r="K156" s="79"/>
      <c r="L156" s="86"/>
      <c r="M156" s="86"/>
      <c r="N156" s="79"/>
      <c r="O156" s="79"/>
      <c r="P156" s="78">
        <f>IF($B156="","",IF($N156="Yes","BOUGHT",IF($O156="Yes","IN THE PANTRY","TO BUY")))</f>
      </c>
      <c r="Q156" s="80"/>
      <c r="R156" s="78">
        <f>IF($B156="",0,IF(COUNTIF('GROCERY LIST'!$B$6:$B$205,$B156)&gt;1,1,0))</f>
      </c>
      <c r="S156" s="78">
        <f>IF(OR(N($L156)&gt;0,N($M156)&gt;0),IF($K156="",1,IF(COUNTIF('MASTER BUDGET'!$D$6:$D$25,$K156)=0,1,0)),0)</f>
      </c>
      <c r="T156" s="78">
        <f>IF($H156="",0,IF(COUNTIF('RECIPE INDEX'!$B$6:$B$105,$H156)=0,1,0))</f>
      </c>
      <c r="U156" s="75"/>
    </row>
    <row r="157" ht="17" customHeight="1" spans="1:21" x14ac:dyDescent="0.25">
      <c r="A157" s="75"/>
      <c r="B157" s="79"/>
      <c r="C157" s="80"/>
      <c r="D157" s="79"/>
      <c r="E157" s="79"/>
      <c r="F157" s="79"/>
      <c r="G157" s="82"/>
      <c r="H157" s="79"/>
      <c r="I157" s="79"/>
      <c r="J157" s="79"/>
      <c r="K157" s="79"/>
      <c r="L157" s="86"/>
      <c r="M157" s="86"/>
      <c r="N157" s="79"/>
      <c r="O157" s="79"/>
      <c r="P157" s="78">
        <f>IF($B157="","",IF($N157="Yes","BOUGHT",IF($O157="Yes","IN THE PANTRY","TO BUY")))</f>
      </c>
      <c r="Q157" s="80"/>
      <c r="R157" s="78">
        <f>IF($B157="",0,IF(COUNTIF('GROCERY LIST'!$B$6:$B$205,$B157)&gt;1,1,0))</f>
      </c>
      <c r="S157" s="78">
        <f>IF(OR(N($L157)&gt;0,N($M157)&gt;0),IF($K157="",1,IF(COUNTIF('MASTER BUDGET'!$D$6:$D$25,$K157)=0,1,0)),0)</f>
      </c>
      <c r="T157" s="78">
        <f>IF($H157="",0,IF(COUNTIF('RECIPE INDEX'!$B$6:$B$105,$H157)=0,1,0))</f>
      </c>
      <c r="U157" s="75"/>
    </row>
    <row r="158" ht="17" customHeight="1" spans="1:21" x14ac:dyDescent="0.25">
      <c r="A158" s="75"/>
      <c r="B158" s="79"/>
      <c r="C158" s="80"/>
      <c r="D158" s="79"/>
      <c r="E158" s="79"/>
      <c r="F158" s="79"/>
      <c r="G158" s="82"/>
      <c r="H158" s="79"/>
      <c r="I158" s="79"/>
      <c r="J158" s="79"/>
      <c r="K158" s="79"/>
      <c r="L158" s="86"/>
      <c r="M158" s="86"/>
      <c r="N158" s="79"/>
      <c r="O158" s="79"/>
      <c r="P158" s="78">
        <f>IF($B158="","",IF($N158="Yes","BOUGHT",IF($O158="Yes","IN THE PANTRY","TO BUY")))</f>
      </c>
      <c r="Q158" s="80"/>
      <c r="R158" s="78">
        <f>IF($B158="",0,IF(COUNTIF('GROCERY LIST'!$B$6:$B$205,$B158)&gt;1,1,0))</f>
      </c>
      <c r="S158" s="78">
        <f>IF(OR(N($L158)&gt;0,N($M158)&gt;0),IF($K158="",1,IF(COUNTIF('MASTER BUDGET'!$D$6:$D$25,$K158)=0,1,0)),0)</f>
      </c>
      <c r="T158" s="78">
        <f>IF($H158="",0,IF(COUNTIF('RECIPE INDEX'!$B$6:$B$105,$H158)=0,1,0))</f>
      </c>
      <c r="U158" s="75"/>
    </row>
    <row r="159" ht="17" customHeight="1" spans="1:21" x14ac:dyDescent="0.25">
      <c r="A159" s="75"/>
      <c r="B159" s="79"/>
      <c r="C159" s="80"/>
      <c r="D159" s="79"/>
      <c r="E159" s="79"/>
      <c r="F159" s="79"/>
      <c r="G159" s="82"/>
      <c r="H159" s="79"/>
      <c r="I159" s="79"/>
      <c r="J159" s="79"/>
      <c r="K159" s="79"/>
      <c r="L159" s="86"/>
      <c r="M159" s="86"/>
      <c r="N159" s="79"/>
      <c r="O159" s="79"/>
      <c r="P159" s="78">
        <f>IF($B159="","",IF($N159="Yes","BOUGHT",IF($O159="Yes","IN THE PANTRY","TO BUY")))</f>
      </c>
      <c r="Q159" s="80"/>
      <c r="R159" s="78">
        <f>IF($B159="",0,IF(COUNTIF('GROCERY LIST'!$B$6:$B$205,$B159)&gt;1,1,0))</f>
      </c>
      <c r="S159" s="78">
        <f>IF(OR(N($L159)&gt;0,N($M159)&gt;0),IF($K159="",1,IF(COUNTIF('MASTER BUDGET'!$D$6:$D$25,$K159)=0,1,0)),0)</f>
      </c>
      <c r="T159" s="78">
        <f>IF($H159="",0,IF(COUNTIF('RECIPE INDEX'!$B$6:$B$105,$H159)=0,1,0))</f>
      </c>
      <c r="U159" s="75"/>
    </row>
    <row r="160" ht="17" customHeight="1" spans="1:21" x14ac:dyDescent="0.25">
      <c r="A160" s="75"/>
      <c r="B160" s="79"/>
      <c r="C160" s="80"/>
      <c r="D160" s="79"/>
      <c r="E160" s="79"/>
      <c r="F160" s="79"/>
      <c r="G160" s="82"/>
      <c r="H160" s="79"/>
      <c r="I160" s="79"/>
      <c r="J160" s="79"/>
      <c r="K160" s="79"/>
      <c r="L160" s="86"/>
      <c r="M160" s="86"/>
      <c r="N160" s="79"/>
      <c r="O160" s="79"/>
      <c r="P160" s="78">
        <f>IF($B160="","",IF($N160="Yes","BOUGHT",IF($O160="Yes","IN THE PANTRY","TO BUY")))</f>
      </c>
      <c r="Q160" s="80"/>
      <c r="R160" s="78">
        <f>IF($B160="",0,IF(COUNTIF('GROCERY LIST'!$B$6:$B$205,$B160)&gt;1,1,0))</f>
      </c>
      <c r="S160" s="78">
        <f>IF(OR(N($L160)&gt;0,N($M160)&gt;0),IF($K160="",1,IF(COUNTIF('MASTER BUDGET'!$D$6:$D$25,$K160)=0,1,0)),0)</f>
      </c>
      <c r="T160" s="78">
        <f>IF($H160="",0,IF(COUNTIF('RECIPE INDEX'!$B$6:$B$105,$H160)=0,1,0))</f>
      </c>
      <c r="U160" s="75"/>
    </row>
    <row r="161" ht="17" customHeight="1" spans="1:21" x14ac:dyDescent="0.25">
      <c r="A161" s="75"/>
      <c r="B161" s="79"/>
      <c r="C161" s="80"/>
      <c r="D161" s="79"/>
      <c r="E161" s="79"/>
      <c r="F161" s="79"/>
      <c r="G161" s="82"/>
      <c r="H161" s="79"/>
      <c r="I161" s="79"/>
      <c r="J161" s="79"/>
      <c r="K161" s="79"/>
      <c r="L161" s="86"/>
      <c r="M161" s="86"/>
      <c r="N161" s="79"/>
      <c r="O161" s="79"/>
      <c r="P161" s="78">
        <f>IF($B161="","",IF($N161="Yes","BOUGHT",IF($O161="Yes","IN THE PANTRY","TO BUY")))</f>
      </c>
      <c r="Q161" s="80"/>
      <c r="R161" s="78">
        <f>IF($B161="",0,IF(COUNTIF('GROCERY LIST'!$B$6:$B$205,$B161)&gt;1,1,0))</f>
      </c>
      <c r="S161" s="78">
        <f>IF(OR(N($L161)&gt;0,N($M161)&gt;0),IF($K161="",1,IF(COUNTIF('MASTER BUDGET'!$D$6:$D$25,$K161)=0,1,0)),0)</f>
      </c>
      <c r="T161" s="78">
        <f>IF($H161="",0,IF(COUNTIF('RECIPE INDEX'!$B$6:$B$105,$H161)=0,1,0))</f>
      </c>
      <c r="U161" s="75"/>
    </row>
    <row r="162" ht="17" customHeight="1" spans="1:21" x14ac:dyDescent="0.25">
      <c r="A162" s="75"/>
      <c r="B162" s="79"/>
      <c r="C162" s="80"/>
      <c r="D162" s="79"/>
      <c r="E162" s="79"/>
      <c r="F162" s="79"/>
      <c r="G162" s="82"/>
      <c r="H162" s="79"/>
      <c r="I162" s="79"/>
      <c r="J162" s="79"/>
      <c r="K162" s="79"/>
      <c r="L162" s="86"/>
      <c r="M162" s="86"/>
      <c r="N162" s="79"/>
      <c r="O162" s="79"/>
      <c r="P162" s="78">
        <f>IF($B162="","",IF($N162="Yes","BOUGHT",IF($O162="Yes","IN THE PANTRY","TO BUY")))</f>
      </c>
      <c r="Q162" s="80"/>
      <c r="R162" s="78">
        <f>IF($B162="",0,IF(COUNTIF('GROCERY LIST'!$B$6:$B$205,$B162)&gt;1,1,0))</f>
      </c>
      <c r="S162" s="78">
        <f>IF(OR(N($L162)&gt;0,N($M162)&gt;0),IF($K162="",1,IF(COUNTIF('MASTER BUDGET'!$D$6:$D$25,$K162)=0,1,0)),0)</f>
      </c>
      <c r="T162" s="78">
        <f>IF($H162="",0,IF(COUNTIF('RECIPE INDEX'!$B$6:$B$105,$H162)=0,1,0))</f>
      </c>
      <c r="U162" s="75"/>
    </row>
    <row r="163" ht="17" customHeight="1" spans="1:21" x14ac:dyDescent="0.25">
      <c r="A163" s="75"/>
      <c r="B163" s="79"/>
      <c r="C163" s="80"/>
      <c r="D163" s="79"/>
      <c r="E163" s="79"/>
      <c r="F163" s="79"/>
      <c r="G163" s="82"/>
      <c r="H163" s="79"/>
      <c r="I163" s="79"/>
      <c r="J163" s="79"/>
      <c r="K163" s="79"/>
      <c r="L163" s="86"/>
      <c r="M163" s="86"/>
      <c r="N163" s="79"/>
      <c r="O163" s="79"/>
      <c r="P163" s="78">
        <f>IF($B163="","",IF($N163="Yes","BOUGHT",IF($O163="Yes","IN THE PANTRY","TO BUY")))</f>
      </c>
      <c r="Q163" s="80"/>
      <c r="R163" s="78">
        <f>IF($B163="",0,IF(COUNTIF('GROCERY LIST'!$B$6:$B$205,$B163)&gt;1,1,0))</f>
      </c>
      <c r="S163" s="78">
        <f>IF(OR(N($L163)&gt;0,N($M163)&gt;0),IF($K163="",1,IF(COUNTIF('MASTER BUDGET'!$D$6:$D$25,$K163)=0,1,0)),0)</f>
      </c>
      <c r="T163" s="78">
        <f>IF($H163="",0,IF(COUNTIF('RECIPE INDEX'!$B$6:$B$105,$H163)=0,1,0))</f>
      </c>
      <c r="U163" s="75"/>
    </row>
    <row r="164" ht="17" customHeight="1" spans="1:21" x14ac:dyDescent="0.25">
      <c r="A164" s="75"/>
      <c r="B164" s="79"/>
      <c r="C164" s="80"/>
      <c r="D164" s="79"/>
      <c r="E164" s="79"/>
      <c r="F164" s="79"/>
      <c r="G164" s="82"/>
      <c r="H164" s="79"/>
      <c r="I164" s="79"/>
      <c r="J164" s="79"/>
      <c r="K164" s="79"/>
      <c r="L164" s="86"/>
      <c r="M164" s="86"/>
      <c r="N164" s="79"/>
      <c r="O164" s="79"/>
      <c r="P164" s="78">
        <f>IF($B164="","",IF($N164="Yes","BOUGHT",IF($O164="Yes","IN THE PANTRY","TO BUY")))</f>
      </c>
      <c r="Q164" s="80"/>
      <c r="R164" s="78">
        <f>IF($B164="",0,IF(COUNTIF('GROCERY LIST'!$B$6:$B$205,$B164)&gt;1,1,0))</f>
      </c>
      <c r="S164" s="78">
        <f>IF(OR(N($L164)&gt;0,N($M164)&gt;0),IF($K164="",1,IF(COUNTIF('MASTER BUDGET'!$D$6:$D$25,$K164)=0,1,0)),0)</f>
      </c>
      <c r="T164" s="78">
        <f>IF($H164="",0,IF(COUNTIF('RECIPE INDEX'!$B$6:$B$105,$H164)=0,1,0))</f>
      </c>
      <c r="U164" s="75"/>
    </row>
    <row r="165" ht="17" customHeight="1" spans="1:21" x14ac:dyDescent="0.25">
      <c r="A165" s="75"/>
      <c r="B165" s="79"/>
      <c r="C165" s="80"/>
      <c r="D165" s="79"/>
      <c r="E165" s="79"/>
      <c r="F165" s="79"/>
      <c r="G165" s="82"/>
      <c r="H165" s="79"/>
      <c r="I165" s="79"/>
      <c r="J165" s="79"/>
      <c r="K165" s="79"/>
      <c r="L165" s="86"/>
      <c r="M165" s="86"/>
      <c r="N165" s="79"/>
      <c r="O165" s="79"/>
      <c r="P165" s="78">
        <f>IF($B165="","",IF($N165="Yes","BOUGHT",IF($O165="Yes","IN THE PANTRY","TO BUY")))</f>
      </c>
      <c r="Q165" s="80"/>
      <c r="R165" s="78">
        <f>IF($B165="",0,IF(COUNTIF('GROCERY LIST'!$B$6:$B$205,$B165)&gt;1,1,0))</f>
      </c>
      <c r="S165" s="78">
        <f>IF(OR(N($L165)&gt;0,N($M165)&gt;0),IF($K165="",1,IF(COUNTIF('MASTER BUDGET'!$D$6:$D$25,$K165)=0,1,0)),0)</f>
      </c>
      <c r="T165" s="78">
        <f>IF($H165="",0,IF(COUNTIF('RECIPE INDEX'!$B$6:$B$105,$H165)=0,1,0))</f>
      </c>
      <c r="U165" s="75"/>
    </row>
    <row r="166" ht="17" customHeight="1" spans="1:21" x14ac:dyDescent="0.25">
      <c r="A166" s="75"/>
      <c r="B166" s="79"/>
      <c r="C166" s="80"/>
      <c r="D166" s="79"/>
      <c r="E166" s="79"/>
      <c r="F166" s="79"/>
      <c r="G166" s="82"/>
      <c r="H166" s="79"/>
      <c r="I166" s="79"/>
      <c r="J166" s="79"/>
      <c r="K166" s="79"/>
      <c r="L166" s="86"/>
      <c r="M166" s="86"/>
      <c r="N166" s="79"/>
      <c r="O166" s="79"/>
      <c r="P166" s="78">
        <f>IF($B166="","",IF($N166="Yes","BOUGHT",IF($O166="Yes","IN THE PANTRY","TO BUY")))</f>
      </c>
      <c r="Q166" s="80"/>
      <c r="R166" s="78">
        <f>IF($B166="",0,IF(COUNTIF('GROCERY LIST'!$B$6:$B$205,$B166)&gt;1,1,0))</f>
      </c>
      <c r="S166" s="78">
        <f>IF(OR(N($L166)&gt;0,N($M166)&gt;0),IF($K166="",1,IF(COUNTIF('MASTER BUDGET'!$D$6:$D$25,$K166)=0,1,0)),0)</f>
      </c>
      <c r="T166" s="78">
        <f>IF($H166="",0,IF(COUNTIF('RECIPE INDEX'!$B$6:$B$105,$H166)=0,1,0))</f>
      </c>
      <c r="U166" s="75"/>
    </row>
    <row r="167" ht="17" customHeight="1" spans="1:21" x14ac:dyDescent="0.25">
      <c r="A167" s="75"/>
      <c r="B167" s="79"/>
      <c r="C167" s="80"/>
      <c r="D167" s="79"/>
      <c r="E167" s="79"/>
      <c r="F167" s="79"/>
      <c r="G167" s="82"/>
      <c r="H167" s="79"/>
      <c r="I167" s="79"/>
      <c r="J167" s="79"/>
      <c r="K167" s="79"/>
      <c r="L167" s="86"/>
      <c r="M167" s="86"/>
      <c r="N167" s="79"/>
      <c r="O167" s="79"/>
      <c r="P167" s="78">
        <f>IF($B167="","",IF($N167="Yes","BOUGHT",IF($O167="Yes","IN THE PANTRY","TO BUY")))</f>
      </c>
      <c r="Q167" s="80"/>
      <c r="R167" s="78">
        <f>IF($B167="",0,IF(COUNTIF('GROCERY LIST'!$B$6:$B$205,$B167)&gt;1,1,0))</f>
      </c>
      <c r="S167" s="78">
        <f>IF(OR(N($L167)&gt;0,N($M167)&gt;0),IF($K167="",1,IF(COUNTIF('MASTER BUDGET'!$D$6:$D$25,$K167)=0,1,0)),0)</f>
      </c>
      <c r="T167" s="78">
        <f>IF($H167="",0,IF(COUNTIF('RECIPE INDEX'!$B$6:$B$105,$H167)=0,1,0))</f>
      </c>
      <c r="U167" s="75"/>
    </row>
    <row r="168" ht="17" customHeight="1" spans="1:21" x14ac:dyDescent="0.25">
      <c r="A168" s="75"/>
      <c r="B168" s="79"/>
      <c r="C168" s="80"/>
      <c r="D168" s="79"/>
      <c r="E168" s="79"/>
      <c r="F168" s="79"/>
      <c r="G168" s="82"/>
      <c r="H168" s="79"/>
      <c r="I168" s="79"/>
      <c r="J168" s="79"/>
      <c r="K168" s="79"/>
      <c r="L168" s="86"/>
      <c r="M168" s="86"/>
      <c r="N168" s="79"/>
      <c r="O168" s="79"/>
      <c r="P168" s="78">
        <f>IF($B168="","",IF($N168="Yes","BOUGHT",IF($O168="Yes","IN THE PANTRY","TO BUY")))</f>
      </c>
      <c r="Q168" s="80"/>
      <c r="R168" s="78">
        <f>IF($B168="",0,IF(COUNTIF('GROCERY LIST'!$B$6:$B$205,$B168)&gt;1,1,0))</f>
      </c>
      <c r="S168" s="78">
        <f>IF(OR(N($L168)&gt;0,N($M168)&gt;0),IF($K168="",1,IF(COUNTIF('MASTER BUDGET'!$D$6:$D$25,$K168)=0,1,0)),0)</f>
      </c>
      <c r="T168" s="78">
        <f>IF($H168="",0,IF(COUNTIF('RECIPE INDEX'!$B$6:$B$105,$H168)=0,1,0))</f>
      </c>
      <c r="U168" s="75"/>
    </row>
    <row r="169" ht="17" customHeight="1" spans="1:21" x14ac:dyDescent="0.25">
      <c r="A169" s="75"/>
      <c r="B169" s="79"/>
      <c r="C169" s="80"/>
      <c r="D169" s="79"/>
      <c r="E169" s="79"/>
      <c r="F169" s="79"/>
      <c r="G169" s="82"/>
      <c r="H169" s="79"/>
      <c r="I169" s="79"/>
      <c r="J169" s="79"/>
      <c r="K169" s="79"/>
      <c r="L169" s="86"/>
      <c r="M169" s="86"/>
      <c r="N169" s="79"/>
      <c r="O169" s="79"/>
      <c r="P169" s="78">
        <f>IF($B169="","",IF($N169="Yes","BOUGHT",IF($O169="Yes","IN THE PANTRY","TO BUY")))</f>
      </c>
      <c r="Q169" s="80"/>
      <c r="R169" s="78">
        <f>IF($B169="",0,IF(COUNTIF('GROCERY LIST'!$B$6:$B$205,$B169)&gt;1,1,0))</f>
      </c>
      <c r="S169" s="78">
        <f>IF(OR(N($L169)&gt;0,N($M169)&gt;0),IF($K169="",1,IF(COUNTIF('MASTER BUDGET'!$D$6:$D$25,$K169)=0,1,0)),0)</f>
      </c>
      <c r="T169" s="78">
        <f>IF($H169="",0,IF(COUNTIF('RECIPE INDEX'!$B$6:$B$105,$H169)=0,1,0))</f>
      </c>
      <c r="U169" s="75"/>
    </row>
    <row r="170" ht="17" customHeight="1" spans="1:21" x14ac:dyDescent="0.25">
      <c r="A170" s="75"/>
      <c r="B170" s="79"/>
      <c r="C170" s="80"/>
      <c r="D170" s="79"/>
      <c r="E170" s="79"/>
      <c r="F170" s="79"/>
      <c r="G170" s="82"/>
      <c r="H170" s="79"/>
      <c r="I170" s="79"/>
      <c r="J170" s="79"/>
      <c r="K170" s="79"/>
      <c r="L170" s="86"/>
      <c r="M170" s="86"/>
      <c r="N170" s="79"/>
      <c r="O170" s="79"/>
      <c r="P170" s="78">
        <f>IF($B170="","",IF($N170="Yes","BOUGHT",IF($O170="Yes","IN THE PANTRY","TO BUY")))</f>
      </c>
      <c r="Q170" s="80"/>
      <c r="R170" s="78">
        <f>IF($B170="",0,IF(COUNTIF('GROCERY LIST'!$B$6:$B$205,$B170)&gt;1,1,0))</f>
      </c>
      <c r="S170" s="78">
        <f>IF(OR(N($L170)&gt;0,N($M170)&gt;0),IF($K170="",1,IF(COUNTIF('MASTER BUDGET'!$D$6:$D$25,$K170)=0,1,0)),0)</f>
      </c>
      <c r="T170" s="78">
        <f>IF($H170="",0,IF(COUNTIF('RECIPE INDEX'!$B$6:$B$105,$H170)=0,1,0))</f>
      </c>
      <c r="U170" s="75"/>
    </row>
    <row r="171" ht="17" customHeight="1" spans="1:21" x14ac:dyDescent="0.25">
      <c r="A171" s="75"/>
      <c r="B171" s="79"/>
      <c r="C171" s="80"/>
      <c r="D171" s="79"/>
      <c r="E171" s="79"/>
      <c r="F171" s="79"/>
      <c r="G171" s="82"/>
      <c r="H171" s="79"/>
      <c r="I171" s="79"/>
      <c r="J171" s="79"/>
      <c r="K171" s="79"/>
      <c r="L171" s="86"/>
      <c r="M171" s="86"/>
      <c r="N171" s="79"/>
      <c r="O171" s="79"/>
      <c r="P171" s="78">
        <f>IF($B171="","",IF($N171="Yes","BOUGHT",IF($O171="Yes","IN THE PANTRY","TO BUY")))</f>
      </c>
      <c r="Q171" s="80"/>
      <c r="R171" s="78">
        <f>IF($B171="",0,IF(COUNTIF('GROCERY LIST'!$B$6:$B$205,$B171)&gt;1,1,0))</f>
      </c>
      <c r="S171" s="78">
        <f>IF(OR(N($L171)&gt;0,N($M171)&gt;0),IF($K171="",1,IF(COUNTIF('MASTER BUDGET'!$D$6:$D$25,$K171)=0,1,0)),0)</f>
      </c>
      <c r="T171" s="78">
        <f>IF($H171="",0,IF(COUNTIF('RECIPE INDEX'!$B$6:$B$105,$H171)=0,1,0))</f>
      </c>
      <c r="U171" s="75"/>
    </row>
    <row r="172" ht="17" customHeight="1" spans="1:21" x14ac:dyDescent="0.25">
      <c r="A172" s="75"/>
      <c r="B172" s="79"/>
      <c r="C172" s="80"/>
      <c r="D172" s="79"/>
      <c r="E172" s="79"/>
      <c r="F172" s="79"/>
      <c r="G172" s="82"/>
      <c r="H172" s="79"/>
      <c r="I172" s="79"/>
      <c r="J172" s="79"/>
      <c r="K172" s="79"/>
      <c r="L172" s="86"/>
      <c r="M172" s="86"/>
      <c r="N172" s="79"/>
      <c r="O172" s="79"/>
      <c r="P172" s="78">
        <f>IF($B172="","",IF($N172="Yes","BOUGHT",IF($O172="Yes","IN THE PANTRY","TO BUY")))</f>
      </c>
      <c r="Q172" s="80"/>
      <c r="R172" s="78">
        <f>IF($B172="",0,IF(COUNTIF('GROCERY LIST'!$B$6:$B$205,$B172)&gt;1,1,0))</f>
      </c>
      <c r="S172" s="78">
        <f>IF(OR(N($L172)&gt;0,N($M172)&gt;0),IF($K172="",1,IF(COUNTIF('MASTER BUDGET'!$D$6:$D$25,$K172)=0,1,0)),0)</f>
      </c>
      <c r="T172" s="78">
        <f>IF($H172="",0,IF(COUNTIF('RECIPE INDEX'!$B$6:$B$105,$H172)=0,1,0))</f>
      </c>
      <c r="U172" s="75"/>
    </row>
    <row r="173" ht="17" customHeight="1" spans="1:21" x14ac:dyDescent="0.25">
      <c r="A173" s="75"/>
      <c r="B173" s="79"/>
      <c r="C173" s="80"/>
      <c r="D173" s="79"/>
      <c r="E173" s="79"/>
      <c r="F173" s="79"/>
      <c r="G173" s="82"/>
      <c r="H173" s="79"/>
      <c r="I173" s="79"/>
      <c r="J173" s="79"/>
      <c r="K173" s="79"/>
      <c r="L173" s="86"/>
      <c r="M173" s="86"/>
      <c r="N173" s="79"/>
      <c r="O173" s="79"/>
      <c r="P173" s="78">
        <f>IF($B173="","",IF($N173="Yes","BOUGHT",IF($O173="Yes","IN THE PANTRY","TO BUY")))</f>
      </c>
      <c r="Q173" s="80"/>
      <c r="R173" s="78">
        <f>IF($B173="",0,IF(COUNTIF('GROCERY LIST'!$B$6:$B$205,$B173)&gt;1,1,0))</f>
      </c>
      <c r="S173" s="78">
        <f>IF(OR(N($L173)&gt;0,N($M173)&gt;0),IF($K173="",1,IF(COUNTIF('MASTER BUDGET'!$D$6:$D$25,$K173)=0,1,0)),0)</f>
      </c>
      <c r="T173" s="78">
        <f>IF($H173="",0,IF(COUNTIF('RECIPE INDEX'!$B$6:$B$105,$H173)=0,1,0))</f>
      </c>
      <c r="U173" s="75"/>
    </row>
    <row r="174" ht="17" customHeight="1" spans="1:21" x14ac:dyDescent="0.25">
      <c r="A174" s="75"/>
      <c r="B174" s="79"/>
      <c r="C174" s="80"/>
      <c r="D174" s="79"/>
      <c r="E174" s="79"/>
      <c r="F174" s="79"/>
      <c r="G174" s="82"/>
      <c r="H174" s="79"/>
      <c r="I174" s="79"/>
      <c r="J174" s="79"/>
      <c r="K174" s="79"/>
      <c r="L174" s="86"/>
      <c r="M174" s="86"/>
      <c r="N174" s="79"/>
      <c r="O174" s="79"/>
      <c r="P174" s="78">
        <f>IF($B174="","",IF($N174="Yes","BOUGHT",IF($O174="Yes","IN THE PANTRY","TO BUY")))</f>
      </c>
      <c r="Q174" s="80"/>
      <c r="R174" s="78">
        <f>IF($B174="",0,IF(COUNTIF('GROCERY LIST'!$B$6:$B$205,$B174)&gt;1,1,0))</f>
      </c>
      <c r="S174" s="78">
        <f>IF(OR(N($L174)&gt;0,N($M174)&gt;0),IF($K174="",1,IF(COUNTIF('MASTER BUDGET'!$D$6:$D$25,$K174)=0,1,0)),0)</f>
      </c>
      <c r="T174" s="78">
        <f>IF($H174="",0,IF(COUNTIF('RECIPE INDEX'!$B$6:$B$105,$H174)=0,1,0))</f>
      </c>
      <c r="U174" s="75"/>
    </row>
    <row r="175" ht="17" customHeight="1" spans="1:21" x14ac:dyDescent="0.25">
      <c r="A175" s="75"/>
      <c r="B175" s="79"/>
      <c r="C175" s="80"/>
      <c r="D175" s="79"/>
      <c r="E175" s="79"/>
      <c r="F175" s="79"/>
      <c r="G175" s="82"/>
      <c r="H175" s="79"/>
      <c r="I175" s="79"/>
      <c r="J175" s="79"/>
      <c r="K175" s="79"/>
      <c r="L175" s="86"/>
      <c r="M175" s="86"/>
      <c r="N175" s="79"/>
      <c r="O175" s="79"/>
      <c r="P175" s="78">
        <f>IF($B175="","",IF($N175="Yes","BOUGHT",IF($O175="Yes","IN THE PANTRY","TO BUY")))</f>
      </c>
      <c r="Q175" s="80"/>
      <c r="R175" s="78">
        <f>IF($B175="",0,IF(COUNTIF('GROCERY LIST'!$B$6:$B$205,$B175)&gt;1,1,0))</f>
      </c>
      <c r="S175" s="78">
        <f>IF(OR(N($L175)&gt;0,N($M175)&gt;0),IF($K175="",1,IF(COUNTIF('MASTER BUDGET'!$D$6:$D$25,$K175)=0,1,0)),0)</f>
      </c>
      <c r="T175" s="78">
        <f>IF($H175="",0,IF(COUNTIF('RECIPE INDEX'!$B$6:$B$105,$H175)=0,1,0))</f>
      </c>
      <c r="U175" s="75"/>
    </row>
    <row r="176" ht="17" customHeight="1" spans="1:21" x14ac:dyDescent="0.25">
      <c r="A176" s="75"/>
      <c r="B176" s="79"/>
      <c r="C176" s="80"/>
      <c r="D176" s="79"/>
      <c r="E176" s="79"/>
      <c r="F176" s="79"/>
      <c r="G176" s="82"/>
      <c r="H176" s="79"/>
      <c r="I176" s="79"/>
      <c r="J176" s="79"/>
      <c r="K176" s="79"/>
      <c r="L176" s="86"/>
      <c r="M176" s="86"/>
      <c r="N176" s="79"/>
      <c r="O176" s="79"/>
      <c r="P176" s="78">
        <f>IF($B176="","",IF($N176="Yes","BOUGHT",IF($O176="Yes","IN THE PANTRY","TO BUY")))</f>
      </c>
      <c r="Q176" s="80"/>
      <c r="R176" s="78">
        <f>IF($B176="",0,IF(COUNTIF('GROCERY LIST'!$B$6:$B$205,$B176)&gt;1,1,0))</f>
      </c>
      <c r="S176" s="78">
        <f>IF(OR(N($L176)&gt;0,N($M176)&gt;0),IF($K176="",1,IF(COUNTIF('MASTER BUDGET'!$D$6:$D$25,$K176)=0,1,0)),0)</f>
      </c>
      <c r="T176" s="78">
        <f>IF($H176="",0,IF(COUNTIF('RECIPE INDEX'!$B$6:$B$105,$H176)=0,1,0))</f>
      </c>
      <c r="U176" s="75"/>
    </row>
    <row r="177" ht="17" customHeight="1" spans="1:21" x14ac:dyDescent="0.25">
      <c r="A177" s="75"/>
      <c r="B177" s="79"/>
      <c r="C177" s="80"/>
      <c r="D177" s="79"/>
      <c r="E177" s="79"/>
      <c r="F177" s="79"/>
      <c r="G177" s="82"/>
      <c r="H177" s="79"/>
      <c r="I177" s="79"/>
      <c r="J177" s="79"/>
      <c r="K177" s="79"/>
      <c r="L177" s="86"/>
      <c r="M177" s="86"/>
      <c r="N177" s="79"/>
      <c r="O177" s="79"/>
      <c r="P177" s="78">
        <f>IF($B177="","",IF($N177="Yes","BOUGHT",IF($O177="Yes","IN THE PANTRY","TO BUY")))</f>
      </c>
      <c r="Q177" s="80"/>
      <c r="R177" s="78">
        <f>IF($B177="",0,IF(COUNTIF('GROCERY LIST'!$B$6:$B$205,$B177)&gt;1,1,0))</f>
      </c>
      <c r="S177" s="78">
        <f>IF(OR(N($L177)&gt;0,N($M177)&gt;0),IF($K177="",1,IF(COUNTIF('MASTER BUDGET'!$D$6:$D$25,$K177)=0,1,0)),0)</f>
      </c>
      <c r="T177" s="78">
        <f>IF($H177="",0,IF(COUNTIF('RECIPE INDEX'!$B$6:$B$105,$H177)=0,1,0))</f>
      </c>
      <c r="U177" s="75"/>
    </row>
    <row r="178" ht="17" customHeight="1" spans="1:21" x14ac:dyDescent="0.25">
      <c r="A178" s="75"/>
      <c r="B178" s="79"/>
      <c r="C178" s="80"/>
      <c r="D178" s="79"/>
      <c r="E178" s="79"/>
      <c r="F178" s="79"/>
      <c r="G178" s="82"/>
      <c r="H178" s="79"/>
      <c r="I178" s="79"/>
      <c r="J178" s="79"/>
      <c r="K178" s="79"/>
      <c r="L178" s="86"/>
      <c r="M178" s="86"/>
      <c r="N178" s="79"/>
      <c r="O178" s="79"/>
      <c r="P178" s="78">
        <f>IF($B178="","",IF($N178="Yes","BOUGHT",IF($O178="Yes","IN THE PANTRY","TO BUY")))</f>
      </c>
      <c r="Q178" s="80"/>
      <c r="R178" s="78">
        <f>IF($B178="",0,IF(COUNTIF('GROCERY LIST'!$B$6:$B$205,$B178)&gt;1,1,0))</f>
      </c>
      <c r="S178" s="78">
        <f>IF(OR(N($L178)&gt;0,N($M178)&gt;0),IF($K178="",1,IF(COUNTIF('MASTER BUDGET'!$D$6:$D$25,$K178)=0,1,0)),0)</f>
      </c>
      <c r="T178" s="78">
        <f>IF($H178="",0,IF(COUNTIF('RECIPE INDEX'!$B$6:$B$105,$H178)=0,1,0))</f>
      </c>
      <c r="U178" s="75"/>
    </row>
    <row r="179" ht="17" customHeight="1" spans="1:21" x14ac:dyDescent="0.25">
      <c r="A179" s="75"/>
      <c r="B179" s="79"/>
      <c r="C179" s="80"/>
      <c r="D179" s="79"/>
      <c r="E179" s="79"/>
      <c r="F179" s="79"/>
      <c r="G179" s="82"/>
      <c r="H179" s="79"/>
      <c r="I179" s="79"/>
      <c r="J179" s="79"/>
      <c r="K179" s="79"/>
      <c r="L179" s="86"/>
      <c r="M179" s="86"/>
      <c r="N179" s="79"/>
      <c r="O179" s="79"/>
      <c r="P179" s="78">
        <f>IF($B179="","",IF($N179="Yes","BOUGHT",IF($O179="Yes","IN THE PANTRY","TO BUY")))</f>
      </c>
      <c r="Q179" s="80"/>
      <c r="R179" s="78">
        <f>IF($B179="",0,IF(COUNTIF('GROCERY LIST'!$B$6:$B$205,$B179)&gt;1,1,0))</f>
      </c>
      <c r="S179" s="78">
        <f>IF(OR(N($L179)&gt;0,N($M179)&gt;0),IF($K179="",1,IF(COUNTIF('MASTER BUDGET'!$D$6:$D$25,$K179)=0,1,0)),0)</f>
      </c>
      <c r="T179" s="78">
        <f>IF($H179="",0,IF(COUNTIF('RECIPE INDEX'!$B$6:$B$105,$H179)=0,1,0))</f>
      </c>
      <c r="U179" s="75"/>
    </row>
    <row r="180" ht="17" customHeight="1" spans="1:21" x14ac:dyDescent="0.25">
      <c r="A180" s="75"/>
      <c r="B180" s="79"/>
      <c r="C180" s="80"/>
      <c r="D180" s="79"/>
      <c r="E180" s="79"/>
      <c r="F180" s="79"/>
      <c r="G180" s="82"/>
      <c r="H180" s="79"/>
      <c r="I180" s="79"/>
      <c r="J180" s="79"/>
      <c r="K180" s="79"/>
      <c r="L180" s="86"/>
      <c r="M180" s="86"/>
      <c r="N180" s="79"/>
      <c r="O180" s="79"/>
      <c r="P180" s="78">
        <f>IF($B180="","",IF($N180="Yes","BOUGHT",IF($O180="Yes","IN THE PANTRY","TO BUY")))</f>
      </c>
      <c r="Q180" s="80"/>
      <c r="R180" s="78">
        <f>IF($B180="",0,IF(COUNTIF('GROCERY LIST'!$B$6:$B$205,$B180)&gt;1,1,0))</f>
      </c>
      <c r="S180" s="78">
        <f>IF(OR(N($L180)&gt;0,N($M180)&gt;0),IF($K180="",1,IF(COUNTIF('MASTER BUDGET'!$D$6:$D$25,$K180)=0,1,0)),0)</f>
      </c>
      <c r="T180" s="78">
        <f>IF($H180="",0,IF(COUNTIF('RECIPE INDEX'!$B$6:$B$105,$H180)=0,1,0))</f>
      </c>
      <c r="U180" s="75"/>
    </row>
    <row r="181" ht="17" customHeight="1" spans="1:21" x14ac:dyDescent="0.25">
      <c r="A181" s="75"/>
      <c r="B181" s="79"/>
      <c r="C181" s="80"/>
      <c r="D181" s="79"/>
      <c r="E181" s="79"/>
      <c r="F181" s="79"/>
      <c r="G181" s="82"/>
      <c r="H181" s="79"/>
      <c r="I181" s="79"/>
      <c r="J181" s="79"/>
      <c r="K181" s="79"/>
      <c r="L181" s="86"/>
      <c r="M181" s="86"/>
      <c r="N181" s="79"/>
      <c r="O181" s="79"/>
      <c r="P181" s="78">
        <f>IF($B181="","",IF($N181="Yes","BOUGHT",IF($O181="Yes","IN THE PANTRY","TO BUY")))</f>
      </c>
      <c r="Q181" s="80"/>
      <c r="R181" s="78">
        <f>IF($B181="",0,IF(COUNTIF('GROCERY LIST'!$B$6:$B$205,$B181)&gt;1,1,0))</f>
      </c>
      <c r="S181" s="78">
        <f>IF(OR(N($L181)&gt;0,N($M181)&gt;0),IF($K181="",1,IF(COUNTIF('MASTER BUDGET'!$D$6:$D$25,$K181)=0,1,0)),0)</f>
      </c>
      <c r="T181" s="78">
        <f>IF($H181="",0,IF(COUNTIF('RECIPE INDEX'!$B$6:$B$105,$H181)=0,1,0))</f>
      </c>
      <c r="U181" s="75"/>
    </row>
    <row r="182" ht="17" customHeight="1" spans="1:21" x14ac:dyDescent="0.25">
      <c r="A182" s="75"/>
      <c r="B182" s="79"/>
      <c r="C182" s="80"/>
      <c r="D182" s="79"/>
      <c r="E182" s="79"/>
      <c r="F182" s="79"/>
      <c r="G182" s="82"/>
      <c r="H182" s="79"/>
      <c r="I182" s="79"/>
      <c r="J182" s="79"/>
      <c r="K182" s="79"/>
      <c r="L182" s="86"/>
      <c r="M182" s="86"/>
      <c r="N182" s="79"/>
      <c r="O182" s="79"/>
      <c r="P182" s="78">
        <f>IF($B182="","",IF($N182="Yes","BOUGHT",IF($O182="Yes","IN THE PANTRY","TO BUY")))</f>
      </c>
      <c r="Q182" s="80"/>
      <c r="R182" s="78">
        <f>IF($B182="",0,IF(COUNTIF('GROCERY LIST'!$B$6:$B$205,$B182)&gt;1,1,0))</f>
      </c>
      <c r="S182" s="78">
        <f>IF(OR(N($L182)&gt;0,N($M182)&gt;0),IF($K182="",1,IF(COUNTIF('MASTER BUDGET'!$D$6:$D$25,$K182)=0,1,0)),0)</f>
      </c>
      <c r="T182" s="78">
        <f>IF($H182="",0,IF(COUNTIF('RECIPE INDEX'!$B$6:$B$105,$H182)=0,1,0))</f>
      </c>
      <c r="U182" s="75"/>
    </row>
    <row r="183" ht="17" customHeight="1" spans="1:21" x14ac:dyDescent="0.25">
      <c r="A183" s="75"/>
      <c r="B183" s="79"/>
      <c r="C183" s="80"/>
      <c r="D183" s="79"/>
      <c r="E183" s="79"/>
      <c r="F183" s="79"/>
      <c r="G183" s="82"/>
      <c r="H183" s="79"/>
      <c r="I183" s="79"/>
      <c r="J183" s="79"/>
      <c r="K183" s="79"/>
      <c r="L183" s="86"/>
      <c r="M183" s="86"/>
      <c r="N183" s="79"/>
      <c r="O183" s="79"/>
      <c r="P183" s="78">
        <f>IF($B183="","",IF($N183="Yes","BOUGHT",IF($O183="Yes","IN THE PANTRY","TO BUY")))</f>
      </c>
      <c r="Q183" s="80"/>
      <c r="R183" s="78">
        <f>IF($B183="",0,IF(COUNTIF('GROCERY LIST'!$B$6:$B$205,$B183)&gt;1,1,0))</f>
      </c>
      <c r="S183" s="78">
        <f>IF(OR(N($L183)&gt;0,N($M183)&gt;0),IF($K183="",1,IF(COUNTIF('MASTER BUDGET'!$D$6:$D$25,$K183)=0,1,0)),0)</f>
      </c>
      <c r="T183" s="78">
        <f>IF($H183="",0,IF(COUNTIF('RECIPE INDEX'!$B$6:$B$105,$H183)=0,1,0))</f>
      </c>
      <c r="U183" s="75"/>
    </row>
    <row r="184" ht="17" customHeight="1" spans="1:21" x14ac:dyDescent="0.25">
      <c r="A184" s="75"/>
      <c r="B184" s="79"/>
      <c r="C184" s="80"/>
      <c r="D184" s="79"/>
      <c r="E184" s="79"/>
      <c r="F184" s="79"/>
      <c r="G184" s="82"/>
      <c r="H184" s="79"/>
      <c r="I184" s="79"/>
      <c r="J184" s="79"/>
      <c r="K184" s="79"/>
      <c r="L184" s="86"/>
      <c r="M184" s="86"/>
      <c r="N184" s="79"/>
      <c r="O184" s="79"/>
      <c r="P184" s="78">
        <f>IF($B184="","",IF($N184="Yes","BOUGHT",IF($O184="Yes","IN THE PANTRY","TO BUY")))</f>
      </c>
      <c r="Q184" s="80"/>
      <c r="R184" s="78">
        <f>IF($B184="",0,IF(COUNTIF('GROCERY LIST'!$B$6:$B$205,$B184)&gt;1,1,0))</f>
      </c>
      <c r="S184" s="78">
        <f>IF(OR(N($L184)&gt;0,N($M184)&gt;0),IF($K184="",1,IF(COUNTIF('MASTER BUDGET'!$D$6:$D$25,$K184)=0,1,0)),0)</f>
      </c>
      <c r="T184" s="78">
        <f>IF($H184="",0,IF(COUNTIF('RECIPE INDEX'!$B$6:$B$105,$H184)=0,1,0))</f>
      </c>
      <c r="U184" s="75"/>
    </row>
    <row r="185" ht="17" customHeight="1" spans="1:21" x14ac:dyDescent="0.25">
      <c r="A185" s="75"/>
      <c r="B185" s="79"/>
      <c r="C185" s="80"/>
      <c r="D185" s="79"/>
      <c r="E185" s="79"/>
      <c r="F185" s="79"/>
      <c r="G185" s="82"/>
      <c r="H185" s="79"/>
      <c r="I185" s="79"/>
      <c r="J185" s="79"/>
      <c r="K185" s="79"/>
      <c r="L185" s="86"/>
      <c r="M185" s="86"/>
      <c r="N185" s="79"/>
      <c r="O185" s="79"/>
      <c r="P185" s="78">
        <f>IF($B185="","",IF($N185="Yes","BOUGHT",IF($O185="Yes","IN THE PANTRY","TO BUY")))</f>
      </c>
      <c r="Q185" s="80"/>
      <c r="R185" s="78">
        <f>IF($B185="",0,IF(COUNTIF('GROCERY LIST'!$B$6:$B$205,$B185)&gt;1,1,0))</f>
      </c>
      <c r="S185" s="78">
        <f>IF(OR(N($L185)&gt;0,N($M185)&gt;0),IF($K185="",1,IF(COUNTIF('MASTER BUDGET'!$D$6:$D$25,$K185)=0,1,0)),0)</f>
      </c>
      <c r="T185" s="78">
        <f>IF($H185="",0,IF(COUNTIF('RECIPE INDEX'!$B$6:$B$105,$H185)=0,1,0))</f>
      </c>
      <c r="U185" s="75"/>
    </row>
    <row r="186" ht="17" customHeight="1" spans="1:21" x14ac:dyDescent="0.25">
      <c r="A186" s="75"/>
      <c r="B186" s="79"/>
      <c r="C186" s="80"/>
      <c r="D186" s="79"/>
      <c r="E186" s="79"/>
      <c r="F186" s="79"/>
      <c r="G186" s="82"/>
      <c r="H186" s="79"/>
      <c r="I186" s="79"/>
      <c r="J186" s="79"/>
      <c r="K186" s="79"/>
      <c r="L186" s="86"/>
      <c r="M186" s="86"/>
      <c r="N186" s="79"/>
      <c r="O186" s="79"/>
      <c r="P186" s="78">
        <f>IF($B186="","",IF($N186="Yes","BOUGHT",IF($O186="Yes","IN THE PANTRY","TO BUY")))</f>
      </c>
      <c r="Q186" s="80"/>
      <c r="R186" s="78">
        <f>IF($B186="",0,IF(COUNTIF('GROCERY LIST'!$B$6:$B$205,$B186)&gt;1,1,0))</f>
      </c>
      <c r="S186" s="78">
        <f>IF(OR(N($L186)&gt;0,N($M186)&gt;0),IF($K186="",1,IF(COUNTIF('MASTER BUDGET'!$D$6:$D$25,$K186)=0,1,0)),0)</f>
      </c>
      <c r="T186" s="78">
        <f>IF($H186="",0,IF(COUNTIF('RECIPE INDEX'!$B$6:$B$105,$H186)=0,1,0))</f>
      </c>
      <c r="U186" s="75"/>
    </row>
    <row r="187" ht="17" customHeight="1" spans="1:21" x14ac:dyDescent="0.25">
      <c r="A187" s="75"/>
      <c r="B187" s="79"/>
      <c r="C187" s="80"/>
      <c r="D187" s="79"/>
      <c r="E187" s="79"/>
      <c r="F187" s="79"/>
      <c r="G187" s="82"/>
      <c r="H187" s="79"/>
      <c r="I187" s="79"/>
      <c r="J187" s="79"/>
      <c r="K187" s="79"/>
      <c r="L187" s="86"/>
      <c r="M187" s="86"/>
      <c r="N187" s="79"/>
      <c r="O187" s="79"/>
      <c r="P187" s="78">
        <f>IF($B187="","",IF($N187="Yes","BOUGHT",IF($O187="Yes","IN THE PANTRY","TO BUY")))</f>
      </c>
      <c r="Q187" s="80"/>
      <c r="R187" s="78">
        <f>IF($B187="",0,IF(COUNTIF('GROCERY LIST'!$B$6:$B$205,$B187)&gt;1,1,0))</f>
      </c>
      <c r="S187" s="78">
        <f>IF(OR(N($L187)&gt;0,N($M187)&gt;0),IF($K187="",1,IF(COUNTIF('MASTER BUDGET'!$D$6:$D$25,$K187)=0,1,0)),0)</f>
      </c>
      <c r="T187" s="78">
        <f>IF($H187="",0,IF(COUNTIF('RECIPE INDEX'!$B$6:$B$105,$H187)=0,1,0))</f>
      </c>
      <c r="U187" s="75"/>
    </row>
    <row r="188" ht="17" customHeight="1" spans="1:21" x14ac:dyDescent="0.25">
      <c r="A188" s="75"/>
      <c r="B188" s="79"/>
      <c r="C188" s="80"/>
      <c r="D188" s="79"/>
      <c r="E188" s="79"/>
      <c r="F188" s="79"/>
      <c r="G188" s="82"/>
      <c r="H188" s="79"/>
      <c r="I188" s="79"/>
      <c r="J188" s="79"/>
      <c r="K188" s="79"/>
      <c r="L188" s="86"/>
      <c r="M188" s="86"/>
      <c r="N188" s="79"/>
      <c r="O188" s="79"/>
      <c r="P188" s="78">
        <f>IF($B188="","",IF($N188="Yes","BOUGHT",IF($O188="Yes","IN THE PANTRY","TO BUY")))</f>
      </c>
      <c r="Q188" s="80"/>
      <c r="R188" s="78">
        <f>IF($B188="",0,IF(COUNTIF('GROCERY LIST'!$B$6:$B$205,$B188)&gt;1,1,0))</f>
      </c>
      <c r="S188" s="78">
        <f>IF(OR(N($L188)&gt;0,N($M188)&gt;0),IF($K188="",1,IF(COUNTIF('MASTER BUDGET'!$D$6:$D$25,$K188)=0,1,0)),0)</f>
      </c>
      <c r="T188" s="78">
        <f>IF($H188="",0,IF(COUNTIF('RECIPE INDEX'!$B$6:$B$105,$H188)=0,1,0))</f>
      </c>
      <c r="U188" s="75"/>
    </row>
    <row r="189" ht="17" customHeight="1" spans="1:21" x14ac:dyDescent="0.25">
      <c r="A189" s="75"/>
      <c r="B189" s="79"/>
      <c r="C189" s="80"/>
      <c r="D189" s="79"/>
      <c r="E189" s="79"/>
      <c r="F189" s="79"/>
      <c r="G189" s="82"/>
      <c r="H189" s="79"/>
      <c r="I189" s="79"/>
      <c r="J189" s="79"/>
      <c r="K189" s="79"/>
      <c r="L189" s="86"/>
      <c r="M189" s="86"/>
      <c r="N189" s="79"/>
      <c r="O189" s="79"/>
      <c r="P189" s="78">
        <f>IF($B189="","",IF($N189="Yes","BOUGHT",IF($O189="Yes","IN THE PANTRY","TO BUY")))</f>
      </c>
      <c r="Q189" s="80"/>
      <c r="R189" s="78">
        <f>IF($B189="",0,IF(COUNTIF('GROCERY LIST'!$B$6:$B$205,$B189)&gt;1,1,0))</f>
      </c>
      <c r="S189" s="78">
        <f>IF(OR(N($L189)&gt;0,N($M189)&gt;0),IF($K189="",1,IF(COUNTIF('MASTER BUDGET'!$D$6:$D$25,$K189)=0,1,0)),0)</f>
      </c>
      <c r="T189" s="78">
        <f>IF($H189="",0,IF(COUNTIF('RECIPE INDEX'!$B$6:$B$105,$H189)=0,1,0))</f>
      </c>
      <c r="U189" s="75"/>
    </row>
    <row r="190" ht="17" customHeight="1" spans="1:21" x14ac:dyDescent="0.25">
      <c r="A190" s="75"/>
      <c r="B190" s="79"/>
      <c r="C190" s="80"/>
      <c r="D190" s="79"/>
      <c r="E190" s="79"/>
      <c r="F190" s="79"/>
      <c r="G190" s="82"/>
      <c r="H190" s="79"/>
      <c r="I190" s="79"/>
      <c r="J190" s="79"/>
      <c r="K190" s="79"/>
      <c r="L190" s="86"/>
      <c r="M190" s="86"/>
      <c r="N190" s="79"/>
      <c r="O190" s="79"/>
      <c r="P190" s="78">
        <f>IF($B190="","",IF($N190="Yes","BOUGHT",IF($O190="Yes","IN THE PANTRY","TO BUY")))</f>
      </c>
      <c r="Q190" s="80"/>
      <c r="R190" s="78">
        <f>IF($B190="",0,IF(COUNTIF('GROCERY LIST'!$B$6:$B$205,$B190)&gt;1,1,0))</f>
      </c>
      <c r="S190" s="78">
        <f>IF(OR(N($L190)&gt;0,N($M190)&gt;0),IF($K190="",1,IF(COUNTIF('MASTER BUDGET'!$D$6:$D$25,$K190)=0,1,0)),0)</f>
      </c>
      <c r="T190" s="78">
        <f>IF($H190="",0,IF(COUNTIF('RECIPE INDEX'!$B$6:$B$105,$H190)=0,1,0))</f>
      </c>
      <c r="U190" s="75"/>
    </row>
    <row r="191" ht="17" customHeight="1" spans="1:21" x14ac:dyDescent="0.25">
      <c r="A191" s="75"/>
      <c r="B191" s="79"/>
      <c r="C191" s="80"/>
      <c r="D191" s="79"/>
      <c r="E191" s="79"/>
      <c r="F191" s="79"/>
      <c r="G191" s="82"/>
      <c r="H191" s="79"/>
      <c r="I191" s="79"/>
      <c r="J191" s="79"/>
      <c r="K191" s="79"/>
      <c r="L191" s="86"/>
      <c r="M191" s="86"/>
      <c r="N191" s="79"/>
      <c r="O191" s="79"/>
      <c r="P191" s="78">
        <f>IF($B191="","",IF($N191="Yes","BOUGHT",IF($O191="Yes","IN THE PANTRY","TO BUY")))</f>
      </c>
      <c r="Q191" s="80"/>
      <c r="R191" s="78">
        <f>IF($B191="",0,IF(COUNTIF('GROCERY LIST'!$B$6:$B$205,$B191)&gt;1,1,0))</f>
      </c>
      <c r="S191" s="78">
        <f>IF(OR(N($L191)&gt;0,N($M191)&gt;0),IF($K191="",1,IF(COUNTIF('MASTER BUDGET'!$D$6:$D$25,$K191)=0,1,0)),0)</f>
      </c>
      <c r="T191" s="78">
        <f>IF($H191="",0,IF(COUNTIF('RECIPE INDEX'!$B$6:$B$105,$H191)=0,1,0))</f>
      </c>
      <c r="U191" s="75"/>
    </row>
    <row r="192" ht="17" customHeight="1" spans="1:21" x14ac:dyDescent="0.25">
      <c r="A192" s="75"/>
      <c r="B192" s="79"/>
      <c r="C192" s="80"/>
      <c r="D192" s="79"/>
      <c r="E192" s="79"/>
      <c r="F192" s="79"/>
      <c r="G192" s="82"/>
      <c r="H192" s="79"/>
      <c r="I192" s="79"/>
      <c r="J192" s="79"/>
      <c r="K192" s="79"/>
      <c r="L192" s="86"/>
      <c r="M192" s="86"/>
      <c r="N192" s="79"/>
      <c r="O192" s="79"/>
      <c r="P192" s="78">
        <f>IF($B192="","",IF($N192="Yes","BOUGHT",IF($O192="Yes","IN THE PANTRY","TO BUY")))</f>
      </c>
      <c r="Q192" s="80"/>
      <c r="R192" s="78">
        <f>IF($B192="",0,IF(COUNTIF('GROCERY LIST'!$B$6:$B$205,$B192)&gt;1,1,0))</f>
      </c>
      <c r="S192" s="78">
        <f>IF(OR(N($L192)&gt;0,N($M192)&gt;0),IF($K192="",1,IF(COUNTIF('MASTER BUDGET'!$D$6:$D$25,$K192)=0,1,0)),0)</f>
      </c>
      <c r="T192" s="78">
        <f>IF($H192="",0,IF(COUNTIF('RECIPE INDEX'!$B$6:$B$105,$H192)=0,1,0))</f>
      </c>
      <c r="U192" s="75"/>
    </row>
    <row r="193" ht="17" customHeight="1" spans="1:21" x14ac:dyDescent="0.25">
      <c r="A193" s="75"/>
      <c r="B193" s="79"/>
      <c r="C193" s="80"/>
      <c r="D193" s="79"/>
      <c r="E193" s="79"/>
      <c r="F193" s="79"/>
      <c r="G193" s="82"/>
      <c r="H193" s="79"/>
      <c r="I193" s="79"/>
      <c r="J193" s="79"/>
      <c r="K193" s="79"/>
      <c r="L193" s="86"/>
      <c r="M193" s="86"/>
      <c r="N193" s="79"/>
      <c r="O193" s="79"/>
      <c r="P193" s="78">
        <f>IF($B193="","",IF($N193="Yes","BOUGHT",IF($O193="Yes","IN THE PANTRY","TO BUY")))</f>
      </c>
      <c r="Q193" s="80"/>
      <c r="R193" s="78">
        <f>IF($B193="",0,IF(COUNTIF('GROCERY LIST'!$B$6:$B$205,$B193)&gt;1,1,0))</f>
      </c>
      <c r="S193" s="78">
        <f>IF(OR(N($L193)&gt;0,N($M193)&gt;0),IF($K193="",1,IF(COUNTIF('MASTER BUDGET'!$D$6:$D$25,$K193)=0,1,0)),0)</f>
      </c>
      <c r="T193" s="78">
        <f>IF($H193="",0,IF(COUNTIF('RECIPE INDEX'!$B$6:$B$105,$H193)=0,1,0))</f>
      </c>
      <c r="U193" s="75"/>
    </row>
    <row r="194" ht="17" customHeight="1" spans="1:21" x14ac:dyDescent="0.25">
      <c r="A194" s="75"/>
      <c r="B194" s="79"/>
      <c r="C194" s="80"/>
      <c r="D194" s="79"/>
      <c r="E194" s="79"/>
      <c r="F194" s="79"/>
      <c r="G194" s="82"/>
      <c r="H194" s="79"/>
      <c r="I194" s="79"/>
      <c r="J194" s="79"/>
      <c r="K194" s="79"/>
      <c r="L194" s="86"/>
      <c r="M194" s="86"/>
      <c r="N194" s="79"/>
      <c r="O194" s="79"/>
      <c r="P194" s="78">
        <f>IF($B194="","",IF($N194="Yes","BOUGHT",IF($O194="Yes","IN THE PANTRY","TO BUY")))</f>
      </c>
      <c r="Q194" s="80"/>
      <c r="R194" s="78">
        <f>IF($B194="",0,IF(COUNTIF('GROCERY LIST'!$B$6:$B$205,$B194)&gt;1,1,0))</f>
      </c>
      <c r="S194" s="78">
        <f>IF(OR(N($L194)&gt;0,N($M194)&gt;0),IF($K194="",1,IF(COUNTIF('MASTER BUDGET'!$D$6:$D$25,$K194)=0,1,0)),0)</f>
      </c>
      <c r="T194" s="78">
        <f>IF($H194="",0,IF(COUNTIF('RECIPE INDEX'!$B$6:$B$105,$H194)=0,1,0))</f>
      </c>
      <c r="U194" s="75"/>
    </row>
    <row r="195" ht="17" customHeight="1" spans="1:21" x14ac:dyDescent="0.25">
      <c r="A195" s="75"/>
      <c r="B195" s="79"/>
      <c r="C195" s="80"/>
      <c r="D195" s="79"/>
      <c r="E195" s="79"/>
      <c r="F195" s="79"/>
      <c r="G195" s="82"/>
      <c r="H195" s="79"/>
      <c r="I195" s="79"/>
      <c r="J195" s="79"/>
      <c r="K195" s="79"/>
      <c r="L195" s="86"/>
      <c r="M195" s="86"/>
      <c r="N195" s="79"/>
      <c r="O195" s="79"/>
      <c r="P195" s="78">
        <f>IF($B195="","",IF($N195="Yes","BOUGHT",IF($O195="Yes","IN THE PANTRY","TO BUY")))</f>
      </c>
      <c r="Q195" s="80"/>
      <c r="R195" s="78">
        <f>IF($B195="",0,IF(COUNTIF('GROCERY LIST'!$B$6:$B$205,$B195)&gt;1,1,0))</f>
      </c>
      <c r="S195" s="78">
        <f>IF(OR(N($L195)&gt;0,N($M195)&gt;0),IF($K195="",1,IF(COUNTIF('MASTER BUDGET'!$D$6:$D$25,$K195)=0,1,0)),0)</f>
      </c>
      <c r="T195" s="78">
        <f>IF($H195="",0,IF(COUNTIF('RECIPE INDEX'!$B$6:$B$105,$H195)=0,1,0))</f>
      </c>
      <c r="U195" s="75"/>
    </row>
    <row r="196" ht="17" customHeight="1" spans="1:21" x14ac:dyDescent="0.25">
      <c r="A196" s="75"/>
      <c r="B196" s="79"/>
      <c r="C196" s="80"/>
      <c r="D196" s="79"/>
      <c r="E196" s="79"/>
      <c r="F196" s="79"/>
      <c r="G196" s="82"/>
      <c r="H196" s="79"/>
      <c r="I196" s="79"/>
      <c r="J196" s="79"/>
      <c r="K196" s="79"/>
      <c r="L196" s="86"/>
      <c r="M196" s="86"/>
      <c r="N196" s="79"/>
      <c r="O196" s="79"/>
      <c r="P196" s="78">
        <f>IF($B196="","",IF($N196="Yes","BOUGHT",IF($O196="Yes","IN THE PANTRY","TO BUY")))</f>
      </c>
      <c r="Q196" s="80"/>
      <c r="R196" s="78">
        <f>IF($B196="",0,IF(COUNTIF('GROCERY LIST'!$B$6:$B$205,$B196)&gt;1,1,0))</f>
      </c>
      <c r="S196" s="78">
        <f>IF(OR(N($L196)&gt;0,N($M196)&gt;0),IF($K196="",1,IF(COUNTIF('MASTER BUDGET'!$D$6:$D$25,$K196)=0,1,0)),0)</f>
      </c>
      <c r="T196" s="78">
        <f>IF($H196="",0,IF(COUNTIF('RECIPE INDEX'!$B$6:$B$105,$H196)=0,1,0))</f>
      </c>
      <c r="U196" s="75"/>
    </row>
    <row r="197" ht="17" customHeight="1" spans="1:21" x14ac:dyDescent="0.25">
      <c r="A197" s="75"/>
      <c r="B197" s="79"/>
      <c r="C197" s="80"/>
      <c r="D197" s="79"/>
      <c r="E197" s="79"/>
      <c r="F197" s="79"/>
      <c r="G197" s="82"/>
      <c r="H197" s="79"/>
      <c r="I197" s="79"/>
      <c r="J197" s="79"/>
      <c r="K197" s="79"/>
      <c r="L197" s="86"/>
      <c r="M197" s="86"/>
      <c r="N197" s="79"/>
      <c r="O197" s="79"/>
      <c r="P197" s="78">
        <f>IF($B197="","",IF($N197="Yes","BOUGHT",IF($O197="Yes","IN THE PANTRY","TO BUY")))</f>
      </c>
      <c r="Q197" s="80"/>
      <c r="R197" s="78">
        <f>IF($B197="",0,IF(COUNTIF('GROCERY LIST'!$B$6:$B$205,$B197)&gt;1,1,0))</f>
      </c>
      <c r="S197" s="78">
        <f>IF(OR(N($L197)&gt;0,N($M197)&gt;0),IF($K197="",1,IF(COUNTIF('MASTER BUDGET'!$D$6:$D$25,$K197)=0,1,0)),0)</f>
      </c>
      <c r="T197" s="78">
        <f>IF($H197="",0,IF(COUNTIF('RECIPE INDEX'!$B$6:$B$105,$H197)=0,1,0))</f>
      </c>
      <c r="U197" s="75"/>
    </row>
    <row r="198" ht="17" customHeight="1" spans="1:21" x14ac:dyDescent="0.25">
      <c r="A198" s="75"/>
      <c r="B198" s="79"/>
      <c r="C198" s="80"/>
      <c r="D198" s="79"/>
      <c r="E198" s="79"/>
      <c r="F198" s="79"/>
      <c r="G198" s="82"/>
      <c r="H198" s="79"/>
      <c r="I198" s="79"/>
      <c r="J198" s="79"/>
      <c r="K198" s="79"/>
      <c r="L198" s="86"/>
      <c r="M198" s="86"/>
      <c r="N198" s="79"/>
      <c r="O198" s="79"/>
      <c r="P198" s="78">
        <f>IF($B198="","",IF($N198="Yes","BOUGHT",IF($O198="Yes","IN THE PANTRY","TO BUY")))</f>
      </c>
      <c r="Q198" s="80"/>
      <c r="R198" s="78">
        <f>IF($B198="",0,IF(COUNTIF('GROCERY LIST'!$B$6:$B$205,$B198)&gt;1,1,0))</f>
      </c>
      <c r="S198" s="78">
        <f>IF(OR(N($L198)&gt;0,N($M198)&gt;0),IF($K198="",1,IF(COUNTIF('MASTER BUDGET'!$D$6:$D$25,$K198)=0,1,0)),0)</f>
      </c>
      <c r="T198" s="78">
        <f>IF($H198="",0,IF(COUNTIF('RECIPE INDEX'!$B$6:$B$105,$H198)=0,1,0))</f>
      </c>
      <c r="U198" s="75"/>
    </row>
    <row r="199" ht="17" customHeight="1" spans="1:21" x14ac:dyDescent="0.25">
      <c r="A199" s="75"/>
      <c r="B199" s="79"/>
      <c r="C199" s="80"/>
      <c r="D199" s="79"/>
      <c r="E199" s="79"/>
      <c r="F199" s="79"/>
      <c r="G199" s="82"/>
      <c r="H199" s="79"/>
      <c r="I199" s="79"/>
      <c r="J199" s="79"/>
      <c r="K199" s="79"/>
      <c r="L199" s="86"/>
      <c r="M199" s="86"/>
      <c r="N199" s="79"/>
      <c r="O199" s="79"/>
      <c r="P199" s="78">
        <f>IF($B199="","",IF($N199="Yes","BOUGHT",IF($O199="Yes","IN THE PANTRY","TO BUY")))</f>
      </c>
      <c r="Q199" s="80"/>
      <c r="R199" s="78">
        <f>IF($B199="",0,IF(COUNTIF('GROCERY LIST'!$B$6:$B$205,$B199)&gt;1,1,0))</f>
      </c>
      <c r="S199" s="78">
        <f>IF(OR(N($L199)&gt;0,N($M199)&gt;0),IF($K199="",1,IF(COUNTIF('MASTER BUDGET'!$D$6:$D$25,$K199)=0,1,0)),0)</f>
      </c>
      <c r="T199" s="78">
        <f>IF($H199="",0,IF(COUNTIF('RECIPE INDEX'!$B$6:$B$105,$H199)=0,1,0))</f>
      </c>
      <c r="U199" s="75"/>
    </row>
    <row r="200" ht="17" customHeight="1" spans="1:21" x14ac:dyDescent="0.25">
      <c r="A200" s="75"/>
      <c r="B200" s="79"/>
      <c r="C200" s="80"/>
      <c r="D200" s="79"/>
      <c r="E200" s="79"/>
      <c r="F200" s="79"/>
      <c r="G200" s="82"/>
      <c r="H200" s="79"/>
      <c r="I200" s="79"/>
      <c r="J200" s="79"/>
      <c r="K200" s="79"/>
      <c r="L200" s="86"/>
      <c r="M200" s="86"/>
      <c r="N200" s="79"/>
      <c r="O200" s="79"/>
      <c r="P200" s="78">
        <f>IF($B200="","",IF($N200="Yes","BOUGHT",IF($O200="Yes","IN THE PANTRY","TO BUY")))</f>
      </c>
      <c r="Q200" s="80"/>
      <c r="R200" s="78">
        <f>IF($B200="",0,IF(COUNTIF('GROCERY LIST'!$B$6:$B$205,$B200)&gt;1,1,0))</f>
      </c>
      <c r="S200" s="78">
        <f>IF(OR(N($L200)&gt;0,N($M200)&gt;0),IF($K200="",1,IF(COUNTIF('MASTER BUDGET'!$D$6:$D$25,$K200)=0,1,0)),0)</f>
      </c>
      <c r="T200" s="78">
        <f>IF($H200="",0,IF(COUNTIF('RECIPE INDEX'!$B$6:$B$105,$H200)=0,1,0))</f>
      </c>
      <c r="U200" s="75"/>
    </row>
    <row r="201" ht="17" customHeight="1" spans="1:21" x14ac:dyDescent="0.25">
      <c r="A201" s="75"/>
      <c r="B201" s="79"/>
      <c r="C201" s="80"/>
      <c r="D201" s="79"/>
      <c r="E201" s="79"/>
      <c r="F201" s="79"/>
      <c r="G201" s="82"/>
      <c r="H201" s="79"/>
      <c r="I201" s="79"/>
      <c r="J201" s="79"/>
      <c r="K201" s="79"/>
      <c r="L201" s="86"/>
      <c r="M201" s="86"/>
      <c r="N201" s="79"/>
      <c r="O201" s="79"/>
      <c r="P201" s="78">
        <f>IF($B201="","",IF($N201="Yes","BOUGHT",IF($O201="Yes","IN THE PANTRY","TO BUY")))</f>
      </c>
      <c r="Q201" s="80"/>
      <c r="R201" s="78">
        <f>IF($B201="",0,IF(COUNTIF('GROCERY LIST'!$B$6:$B$205,$B201)&gt;1,1,0))</f>
      </c>
      <c r="S201" s="78">
        <f>IF(OR(N($L201)&gt;0,N($M201)&gt;0),IF($K201="",1,IF(COUNTIF('MASTER BUDGET'!$D$6:$D$25,$K201)=0,1,0)),0)</f>
      </c>
      <c r="T201" s="78">
        <f>IF($H201="",0,IF(COUNTIF('RECIPE INDEX'!$B$6:$B$105,$H201)=0,1,0))</f>
      </c>
      <c r="U201" s="75"/>
    </row>
    <row r="202" ht="17" customHeight="1" spans="1:21" x14ac:dyDescent="0.25">
      <c r="A202" s="75"/>
      <c r="B202" s="79"/>
      <c r="C202" s="80"/>
      <c r="D202" s="79"/>
      <c r="E202" s="79"/>
      <c r="F202" s="79"/>
      <c r="G202" s="82"/>
      <c r="H202" s="79"/>
      <c r="I202" s="79"/>
      <c r="J202" s="79"/>
      <c r="K202" s="79"/>
      <c r="L202" s="86"/>
      <c r="M202" s="86"/>
      <c r="N202" s="79"/>
      <c r="O202" s="79"/>
      <c r="P202" s="78">
        <f>IF($B202="","",IF($N202="Yes","BOUGHT",IF($O202="Yes","IN THE PANTRY","TO BUY")))</f>
      </c>
      <c r="Q202" s="80"/>
      <c r="R202" s="78">
        <f>IF($B202="",0,IF(COUNTIF('GROCERY LIST'!$B$6:$B$205,$B202)&gt;1,1,0))</f>
      </c>
      <c r="S202" s="78">
        <f>IF(OR(N($L202)&gt;0,N($M202)&gt;0),IF($K202="",1,IF(COUNTIF('MASTER BUDGET'!$D$6:$D$25,$K202)=0,1,0)),0)</f>
      </c>
      <c r="T202" s="78">
        <f>IF($H202="",0,IF(COUNTIF('RECIPE INDEX'!$B$6:$B$105,$H202)=0,1,0))</f>
      </c>
      <c r="U202" s="75"/>
    </row>
    <row r="203" ht="17" customHeight="1" spans="1:21" x14ac:dyDescent="0.25">
      <c r="A203" s="75"/>
      <c r="B203" s="79"/>
      <c r="C203" s="80"/>
      <c r="D203" s="79"/>
      <c r="E203" s="79"/>
      <c r="F203" s="79"/>
      <c r="G203" s="82"/>
      <c r="H203" s="79"/>
      <c r="I203" s="79"/>
      <c r="J203" s="79"/>
      <c r="K203" s="79"/>
      <c r="L203" s="86"/>
      <c r="M203" s="86"/>
      <c r="N203" s="79"/>
      <c r="O203" s="79"/>
      <c r="P203" s="78">
        <f>IF($B203="","",IF($N203="Yes","BOUGHT",IF($O203="Yes","IN THE PANTRY","TO BUY")))</f>
      </c>
      <c r="Q203" s="80"/>
      <c r="R203" s="78">
        <f>IF($B203="",0,IF(COUNTIF('GROCERY LIST'!$B$6:$B$205,$B203)&gt;1,1,0))</f>
      </c>
      <c r="S203" s="78">
        <f>IF(OR(N($L203)&gt;0,N($M203)&gt;0),IF($K203="",1,IF(COUNTIF('MASTER BUDGET'!$D$6:$D$25,$K203)=0,1,0)),0)</f>
      </c>
      <c r="T203" s="78">
        <f>IF($H203="",0,IF(COUNTIF('RECIPE INDEX'!$B$6:$B$105,$H203)=0,1,0))</f>
      </c>
      <c r="U203" s="75"/>
    </row>
    <row r="204" ht="17" customHeight="1" spans="1:21" x14ac:dyDescent="0.25">
      <c r="A204" s="75"/>
      <c r="B204" s="79"/>
      <c r="C204" s="80"/>
      <c r="D204" s="79"/>
      <c r="E204" s="79"/>
      <c r="F204" s="79"/>
      <c r="G204" s="82"/>
      <c r="H204" s="79"/>
      <c r="I204" s="79"/>
      <c r="J204" s="79"/>
      <c r="K204" s="79"/>
      <c r="L204" s="86"/>
      <c r="M204" s="86"/>
      <c r="N204" s="79"/>
      <c r="O204" s="79"/>
      <c r="P204" s="78">
        <f>IF($B204="","",IF($N204="Yes","BOUGHT",IF($O204="Yes","IN THE PANTRY","TO BUY")))</f>
      </c>
      <c r="Q204" s="80"/>
      <c r="R204" s="78">
        <f>IF($B204="",0,IF(COUNTIF('GROCERY LIST'!$B$6:$B$205,$B204)&gt;1,1,0))</f>
      </c>
      <c r="S204" s="78">
        <f>IF(OR(N($L204)&gt;0,N($M204)&gt;0),IF($K204="",1,IF(COUNTIF('MASTER BUDGET'!$D$6:$D$25,$K204)=0,1,0)),0)</f>
      </c>
      <c r="T204" s="78">
        <f>IF($H204="",0,IF(COUNTIF('RECIPE INDEX'!$B$6:$B$105,$H204)=0,1,0))</f>
      </c>
      <c r="U204" s="75"/>
    </row>
    <row r="205" ht="17" customHeight="1" spans="1:21" x14ac:dyDescent="0.25">
      <c r="A205" s="75"/>
      <c r="B205" s="79"/>
      <c r="C205" s="80"/>
      <c r="D205" s="79"/>
      <c r="E205" s="79"/>
      <c r="F205" s="79"/>
      <c r="G205" s="82"/>
      <c r="H205" s="79"/>
      <c r="I205" s="79"/>
      <c r="J205" s="79"/>
      <c r="K205" s="79"/>
      <c r="L205" s="86"/>
      <c r="M205" s="86"/>
      <c r="N205" s="79"/>
      <c r="O205" s="79"/>
      <c r="P205" s="78">
        <f>IF($B205="","",IF($N205="Yes","BOUGHT",IF($O205="Yes","IN THE PANTRY","TO BUY")))</f>
      </c>
      <c r="Q205" s="80"/>
      <c r="R205" s="78">
        <f>IF($B205="",0,IF(COUNTIF('GROCERY LIST'!$B$6:$B$205,$B205)&gt;1,1,0))</f>
      </c>
      <c r="S205" s="78">
        <f>IF(OR(N($L205)&gt;0,N($M205)&gt;0),IF($K205="",1,IF(COUNTIF('MASTER BUDGET'!$D$6:$D$25,$K205)=0,1,0)),0)</f>
      </c>
      <c r="T205" s="78">
        <f>IF($H205="",0,IF(COUNTIF('RECIPE INDEX'!$B$6:$B$105,$H205)=0,1,0))</f>
      </c>
      <c r="U205" s="75"/>
    </row>
    <row r="207" spans="2:2" x14ac:dyDescent="0.25">
      <c r="B207" s="91" t="s">
        <v>642</v>
      </c>
    </row>
  </sheetData>
  <autoFilter ref="B5:T205"/>
  <mergeCells count="1">
    <mergeCell ref="B1:C1"/>
  </mergeCells>
  <conditionalFormatting sqref="P6:P205">
    <cfRule type="containsText" dxfId="375" priority="1">
      <formula>NOT(ISERROR(SEARCH("OVER BUDGET",P6)))</formula>
    </cfRule>
  </conditionalFormatting>
  <conditionalFormatting sqref="P6:P205">
    <cfRule type="containsText" dxfId="376" priority="2">
      <formula>NOT(ISERROR(SEARCH("OVERDUE",P6)))</formula>
    </cfRule>
  </conditionalFormatting>
  <conditionalFormatting sqref="P6:P205">
    <cfRule type="containsText" dxfId="377" priority="3">
      <formula>NOT(ISERROR(SEARCH("LATE",P6)))</formula>
    </cfRule>
  </conditionalFormatting>
  <conditionalFormatting sqref="P6:P205">
    <cfRule type="containsText" dxfId="378" priority="4">
      <formula>NOT(ISERROR(SEARCH("WINDOW CLOSED",P6)))</formula>
    </cfRule>
  </conditionalFormatting>
  <conditionalFormatting sqref="P6:P205">
    <cfRule type="containsText" dxfId="379" priority="5">
      <formula>NOT(ISERROR(SEARCH("BALANCE OVERDUE",P6)))</formula>
    </cfRule>
  </conditionalFormatting>
  <conditionalFormatting sqref="P6:P205">
    <cfRule type="containsText" dxfId="380" priority="6">
      <formula>NOT(ISERROR(SEARCH("PREP OVERDUE",P6)))</formula>
    </cfRule>
  </conditionalFormatting>
  <conditionalFormatting sqref="P6:P205">
    <cfRule type="containsText" dxfId="381" priority="7">
      <formula>NOT(ISERROR(SEARCH("CHECK DUPLICATE",P6)))</formula>
    </cfRule>
  </conditionalFormatting>
  <conditionalFormatting sqref="P6:P205">
    <cfRule type="containsText" dxfId="382" priority="8">
      <formula>NOT(ISERROR(SEARCH("MISSING DATE",P6)))</formula>
    </cfRule>
  </conditionalFormatting>
  <conditionalFormatting sqref="P6:P205">
    <cfRule type="containsText" dxfId="383" priority="9">
      <formula>NOT(ISERROR(SEARCH("NOT FOUND",P6)))</formula>
    </cfRule>
  </conditionalFormatting>
  <conditionalFormatting sqref="P6:P205">
    <cfRule type="containsText" dxfId="384" priority="10">
      <formula>NOT(ISERROR(SEARCH("NEAR LIMIT",P6)))</formula>
    </cfRule>
  </conditionalFormatting>
  <conditionalFormatting sqref="P6:P205">
    <cfRule type="containsText" dxfId="385" priority="11">
      <formula>NOT(ISERROR(SEARCH("THIS WEEK",P6)))</formula>
    </cfRule>
  </conditionalFormatting>
  <conditionalFormatting sqref="P6:P205">
    <cfRule type="containsText" dxfId="386" priority="12">
      <formula>NOT(ISERROR(SEARCH("CLOSING SOON",P6)))</formula>
    </cfRule>
  </conditionalFormatting>
  <conditionalFormatting sqref="P6:P205">
    <cfRule type="containsText" dxfId="387" priority="13">
      <formula>NOT(ISERROR(SEARCH("NO TRACKING",P6)))</formula>
    </cfRule>
  </conditionalFormatting>
  <conditionalFormatting sqref="P6:P205">
    <cfRule type="containsText" dxfId="388" priority="14">
      <formula>NOT(ISERROR(SEARCH("LOW",P6)))</formula>
    </cfRule>
  </conditionalFormatting>
  <conditionalFormatting sqref="P6:P205">
    <cfRule type="containsText" dxfId="389" priority="15">
      <formula>NOT(ISERROR(SEARCH("AWAITING REFUND",P6)))</formula>
    </cfRule>
  </conditionalFormatting>
  <conditionalFormatting sqref="P6:P205">
    <cfRule type="containsText" dxfId="390" priority="16">
      <formula>NOT(ISERROR(SEARCH("BALANCE DUE SOON",P6)))</formula>
    </cfRule>
  </conditionalFormatting>
  <conditionalFormatting sqref="P6:P205">
    <cfRule type="containsText" dxfId="391" priority="17">
      <formula>NOT(ISERROR(SEARCH("TO BUY",P6)))</formula>
    </cfRule>
  </conditionalFormatting>
  <conditionalFormatting sqref="P6:P205">
    <cfRule type="containsText" dxfId="392" priority="18">
      <formula>NOT(ISERROR(SEARCH("NO DATE",P6)))</formula>
    </cfRule>
  </conditionalFormatting>
  <conditionalFormatting sqref="P6:P205">
    <cfRule type="containsText" dxfId="393" priority="19">
      <formula>NOT(ISERROR(SEARCH("NO COUNT",P6)))</formula>
    </cfRule>
  </conditionalFormatting>
  <conditionalFormatting sqref="P6:P205">
    <cfRule type="containsText" dxfId="394" priority="20">
      <formula>NOT(ISERROR(SEARCH("ON TRACK",P6)))</formula>
    </cfRule>
  </conditionalFormatting>
  <conditionalFormatting sqref="P6:P205">
    <cfRule type="containsText" dxfId="395" priority="21">
      <formula>NOT(ISERROR(SEARCH("COMPLETE",P6)))</formula>
    </cfRule>
  </conditionalFormatting>
  <conditionalFormatting sqref="P6:P205">
    <cfRule type="containsText" dxfId="396" priority="22">
      <formula>NOT(ISERROR(SEARCH("DONE",P6)))</formula>
    </cfRule>
  </conditionalFormatting>
  <conditionalFormatting sqref="P6:P205">
    <cfRule type="containsText" dxfId="397" priority="23">
      <formula>NOT(ISERROR(SEARCH("ARRIVED",P6)))</formula>
    </cfRule>
  </conditionalFormatting>
  <conditionalFormatting sqref="P6:P205">
    <cfRule type="containsText" dxfId="398" priority="24">
      <formula>NOT(ISERROR(SEARCH("SETTLED",P6)))</formula>
    </cfRule>
  </conditionalFormatting>
  <conditionalFormatting sqref="P6:P205">
    <cfRule type="containsText" dxfId="399" priority="25">
      <formula>NOT(ISERROR(SEARCH("AT BUDGET",P6)))</formula>
    </cfRule>
  </conditionalFormatting>
  <conditionalFormatting sqref="P6:P205">
    <cfRule type="containsText" dxfId="400" priority="26">
      <formula>NOT(ISERROR(SEARCH("IN STOCK",P6)))</formula>
    </cfRule>
  </conditionalFormatting>
  <conditionalFormatting sqref="P6:P205">
    <cfRule type="containsText" dxfId="401" priority="27">
      <formula>NOT(ISERROR(SEARCH("BOUGHT",P6)))</formula>
    </cfRule>
  </conditionalFormatting>
  <conditionalFormatting sqref="P6:P205">
    <cfRule type="containsText" dxfId="402" priority="28">
      <formula>NOT(ISERROR(SEARCH("READY",P6)))</formula>
    </cfRule>
  </conditionalFormatting>
  <conditionalFormatting sqref="P6:P205">
    <cfRule type="containsText" dxfId="403" priority="29">
      <formula>NOT(ISERROR(SEARCH("NOT SET",P6)))</formula>
    </cfRule>
  </conditionalFormatting>
  <conditionalFormatting sqref="P6:P205">
    <cfRule type="containsText" dxfId="404" priority="30">
      <formula>NOT(ISERROR(SEARCH("NOT STARTED",P6)))</formula>
    </cfRule>
  </conditionalFormatting>
  <conditionalFormatting sqref="P6:P205">
    <cfRule type="containsText" dxfId="405" priority="31">
      <formula>NOT(ISERROR(SEARCH("SCHEDULED",P6)))</formula>
    </cfRule>
  </conditionalFormatting>
  <conditionalFormatting sqref="P6:P205">
    <cfRule type="containsText" dxfId="406" priority="32">
      <formula>NOT(ISERROR(SEARCH("CLOSED",P6)))</formula>
    </cfRule>
  </conditionalFormatting>
  <conditionalFormatting sqref="P6:P205">
    <cfRule type="containsText" dxfId="407" priority="33">
      <formula>NOT(ISERROR(SEARCH("IN THE PANTRY",P6)))</formula>
    </cfRule>
  </conditionalFormatting>
  <conditionalFormatting sqref="P6:P205">
    <cfRule type="containsText" dxfId="408" priority="34">
      <formula>NOT(ISERROR(SEARCH("BALANCE OPEN",P6)))</formula>
    </cfRule>
  </conditionalFormatting>
  <dataValidations count="7">
    <dataValidation type="list" allowBlank="1" showErrorMessage="1" errorStyle="warning" errorTitle="Not one of the usual values" error="This column normally uses a value from the GroceryCategory list on LISTS. You can keep what you typed, or add it to the list so it appears in the dropdown." sqref="D6:D205">
      <formula1>=List_GroceryCategory</formula1>
    </dataValidation>
    <dataValidation type="custom" allowBlank="1" showErrorMessage="1" errorStyle="warning" errorTitle="That is not a date yet" error="Type a real date, so the workbook can count days with it. &quot;Before Christmas&quot; cannot be sorted." sqref="G6:G205">
      <formula1>=OR(G6="",ISNUMBER(G6))</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K6:K205">
      <formula1>=List_BudgetCategory</formula1>
    </dataValidation>
    <dataValidation type="custom" allowBlank="1" showErrorMessage="1" errorStyle="warning" errorTitle="That looks like text" error="Type the number on its own — no currency symbol and no words. The column adds the symbol for you." sqref="L6:L205">
      <formula1>=OR(L6="",ISNUMBER(L6))</formula1>
    </dataValidation>
    <dataValidation type="custom" allowBlank="1" showErrorMessage="1" errorStyle="warning" errorTitle="That looks like text" error="Type the number on its own — no currency symbol and no words. The column adds the symbol for you." sqref="M6:M205">
      <formula1>=OR(M6="",ISNUMBER(M6))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N6:N205">
      <formula1>=List_YesNo</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O6:O20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&amp;LGROCERY LIST&amp;C&amp;P of &amp;N&amp;RThe Christmas Season Master Command Center™</oddFooter>
  </headerFooter>
  <legacyDrawing r:id="rId7"/>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O105"/>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2" max="2" width="11" customWidth="1"/>
    <col min="3" max="3" width="30" customWidth="1"/>
    <col min="4" max="4" width="32" customWidth="1"/>
    <col min="5" max="5" width="22" customWidth="1"/>
    <col min="6" max="6" width="13" customWidth="1"/>
    <col min="7" max="7" width="14" customWidth="1"/>
    <col min="8" max="9" width="13" customWidth="1"/>
    <col min="10" max="10" width="15" customWidth="1"/>
    <col min="11" max="11" width="11" customWidth="1"/>
    <col min="12" max="12" width="13" customWidth="1"/>
    <col min="13" max="13" width="34" customWidth="1"/>
    <col min="14" max="14" width="18" hidden="1" customWidth="1"/>
    <col min="15" max="15" width="2" customWidth="1"/>
  </cols>
  <sheetData>
    <row r="1" ht="21" customHeight="1" spans="1:15" x14ac:dyDescent="0.25">
      <c r="A1" s="62"/>
      <c r="B1" s="63" t="s">
        <v>8</v>
      </c>
      <c r="C1" s="63"/>
      <c r="D1" s="63" t="s">
        <v>9</v>
      </c>
      <c r="E1" s="63" t="s">
        <v>10</v>
      </c>
      <c r="F1" s="63" t="s">
        <v>11</v>
      </c>
      <c r="G1" s="63" t="s">
        <v>12</v>
      </c>
      <c r="H1" s="62"/>
      <c r="I1" s="62"/>
      <c r="J1" s="62"/>
      <c r="K1" s="62"/>
      <c r="L1" s="62"/>
      <c r="M1" s="62"/>
      <c r="N1" s="62"/>
      <c r="O1" s="62"/>
    </row>
    <row r="2" ht="34" customHeight="1" spans="1:15" x14ac:dyDescent="0.25">
      <c r="A2" s="64"/>
      <c r="B2" s="65" t="s">
        <v>643</v>
      </c>
      <c r="C2" s="64"/>
      <c r="D2" s="64"/>
      <c r="E2" s="64"/>
      <c r="F2" s="64"/>
      <c r="G2" s="64"/>
      <c r="H2" s="64"/>
      <c r="I2" s="64"/>
      <c r="J2" s="64"/>
      <c r="K2" s="64"/>
      <c r="L2" s="64"/>
      <c r="M2" s="64"/>
      <c r="N2" s="64"/>
      <c r="O2" s="64"/>
    </row>
    <row r="3" ht="18" customHeight="1" spans="1:15" x14ac:dyDescent="0.25">
      <c r="A3" s="64"/>
      <c r="B3" s="66" t="s">
        <v>644</v>
      </c>
      <c r="C3" s="64"/>
      <c r="D3" s="64"/>
      <c r="E3" s="64"/>
      <c r="F3" s="64"/>
      <c r="G3" s="64"/>
      <c r="H3" s="64"/>
      <c r="I3" s="64"/>
      <c r="J3" s="64"/>
      <c r="K3" s="64"/>
      <c r="L3" s="64"/>
      <c r="M3" s="64"/>
      <c r="N3" s="64"/>
      <c r="O3" s="64"/>
    </row>
    <row r="4" ht="17" customHeight="1" spans="1:15" x14ac:dyDescent="0.25">
      <c r="A4" s="64"/>
      <c r="B4" s="67" t="s">
        <v>160</v>
      </c>
      <c r="C4" s="64"/>
      <c r="D4" s="64"/>
      <c r="E4" s="64"/>
      <c r="F4" s="64"/>
      <c r="G4" s="64"/>
      <c r="H4" s="64"/>
      <c r="I4" s="64"/>
      <c r="J4" s="64"/>
      <c r="K4" s="64"/>
      <c r="L4" s="64"/>
      <c r="M4" s="64"/>
      <c r="N4" s="64"/>
      <c r="O4" s="64"/>
    </row>
    <row r="5" ht="32" customHeight="1" spans="1:15" x14ac:dyDescent="0.25">
      <c r="A5" s="73"/>
      <c r="B5" s="74" t="s">
        <v>592</v>
      </c>
      <c r="C5" s="74" t="s">
        <v>593</v>
      </c>
      <c r="D5" s="74" t="s">
        <v>645</v>
      </c>
      <c r="E5" s="74" t="s">
        <v>646</v>
      </c>
      <c r="F5" s="74" t="s">
        <v>589</v>
      </c>
      <c r="G5" s="74" t="s">
        <v>647</v>
      </c>
      <c r="H5" s="74" t="s">
        <v>648</v>
      </c>
      <c r="I5" s="74" t="s">
        <v>649</v>
      </c>
      <c r="J5" s="74" t="s">
        <v>597</v>
      </c>
      <c r="K5" s="74" t="s">
        <v>650</v>
      </c>
      <c r="L5" s="74" t="s">
        <v>651</v>
      </c>
      <c r="M5" s="74" t="s">
        <v>179</v>
      </c>
      <c r="N5" s="74" t="s">
        <v>180</v>
      </c>
      <c r="O5" s="73"/>
    </row>
    <row r="6" ht="17" customHeight="1" spans="1:15" x14ac:dyDescent="0.25">
      <c r="A6" s="75"/>
      <c r="B6" s="76" t="s">
        <v>603</v>
      </c>
      <c r="C6" s="77" t="s">
        <v>601</v>
      </c>
      <c r="D6" s="77" t="s">
        <v>652</v>
      </c>
      <c r="E6" s="76" t="s">
        <v>653</v>
      </c>
      <c r="F6" s="76" t="s">
        <v>602</v>
      </c>
      <c r="G6" s="76" t="s">
        <v>654</v>
      </c>
      <c r="H6" s="76" t="s">
        <v>655</v>
      </c>
      <c r="I6" s="76" t="s">
        <v>656</v>
      </c>
      <c r="J6" s="76" t="s">
        <v>379</v>
      </c>
      <c r="K6" s="76" t="s">
        <v>194</v>
      </c>
      <c r="L6" s="76" t="s">
        <v>28</v>
      </c>
      <c r="M6" s="77" t="s">
        <v>186</v>
      </c>
      <c r="N6" s="78">
        <f>IF($B6="",0,IF(COUNTIF('RECIPE INDEX'!$B$6:$B$105,$B6)&gt;1,1,0))</f>
      </c>
      <c r="O6" s="75"/>
    </row>
    <row r="7" ht="17" customHeight="1" spans="1:15" x14ac:dyDescent="0.25">
      <c r="A7" s="75"/>
      <c r="B7" s="76" t="s">
        <v>608</v>
      </c>
      <c r="C7" s="77" t="s">
        <v>606</v>
      </c>
      <c r="D7" s="77" t="s">
        <v>657</v>
      </c>
      <c r="E7" s="76" t="s">
        <v>658</v>
      </c>
      <c r="F7" s="76" t="s">
        <v>659</v>
      </c>
      <c r="G7" s="76" t="s">
        <v>654</v>
      </c>
      <c r="H7" s="76" t="s">
        <v>660</v>
      </c>
      <c r="I7" s="76" t="s">
        <v>661</v>
      </c>
      <c r="J7" s="76" t="s">
        <v>610</v>
      </c>
      <c r="K7" s="76" t="s">
        <v>185</v>
      </c>
      <c r="L7" s="76" t="s">
        <v>25</v>
      </c>
      <c r="M7" s="77" t="s">
        <v>186</v>
      </c>
      <c r="N7" s="78">
        <f>IF($B7="",0,IF(COUNTIF('RECIPE INDEX'!$B$6:$B$105,$B7)&gt;1,1,0))</f>
      </c>
      <c r="O7" s="75"/>
    </row>
    <row r="8" ht="17" customHeight="1" spans="1:15" x14ac:dyDescent="0.25">
      <c r="A8" s="75"/>
      <c r="B8" s="76" t="s">
        <v>615</v>
      </c>
      <c r="C8" s="77" t="s">
        <v>662</v>
      </c>
      <c r="D8" s="77" t="s">
        <v>663</v>
      </c>
      <c r="E8" s="76" t="s">
        <v>664</v>
      </c>
      <c r="F8" s="76" t="s">
        <v>614</v>
      </c>
      <c r="G8" s="76" t="s">
        <v>665</v>
      </c>
      <c r="H8" s="76" t="s">
        <v>661</v>
      </c>
      <c r="I8" s="76" t="s">
        <v>666</v>
      </c>
      <c r="J8" s="76" t="s">
        <v>617</v>
      </c>
      <c r="K8" s="76" t="s">
        <v>185</v>
      </c>
      <c r="L8" s="76" t="s">
        <v>28</v>
      </c>
      <c r="M8" s="77" t="s">
        <v>186</v>
      </c>
      <c r="N8" s="78">
        <f>IF($B8="",0,IF(COUNTIF('RECIPE INDEX'!$B$6:$B$105,$B8)&gt;1,1,0))</f>
      </c>
      <c r="O8" s="75"/>
    </row>
    <row r="9" ht="17" customHeight="1" spans="1:15" x14ac:dyDescent="0.25">
      <c r="A9" s="75"/>
      <c r="B9" s="79"/>
      <c r="C9" s="80"/>
      <c r="D9" s="80"/>
      <c r="E9" s="79"/>
      <c r="F9" s="79"/>
      <c r="G9" s="79"/>
      <c r="H9" s="79"/>
      <c r="I9" s="79"/>
      <c r="J9" s="79"/>
      <c r="K9" s="79"/>
      <c r="L9" s="79"/>
      <c r="M9" s="80"/>
      <c r="N9" s="78">
        <f>IF($B9="",0,IF(COUNTIF('RECIPE INDEX'!$B$6:$B$105,$B9)&gt;1,1,0))</f>
      </c>
      <c r="O9" s="75"/>
    </row>
    <row r="10" ht="17" customHeight="1" spans="1:15" x14ac:dyDescent="0.25">
      <c r="A10" s="75"/>
      <c r="B10" s="79"/>
      <c r="C10" s="80"/>
      <c r="D10" s="80"/>
      <c r="E10" s="79"/>
      <c r="F10" s="79"/>
      <c r="G10" s="79"/>
      <c r="H10" s="79"/>
      <c r="I10" s="79"/>
      <c r="J10" s="79"/>
      <c r="K10" s="79"/>
      <c r="L10" s="79"/>
      <c r="M10" s="80"/>
      <c r="N10" s="78">
        <f>IF($B10="",0,IF(COUNTIF('RECIPE INDEX'!$B$6:$B$105,$B10)&gt;1,1,0))</f>
      </c>
      <c r="O10" s="75"/>
    </row>
    <row r="11" ht="17" customHeight="1" spans="1:15" x14ac:dyDescent="0.25">
      <c r="A11" s="75"/>
      <c r="B11" s="79"/>
      <c r="C11" s="80"/>
      <c r="D11" s="80"/>
      <c r="E11" s="79"/>
      <c r="F11" s="79"/>
      <c r="G11" s="79"/>
      <c r="H11" s="79"/>
      <c r="I11" s="79"/>
      <c r="J11" s="79"/>
      <c r="K11" s="79"/>
      <c r="L11" s="79"/>
      <c r="M11" s="80"/>
      <c r="N11" s="78">
        <f>IF($B11="",0,IF(COUNTIF('RECIPE INDEX'!$B$6:$B$105,$B11)&gt;1,1,0))</f>
      </c>
      <c r="O11" s="75"/>
    </row>
    <row r="12" ht="17" customHeight="1" spans="1:15" x14ac:dyDescent="0.25">
      <c r="A12" s="75"/>
      <c r="B12" s="79"/>
      <c r="C12" s="80"/>
      <c r="D12" s="80"/>
      <c r="E12" s="79"/>
      <c r="F12" s="79"/>
      <c r="G12" s="79"/>
      <c r="H12" s="79"/>
      <c r="I12" s="79"/>
      <c r="J12" s="79"/>
      <c r="K12" s="79"/>
      <c r="L12" s="79"/>
      <c r="M12" s="80"/>
      <c r="N12" s="78">
        <f>IF($B12="",0,IF(COUNTIF('RECIPE INDEX'!$B$6:$B$105,$B12)&gt;1,1,0))</f>
      </c>
      <c r="O12" s="75"/>
    </row>
    <row r="13" ht="17" customHeight="1" spans="1:15" x14ac:dyDescent="0.25">
      <c r="A13" s="75"/>
      <c r="B13" s="79"/>
      <c r="C13" s="80"/>
      <c r="D13" s="80"/>
      <c r="E13" s="79"/>
      <c r="F13" s="79"/>
      <c r="G13" s="79"/>
      <c r="H13" s="79"/>
      <c r="I13" s="79"/>
      <c r="J13" s="79"/>
      <c r="K13" s="79"/>
      <c r="L13" s="79"/>
      <c r="M13" s="80"/>
      <c r="N13" s="78">
        <f>IF($B13="",0,IF(COUNTIF('RECIPE INDEX'!$B$6:$B$105,$B13)&gt;1,1,0))</f>
      </c>
      <c r="O13" s="75"/>
    </row>
    <row r="14" ht="17" customHeight="1" spans="1:15" x14ac:dyDescent="0.25">
      <c r="A14" s="75"/>
      <c r="B14" s="79"/>
      <c r="C14" s="80"/>
      <c r="D14" s="80"/>
      <c r="E14" s="79"/>
      <c r="F14" s="79"/>
      <c r="G14" s="79"/>
      <c r="H14" s="79"/>
      <c r="I14" s="79"/>
      <c r="J14" s="79"/>
      <c r="K14" s="79"/>
      <c r="L14" s="79"/>
      <c r="M14" s="80"/>
      <c r="N14" s="78">
        <f>IF($B14="",0,IF(COUNTIF('RECIPE INDEX'!$B$6:$B$105,$B14)&gt;1,1,0))</f>
      </c>
      <c r="O14" s="75"/>
    </row>
    <row r="15" ht="17" customHeight="1" spans="1:15" x14ac:dyDescent="0.25">
      <c r="A15" s="75"/>
      <c r="B15" s="79"/>
      <c r="C15" s="80"/>
      <c r="D15" s="80"/>
      <c r="E15" s="79"/>
      <c r="F15" s="79"/>
      <c r="G15" s="79"/>
      <c r="H15" s="79"/>
      <c r="I15" s="79"/>
      <c r="J15" s="79"/>
      <c r="K15" s="79"/>
      <c r="L15" s="79"/>
      <c r="M15" s="80"/>
      <c r="N15" s="78">
        <f>IF($B15="",0,IF(COUNTIF('RECIPE INDEX'!$B$6:$B$105,$B15)&gt;1,1,0))</f>
      </c>
      <c r="O15" s="75"/>
    </row>
    <row r="16" ht="17" customHeight="1" spans="1:15" x14ac:dyDescent="0.25">
      <c r="A16" s="75"/>
      <c r="B16" s="79"/>
      <c r="C16" s="80"/>
      <c r="D16" s="80"/>
      <c r="E16" s="79"/>
      <c r="F16" s="79"/>
      <c r="G16" s="79"/>
      <c r="H16" s="79"/>
      <c r="I16" s="79"/>
      <c r="J16" s="79"/>
      <c r="K16" s="79"/>
      <c r="L16" s="79"/>
      <c r="M16" s="80"/>
      <c r="N16" s="78">
        <f>IF($B16="",0,IF(COUNTIF('RECIPE INDEX'!$B$6:$B$105,$B16)&gt;1,1,0))</f>
      </c>
      <c r="O16" s="75"/>
    </row>
    <row r="17" ht="17" customHeight="1" spans="1:15" x14ac:dyDescent="0.25">
      <c r="A17" s="75"/>
      <c r="B17" s="79"/>
      <c r="C17" s="80"/>
      <c r="D17" s="80"/>
      <c r="E17" s="79"/>
      <c r="F17" s="79"/>
      <c r="G17" s="79"/>
      <c r="H17" s="79"/>
      <c r="I17" s="79"/>
      <c r="J17" s="79"/>
      <c r="K17" s="79"/>
      <c r="L17" s="79"/>
      <c r="M17" s="80"/>
      <c r="N17" s="78">
        <f>IF($B17="",0,IF(COUNTIF('RECIPE INDEX'!$B$6:$B$105,$B17)&gt;1,1,0))</f>
      </c>
      <c r="O17" s="75"/>
    </row>
    <row r="18" ht="17" customHeight="1" spans="1:15" x14ac:dyDescent="0.25">
      <c r="A18" s="75"/>
      <c r="B18" s="79"/>
      <c r="C18" s="80"/>
      <c r="D18" s="80"/>
      <c r="E18" s="79"/>
      <c r="F18" s="79"/>
      <c r="G18" s="79"/>
      <c r="H18" s="79"/>
      <c r="I18" s="79"/>
      <c r="J18" s="79"/>
      <c r="K18" s="79"/>
      <c r="L18" s="79"/>
      <c r="M18" s="80"/>
      <c r="N18" s="78">
        <f>IF($B18="",0,IF(COUNTIF('RECIPE INDEX'!$B$6:$B$105,$B18)&gt;1,1,0))</f>
      </c>
      <c r="O18" s="75"/>
    </row>
    <row r="19" ht="17" customHeight="1" spans="1:15" x14ac:dyDescent="0.25">
      <c r="A19" s="75"/>
      <c r="B19" s="79"/>
      <c r="C19" s="80"/>
      <c r="D19" s="80"/>
      <c r="E19" s="79"/>
      <c r="F19" s="79"/>
      <c r="G19" s="79"/>
      <c r="H19" s="79"/>
      <c r="I19" s="79"/>
      <c r="J19" s="79"/>
      <c r="K19" s="79"/>
      <c r="L19" s="79"/>
      <c r="M19" s="80"/>
      <c r="N19" s="78">
        <f>IF($B19="",0,IF(COUNTIF('RECIPE INDEX'!$B$6:$B$105,$B19)&gt;1,1,0))</f>
      </c>
      <c r="O19" s="75"/>
    </row>
    <row r="20" ht="17" customHeight="1" spans="1:15" x14ac:dyDescent="0.25">
      <c r="A20" s="75"/>
      <c r="B20" s="79"/>
      <c r="C20" s="80"/>
      <c r="D20" s="80"/>
      <c r="E20" s="79"/>
      <c r="F20" s="79"/>
      <c r="G20" s="79"/>
      <c r="H20" s="79"/>
      <c r="I20" s="79"/>
      <c r="J20" s="79"/>
      <c r="K20" s="79"/>
      <c r="L20" s="79"/>
      <c r="M20" s="80"/>
      <c r="N20" s="78">
        <f>IF($B20="",0,IF(COUNTIF('RECIPE INDEX'!$B$6:$B$105,$B20)&gt;1,1,0))</f>
      </c>
      <c r="O20" s="75"/>
    </row>
    <row r="21" ht="17" customHeight="1" spans="1:15" x14ac:dyDescent="0.25">
      <c r="A21" s="75"/>
      <c r="B21" s="79"/>
      <c r="C21" s="80"/>
      <c r="D21" s="80"/>
      <c r="E21" s="79"/>
      <c r="F21" s="79"/>
      <c r="G21" s="79"/>
      <c r="H21" s="79"/>
      <c r="I21" s="79"/>
      <c r="J21" s="79"/>
      <c r="K21" s="79"/>
      <c r="L21" s="79"/>
      <c r="M21" s="80"/>
      <c r="N21" s="78">
        <f>IF($B21="",0,IF(COUNTIF('RECIPE INDEX'!$B$6:$B$105,$B21)&gt;1,1,0))</f>
      </c>
      <c r="O21" s="75"/>
    </row>
    <row r="22" ht="17" customHeight="1" spans="1:15" x14ac:dyDescent="0.25">
      <c r="A22" s="75"/>
      <c r="B22" s="79"/>
      <c r="C22" s="80"/>
      <c r="D22" s="80"/>
      <c r="E22" s="79"/>
      <c r="F22" s="79"/>
      <c r="G22" s="79"/>
      <c r="H22" s="79"/>
      <c r="I22" s="79"/>
      <c r="J22" s="79"/>
      <c r="K22" s="79"/>
      <c r="L22" s="79"/>
      <c r="M22" s="80"/>
      <c r="N22" s="78">
        <f>IF($B22="",0,IF(COUNTIF('RECIPE INDEX'!$B$6:$B$105,$B22)&gt;1,1,0))</f>
      </c>
      <c r="O22" s="75"/>
    </row>
    <row r="23" ht="17" customHeight="1" spans="1:15" x14ac:dyDescent="0.25">
      <c r="A23" s="75"/>
      <c r="B23" s="79"/>
      <c r="C23" s="80"/>
      <c r="D23" s="80"/>
      <c r="E23" s="79"/>
      <c r="F23" s="79"/>
      <c r="G23" s="79"/>
      <c r="H23" s="79"/>
      <c r="I23" s="79"/>
      <c r="J23" s="79"/>
      <c r="K23" s="79"/>
      <c r="L23" s="79"/>
      <c r="M23" s="80"/>
      <c r="N23" s="78">
        <f>IF($B23="",0,IF(COUNTIF('RECIPE INDEX'!$B$6:$B$105,$B23)&gt;1,1,0))</f>
      </c>
      <c r="O23" s="75"/>
    </row>
    <row r="24" ht="17" customHeight="1" spans="1:15" x14ac:dyDescent="0.25">
      <c r="A24" s="75"/>
      <c r="B24" s="79"/>
      <c r="C24" s="80"/>
      <c r="D24" s="80"/>
      <c r="E24" s="79"/>
      <c r="F24" s="79"/>
      <c r="G24" s="79"/>
      <c r="H24" s="79"/>
      <c r="I24" s="79"/>
      <c r="J24" s="79"/>
      <c r="K24" s="79"/>
      <c r="L24" s="79"/>
      <c r="M24" s="80"/>
      <c r="N24" s="78">
        <f>IF($B24="",0,IF(COUNTIF('RECIPE INDEX'!$B$6:$B$105,$B24)&gt;1,1,0))</f>
      </c>
      <c r="O24" s="75"/>
    </row>
    <row r="25" ht="17" customHeight="1" spans="1:15" x14ac:dyDescent="0.25">
      <c r="A25" s="75"/>
      <c r="B25" s="79"/>
      <c r="C25" s="80"/>
      <c r="D25" s="80"/>
      <c r="E25" s="79"/>
      <c r="F25" s="79"/>
      <c r="G25" s="79"/>
      <c r="H25" s="79"/>
      <c r="I25" s="79"/>
      <c r="J25" s="79"/>
      <c r="K25" s="79"/>
      <c r="L25" s="79"/>
      <c r="M25" s="80"/>
      <c r="N25" s="78">
        <f>IF($B25="",0,IF(COUNTIF('RECIPE INDEX'!$B$6:$B$105,$B25)&gt;1,1,0))</f>
      </c>
      <c r="O25" s="75"/>
    </row>
    <row r="26" ht="17" customHeight="1" spans="1:15" x14ac:dyDescent="0.25">
      <c r="A26" s="75"/>
      <c r="B26" s="79"/>
      <c r="C26" s="80"/>
      <c r="D26" s="80"/>
      <c r="E26" s="79"/>
      <c r="F26" s="79"/>
      <c r="G26" s="79"/>
      <c r="H26" s="79"/>
      <c r="I26" s="79"/>
      <c r="J26" s="79"/>
      <c r="K26" s="79"/>
      <c r="L26" s="79"/>
      <c r="M26" s="80"/>
      <c r="N26" s="78">
        <f>IF($B26="",0,IF(COUNTIF('RECIPE INDEX'!$B$6:$B$105,$B26)&gt;1,1,0))</f>
      </c>
      <c r="O26" s="75"/>
    </row>
    <row r="27" ht="17" customHeight="1" spans="1:15" x14ac:dyDescent="0.25">
      <c r="A27" s="75"/>
      <c r="B27" s="79"/>
      <c r="C27" s="80"/>
      <c r="D27" s="80"/>
      <c r="E27" s="79"/>
      <c r="F27" s="79"/>
      <c r="G27" s="79"/>
      <c r="H27" s="79"/>
      <c r="I27" s="79"/>
      <c r="J27" s="79"/>
      <c r="K27" s="79"/>
      <c r="L27" s="79"/>
      <c r="M27" s="80"/>
      <c r="N27" s="78">
        <f>IF($B27="",0,IF(COUNTIF('RECIPE INDEX'!$B$6:$B$105,$B27)&gt;1,1,0))</f>
      </c>
      <c r="O27" s="75"/>
    </row>
    <row r="28" ht="17" customHeight="1" spans="1:15" x14ac:dyDescent="0.25">
      <c r="A28" s="75"/>
      <c r="B28" s="79"/>
      <c r="C28" s="80"/>
      <c r="D28" s="80"/>
      <c r="E28" s="79"/>
      <c r="F28" s="79"/>
      <c r="G28" s="79"/>
      <c r="H28" s="79"/>
      <c r="I28" s="79"/>
      <c r="J28" s="79"/>
      <c r="K28" s="79"/>
      <c r="L28" s="79"/>
      <c r="M28" s="80"/>
      <c r="N28" s="78">
        <f>IF($B28="",0,IF(COUNTIF('RECIPE INDEX'!$B$6:$B$105,$B28)&gt;1,1,0))</f>
      </c>
      <c r="O28" s="75"/>
    </row>
    <row r="29" ht="17" customHeight="1" spans="1:15" x14ac:dyDescent="0.25">
      <c r="A29" s="75"/>
      <c r="B29" s="79"/>
      <c r="C29" s="80"/>
      <c r="D29" s="80"/>
      <c r="E29" s="79"/>
      <c r="F29" s="79"/>
      <c r="G29" s="79"/>
      <c r="H29" s="79"/>
      <c r="I29" s="79"/>
      <c r="J29" s="79"/>
      <c r="K29" s="79"/>
      <c r="L29" s="79"/>
      <c r="M29" s="80"/>
      <c r="N29" s="78">
        <f>IF($B29="",0,IF(COUNTIF('RECIPE INDEX'!$B$6:$B$105,$B29)&gt;1,1,0))</f>
      </c>
      <c r="O29" s="75"/>
    </row>
    <row r="30" ht="17" customHeight="1" spans="1:15" x14ac:dyDescent="0.25">
      <c r="A30" s="75"/>
      <c r="B30" s="79"/>
      <c r="C30" s="80"/>
      <c r="D30" s="80"/>
      <c r="E30" s="79"/>
      <c r="F30" s="79"/>
      <c r="G30" s="79"/>
      <c r="H30" s="79"/>
      <c r="I30" s="79"/>
      <c r="J30" s="79"/>
      <c r="K30" s="79"/>
      <c r="L30" s="79"/>
      <c r="M30" s="80"/>
      <c r="N30" s="78">
        <f>IF($B30="",0,IF(COUNTIF('RECIPE INDEX'!$B$6:$B$105,$B30)&gt;1,1,0))</f>
      </c>
      <c r="O30" s="75"/>
    </row>
    <row r="31" ht="17" customHeight="1" spans="1:15" x14ac:dyDescent="0.25">
      <c r="A31" s="75"/>
      <c r="B31" s="79"/>
      <c r="C31" s="80"/>
      <c r="D31" s="80"/>
      <c r="E31" s="79"/>
      <c r="F31" s="79"/>
      <c r="G31" s="79"/>
      <c r="H31" s="79"/>
      <c r="I31" s="79"/>
      <c r="J31" s="79"/>
      <c r="K31" s="79"/>
      <c r="L31" s="79"/>
      <c r="M31" s="80"/>
      <c r="N31" s="78">
        <f>IF($B31="",0,IF(COUNTIF('RECIPE INDEX'!$B$6:$B$105,$B31)&gt;1,1,0))</f>
      </c>
      <c r="O31" s="75"/>
    </row>
    <row r="32" ht="17" customHeight="1" spans="1:15" x14ac:dyDescent="0.25">
      <c r="A32" s="75"/>
      <c r="B32" s="79"/>
      <c r="C32" s="80"/>
      <c r="D32" s="80"/>
      <c r="E32" s="79"/>
      <c r="F32" s="79"/>
      <c r="G32" s="79"/>
      <c r="H32" s="79"/>
      <c r="I32" s="79"/>
      <c r="J32" s="79"/>
      <c r="K32" s="79"/>
      <c r="L32" s="79"/>
      <c r="M32" s="80"/>
      <c r="N32" s="78">
        <f>IF($B32="",0,IF(COUNTIF('RECIPE INDEX'!$B$6:$B$105,$B32)&gt;1,1,0))</f>
      </c>
      <c r="O32" s="75"/>
    </row>
    <row r="33" ht="17" customHeight="1" spans="1:15" x14ac:dyDescent="0.25">
      <c r="A33" s="75"/>
      <c r="B33" s="79"/>
      <c r="C33" s="80"/>
      <c r="D33" s="80"/>
      <c r="E33" s="79"/>
      <c r="F33" s="79"/>
      <c r="G33" s="79"/>
      <c r="H33" s="79"/>
      <c r="I33" s="79"/>
      <c r="J33" s="79"/>
      <c r="K33" s="79"/>
      <c r="L33" s="79"/>
      <c r="M33" s="80"/>
      <c r="N33" s="78">
        <f>IF($B33="",0,IF(COUNTIF('RECIPE INDEX'!$B$6:$B$105,$B33)&gt;1,1,0))</f>
      </c>
      <c r="O33" s="75"/>
    </row>
    <row r="34" ht="17" customHeight="1" spans="1:15" x14ac:dyDescent="0.25">
      <c r="A34" s="75"/>
      <c r="B34" s="79"/>
      <c r="C34" s="80"/>
      <c r="D34" s="80"/>
      <c r="E34" s="79"/>
      <c r="F34" s="79"/>
      <c r="G34" s="79"/>
      <c r="H34" s="79"/>
      <c r="I34" s="79"/>
      <c r="J34" s="79"/>
      <c r="K34" s="79"/>
      <c r="L34" s="79"/>
      <c r="M34" s="80"/>
      <c r="N34" s="78">
        <f>IF($B34="",0,IF(COUNTIF('RECIPE INDEX'!$B$6:$B$105,$B34)&gt;1,1,0))</f>
      </c>
      <c r="O34" s="75"/>
    </row>
    <row r="35" ht="17" customHeight="1" spans="1:15" x14ac:dyDescent="0.25">
      <c r="A35" s="75"/>
      <c r="B35" s="79"/>
      <c r="C35" s="80"/>
      <c r="D35" s="80"/>
      <c r="E35" s="79"/>
      <c r="F35" s="79"/>
      <c r="G35" s="79"/>
      <c r="H35" s="79"/>
      <c r="I35" s="79"/>
      <c r="J35" s="79"/>
      <c r="K35" s="79"/>
      <c r="L35" s="79"/>
      <c r="M35" s="80"/>
      <c r="N35" s="78">
        <f>IF($B35="",0,IF(COUNTIF('RECIPE INDEX'!$B$6:$B$105,$B35)&gt;1,1,0))</f>
      </c>
      <c r="O35" s="75"/>
    </row>
    <row r="36" ht="17" customHeight="1" spans="1:15" x14ac:dyDescent="0.25">
      <c r="A36" s="75"/>
      <c r="B36" s="79"/>
      <c r="C36" s="80"/>
      <c r="D36" s="80"/>
      <c r="E36" s="79"/>
      <c r="F36" s="79"/>
      <c r="G36" s="79"/>
      <c r="H36" s="79"/>
      <c r="I36" s="79"/>
      <c r="J36" s="79"/>
      <c r="K36" s="79"/>
      <c r="L36" s="79"/>
      <c r="M36" s="80"/>
      <c r="N36" s="78">
        <f>IF($B36="",0,IF(COUNTIF('RECIPE INDEX'!$B$6:$B$105,$B36)&gt;1,1,0))</f>
      </c>
      <c r="O36" s="75"/>
    </row>
    <row r="37" ht="17" customHeight="1" spans="1:15" x14ac:dyDescent="0.25">
      <c r="A37" s="75"/>
      <c r="B37" s="79"/>
      <c r="C37" s="80"/>
      <c r="D37" s="80"/>
      <c r="E37" s="79"/>
      <c r="F37" s="79"/>
      <c r="G37" s="79"/>
      <c r="H37" s="79"/>
      <c r="I37" s="79"/>
      <c r="J37" s="79"/>
      <c r="K37" s="79"/>
      <c r="L37" s="79"/>
      <c r="M37" s="80"/>
      <c r="N37" s="78">
        <f>IF($B37="",0,IF(COUNTIF('RECIPE INDEX'!$B$6:$B$105,$B37)&gt;1,1,0))</f>
      </c>
      <c r="O37" s="75"/>
    </row>
    <row r="38" ht="17" customHeight="1" spans="1:15" x14ac:dyDescent="0.25">
      <c r="A38" s="75"/>
      <c r="B38" s="79"/>
      <c r="C38" s="80"/>
      <c r="D38" s="80"/>
      <c r="E38" s="79"/>
      <c r="F38" s="79"/>
      <c r="G38" s="79"/>
      <c r="H38" s="79"/>
      <c r="I38" s="79"/>
      <c r="J38" s="79"/>
      <c r="K38" s="79"/>
      <c r="L38" s="79"/>
      <c r="M38" s="80"/>
      <c r="N38" s="78">
        <f>IF($B38="",0,IF(COUNTIF('RECIPE INDEX'!$B$6:$B$105,$B38)&gt;1,1,0))</f>
      </c>
      <c r="O38" s="75"/>
    </row>
    <row r="39" ht="17" customHeight="1" spans="1:15" x14ac:dyDescent="0.25">
      <c r="A39" s="75"/>
      <c r="B39" s="79"/>
      <c r="C39" s="80"/>
      <c r="D39" s="80"/>
      <c r="E39" s="79"/>
      <c r="F39" s="79"/>
      <c r="G39" s="79"/>
      <c r="H39" s="79"/>
      <c r="I39" s="79"/>
      <c r="J39" s="79"/>
      <c r="K39" s="79"/>
      <c r="L39" s="79"/>
      <c r="M39" s="80"/>
      <c r="N39" s="78">
        <f>IF($B39="",0,IF(COUNTIF('RECIPE INDEX'!$B$6:$B$105,$B39)&gt;1,1,0))</f>
      </c>
      <c r="O39" s="75"/>
    </row>
    <row r="40" ht="17" customHeight="1" spans="1:15" x14ac:dyDescent="0.25">
      <c r="A40" s="75"/>
      <c r="B40" s="79"/>
      <c r="C40" s="80"/>
      <c r="D40" s="80"/>
      <c r="E40" s="79"/>
      <c r="F40" s="79"/>
      <c r="G40" s="79"/>
      <c r="H40" s="79"/>
      <c r="I40" s="79"/>
      <c r="J40" s="79"/>
      <c r="K40" s="79"/>
      <c r="L40" s="79"/>
      <c r="M40" s="80"/>
      <c r="N40" s="78">
        <f>IF($B40="",0,IF(COUNTIF('RECIPE INDEX'!$B$6:$B$105,$B40)&gt;1,1,0))</f>
      </c>
      <c r="O40" s="75"/>
    </row>
    <row r="41" ht="17" customHeight="1" spans="1:15" x14ac:dyDescent="0.25">
      <c r="A41" s="75"/>
      <c r="B41" s="79"/>
      <c r="C41" s="80"/>
      <c r="D41" s="80"/>
      <c r="E41" s="79"/>
      <c r="F41" s="79"/>
      <c r="G41" s="79"/>
      <c r="H41" s="79"/>
      <c r="I41" s="79"/>
      <c r="J41" s="79"/>
      <c r="K41" s="79"/>
      <c r="L41" s="79"/>
      <c r="M41" s="80"/>
      <c r="N41" s="78">
        <f>IF($B41="",0,IF(COUNTIF('RECIPE INDEX'!$B$6:$B$105,$B41)&gt;1,1,0))</f>
      </c>
      <c r="O41" s="75"/>
    </row>
    <row r="42" ht="17" customHeight="1" spans="1:15" x14ac:dyDescent="0.25">
      <c r="A42" s="75"/>
      <c r="B42" s="79"/>
      <c r="C42" s="80"/>
      <c r="D42" s="80"/>
      <c r="E42" s="79"/>
      <c r="F42" s="79"/>
      <c r="G42" s="79"/>
      <c r="H42" s="79"/>
      <c r="I42" s="79"/>
      <c r="J42" s="79"/>
      <c r="K42" s="79"/>
      <c r="L42" s="79"/>
      <c r="M42" s="80"/>
      <c r="N42" s="78">
        <f>IF($B42="",0,IF(COUNTIF('RECIPE INDEX'!$B$6:$B$105,$B42)&gt;1,1,0))</f>
      </c>
      <c r="O42" s="75"/>
    </row>
    <row r="43" ht="17" customHeight="1" spans="1:15" x14ac:dyDescent="0.25">
      <c r="A43" s="75"/>
      <c r="B43" s="79"/>
      <c r="C43" s="80"/>
      <c r="D43" s="80"/>
      <c r="E43" s="79"/>
      <c r="F43" s="79"/>
      <c r="G43" s="79"/>
      <c r="H43" s="79"/>
      <c r="I43" s="79"/>
      <c r="J43" s="79"/>
      <c r="K43" s="79"/>
      <c r="L43" s="79"/>
      <c r="M43" s="80"/>
      <c r="N43" s="78">
        <f>IF($B43="",0,IF(COUNTIF('RECIPE INDEX'!$B$6:$B$105,$B43)&gt;1,1,0))</f>
      </c>
      <c r="O43" s="75"/>
    </row>
    <row r="44" ht="17" customHeight="1" spans="1:15" x14ac:dyDescent="0.25">
      <c r="A44" s="75"/>
      <c r="B44" s="79"/>
      <c r="C44" s="80"/>
      <c r="D44" s="80"/>
      <c r="E44" s="79"/>
      <c r="F44" s="79"/>
      <c r="G44" s="79"/>
      <c r="H44" s="79"/>
      <c r="I44" s="79"/>
      <c r="J44" s="79"/>
      <c r="K44" s="79"/>
      <c r="L44" s="79"/>
      <c r="M44" s="80"/>
      <c r="N44" s="78">
        <f>IF($B44="",0,IF(COUNTIF('RECIPE INDEX'!$B$6:$B$105,$B44)&gt;1,1,0))</f>
      </c>
      <c r="O44" s="75"/>
    </row>
    <row r="45" ht="17" customHeight="1" spans="1:15" x14ac:dyDescent="0.25">
      <c r="A45" s="75"/>
      <c r="B45" s="79"/>
      <c r="C45" s="80"/>
      <c r="D45" s="80"/>
      <c r="E45" s="79"/>
      <c r="F45" s="79"/>
      <c r="G45" s="79"/>
      <c r="H45" s="79"/>
      <c r="I45" s="79"/>
      <c r="J45" s="79"/>
      <c r="K45" s="79"/>
      <c r="L45" s="79"/>
      <c r="M45" s="80"/>
      <c r="N45" s="78">
        <f>IF($B45="",0,IF(COUNTIF('RECIPE INDEX'!$B$6:$B$105,$B45)&gt;1,1,0))</f>
      </c>
      <c r="O45" s="75"/>
    </row>
    <row r="46" ht="17" customHeight="1" spans="1:15" x14ac:dyDescent="0.25">
      <c r="A46" s="75"/>
      <c r="B46" s="79"/>
      <c r="C46" s="80"/>
      <c r="D46" s="80"/>
      <c r="E46" s="79"/>
      <c r="F46" s="79"/>
      <c r="G46" s="79"/>
      <c r="H46" s="79"/>
      <c r="I46" s="79"/>
      <c r="J46" s="79"/>
      <c r="K46" s="79"/>
      <c r="L46" s="79"/>
      <c r="M46" s="80"/>
      <c r="N46" s="78">
        <f>IF($B46="",0,IF(COUNTIF('RECIPE INDEX'!$B$6:$B$105,$B46)&gt;1,1,0))</f>
      </c>
      <c r="O46" s="75"/>
    </row>
    <row r="47" ht="17" customHeight="1" spans="1:15" x14ac:dyDescent="0.25">
      <c r="A47" s="75"/>
      <c r="B47" s="79"/>
      <c r="C47" s="80"/>
      <c r="D47" s="80"/>
      <c r="E47" s="79"/>
      <c r="F47" s="79"/>
      <c r="G47" s="79"/>
      <c r="H47" s="79"/>
      <c r="I47" s="79"/>
      <c r="J47" s="79"/>
      <c r="K47" s="79"/>
      <c r="L47" s="79"/>
      <c r="M47" s="80"/>
      <c r="N47" s="78">
        <f>IF($B47="",0,IF(COUNTIF('RECIPE INDEX'!$B$6:$B$105,$B47)&gt;1,1,0))</f>
      </c>
      <c r="O47" s="75"/>
    </row>
    <row r="48" ht="17" customHeight="1" spans="1:15" x14ac:dyDescent="0.25">
      <c r="A48" s="75"/>
      <c r="B48" s="79"/>
      <c r="C48" s="80"/>
      <c r="D48" s="80"/>
      <c r="E48" s="79"/>
      <c r="F48" s="79"/>
      <c r="G48" s="79"/>
      <c r="H48" s="79"/>
      <c r="I48" s="79"/>
      <c r="J48" s="79"/>
      <c r="K48" s="79"/>
      <c r="L48" s="79"/>
      <c r="M48" s="80"/>
      <c r="N48" s="78">
        <f>IF($B48="",0,IF(COUNTIF('RECIPE INDEX'!$B$6:$B$105,$B48)&gt;1,1,0))</f>
      </c>
      <c r="O48" s="75"/>
    </row>
    <row r="49" ht="17" customHeight="1" spans="1:15" x14ac:dyDescent="0.25">
      <c r="A49" s="75"/>
      <c r="B49" s="79"/>
      <c r="C49" s="80"/>
      <c r="D49" s="80"/>
      <c r="E49" s="79"/>
      <c r="F49" s="79"/>
      <c r="G49" s="79"/>
      <c r="H49" s="79"/>
      <c r="I49" s="79"/>
      <c r="J49" s="79"/>
      <c r="K49" s="79"/>
      <c r="L49" s="79"/>
      <c r="M49" s="80"/>
      <c r="N49" s="78">
        <f>IF($B49="",0,IF(COUNTIF('RECIPE INDEX'!$B$6:$B$105,$B49)&gt;1,1,0))</f>
      </c>
      <c r="O49" s="75"/>
    </row>
    <row r="50" ht="17" customHeight="1" spans="1:15" x14ac:dyDescent="0.25">
      <c r="A50" s="75"/>
      <c r="B50" s="79"/>
      <c r="C50" s="80"/>
      <c r="D50" s="80"/>
      <c r="E50" s="79"/>
      <c r="F50" s="79"/>
      <c r="G50" s="79"/>
      <c r="H50" s="79"/>
      <c r="I50" s="79"/>
      <c r="J50" s="79"/>
      <c r="K50" s="79"/>
      <c r="L50" s="79"/>
      <c r="M50" s="80"/>
      <c r="N50" s="78">
        <f>IF($B50="",0,IF(COUNTIF('RECIPE INDEX'!$B$6:$B$105,$B50)&gt;1,1,0))</f>
      </c>
      <c r="O50" s="75"/>
    </row>
    <row r="51" ht="17" customHeight="1" spans="1:15" x14ac:dyDescent="0.25">
      <c r="A51" s="75"/>
      <c r="B51" s="79"/>
      <c r="C51" s="80"/>
      <c r="D51" s="80"/>
      <c r="E51" s="79"/>
      <c r="F51" s="79"/>
      <c r="G51" s="79"/>
      <c r="H51" s="79"/>
      <c r="I51" s="79"/>
      <c r="J51" s="79"/>
      <c r="K51" s="79"/>
      <c r="L51" s="79"/>
      <c r="M51" s="80"/>
      <c r="N51" s="78">
        <f>IF($B51="",0,IF(COUNTIF('RECIPE INDEX'!$B$6:$B$105,$B51)&gt;1,1,0))</f>
      </c>
      <c r="O51" s="75"/>
    </row>
    <row r="52" ht="17" customHeight="1" spans="1:15" x14ac:dyDescent="0.25">
      <c r="A52" s="75"/>
      <c r="B52" s="79"/>
      <c r="C52" s="80"/>
      <c r="D52" s="80"/>
      <c r="E52" s="79"/>
      <c r="F52" s="79"/>
      <c r="G52" s="79"/>
      <c r="H52" s="79"/>
      <c r="I52" s="79"/>
      <c r="J52" s="79"/>
      <c r="K52" s="79"/>
      <c r="L52" s="79"/>
      <c r="M52" s="80"/>
      <c r="N52" s="78">
        <f>IF($B52="",0,IF(COUNTIF('RECIPE INDEX'!$B$6:$B$105,$B52)&gt;1,1,0))</f>
      </c>
      <c r="O52" s="75"/>
    </row>
    <row r="53" ht="17" customHeight="1" spans="1:15" x14ac:dyDescent="0.25">
      <c r="A53" s="75"/>
      <c r="B53" s="79"/>
      <c r="C53" s="80"/>
      <c r="D53" s="80"/>
      <c r="E53" s="79"/>
      <c r="F53" s="79"/>
      <c r="G53" s="79"/>
      <c r="H53" s="79"/>
      <c r="I53" s="79"/>
      <c r="J53" s="79"/>
      <c r="K53" s="79"/>
      <c r="L53" s="79"/>
      <c r="M53" s="80"/>
      <c r="N53" s="78">
        <f>IF($B53="",0,IF(COUNTIF('RECIPE INDEX'!$B$6:$B$105,$B53)&gt;1,1,0))</f>
      </c>
      <c r="O53" s="75"/>
    </row>
    <row r="54" ht="17" customHeight="1" spans="1:15" x14ac:dyDescent="0.25">
      <c r="A54" s="75"/>
      <c r="B54" s="79"/>
      <c r="C54" s="80"/>
      <c r="D54" s="80"/>
      <c r="E54" s="79"/>
      <c r="F54" s="79"/>
      <c r="G54" s="79"/>
      <c r="H54" s="79"/>
      <c r="I54" s="79"/>
      <c r="J54" s="79"/>
      <c r="K54" s="79"/>
      <c r="L54" s="79"/>
      <c r="M54" s="80"/>
      <c r="N54" s="78">
        <f>IF($B54="",0,IF(COUNTIF('RECIPE INDEX'!$B$6:$B$105,$B54)&gt;1,1,0))</f>
      </c>
      <c r="O54" s="75"/>
    </row>
    <row r="55" ht="17" customHeight="1" spans="1:15" x14ac:dyDescent="0.25">
      <c r="A55" s="75"/>
      <c r="B55" s="79"/>
      <c r="C55" s="80"/>
      <c r="D55" s="80"/>
      <c r="E55" s="79"/>
      <c r="F55" s="79"/>
      <c r="G55" s="79"/>
      <c r="H55" s="79"/>
      <c r="I55" s="79"/>
      <c r="J55" s="79"/>
      <c r="K55" s="79"/>
      <c r="L55" s="79"/>
      <c r="M55" s="80"/>
      <c r="N55" s="78">
        <f>IF($B55="",0,IF(COUNTIF('RECIPE INDEX'!$B$6:$B$105,$B55)&gt;1,1,0))</f>
      </c>
      <c r="O55" s="75"/>
    </row>
    <row r="56" ht="17" customHeight="1" spans="1:15" x14ac:dyDescent="0.25">
      <c r="A56" s="75"/>
      <c r="B56" s="79"/>
      <c r="C56" s="80"/>
      <c r="D56" s="80"/>
      <c r="E56" s="79"/>
      <c r="F56" s="79"/>
      <c r="G56" s="79"/>
      <c r="H56" s="79"/>
      <c r="I56" s="79"/>
      <c r="J56" s="79"/>
      <c r="K56" s="79"/>
      <c r="L56" s="79"/>
      <c r="M56" s="80"/>
      <c r="N56" s="78">
        <f>IF($B56="",0,IF(COUNTIF('RECIPE INDEX'!$B$6:$B$105,$B56)&gt;1,1,0))</f>
      </c>
      <c r="O56" s="75"/>
    </row>
    <row r="57" ht="17" customHeight="1" spans="1:15" x14ac:dyDescent="0.25">
      <c r="A57" s="75"/>
      <c r="B57" s="79"/>
      <c r="C57" s="80"/>
      <c r="D57" s="80"/>
      <c r="E57" s="79"/>
      <c r="F57" s="79"/>
      <c r="G57" s="79"/>
      <c r="H57" s="79"/>
      <c r="I57" s="79"/>
      <c r="J57" s="79"/>
      <c r="K57" s="79"/>
      <c r="L57" s="79"/>
      <c r="M57" s="80"/>
      <c r="N57" s="78">
        <f>IF($B57="",0,IF(COUNTIF('RECIPE INDEX'!$B$6:$B$105,$B57)&gt;1,1,0))</f>
      </c>
      <c r="O57" s="75"/>
    </row>
    <row r="58" ht="17" customHeight="1" spans="1:15" x14ac:dyDescent="0.25">
      <c r="A58" s="75"/>
      <c r="B58" s="79"/>
      <c r="C58" s="80"/>
      <c r="D58" s="80"/>
      <c r="E58" s="79"/>
      <c r="F58" s="79"/>
      <c r="G58" s="79"/>
      <c r="H58" s="79"/>
      <c r="I58" s="79"/>
      <c r="J58" s="79"/>
      <c r="K58" s="79"/>
      <c r="L58" s="79"/>
      <c r="M58" s="80"/>
      <c r="N58" s="78">
        <f>IF($B58="",0,IF(COUNTIF('RECIPE INDEX'!$B$6:$B$105,$B58)&gt;1,1,0))</f>
      </c>
      <c r="O58" s="75"/>
    </row>
    <row r="59" ht="17" customHeight="1" spans="1:15" x14ac:dyDescent="0.25">
      <c r="A59" s="75"/>
      <c r="B59" s="79"/>
      <c r="C59" s="80"/>
      <c r="D59" s="80"/>
      <c r="E59" s="79"/>
      <c r="F59" s="79"/>
      <c r="G59" s="79"/>
      <c r="H59" s="79"/>
      <c r="I59" s="79"/>
      <c r="J59" s="79"/>
      <c r="K59" s="79"/>
      <c r="L59" s="79"/>
      <c r="M59" s="80"/>
      <c r="N59" s="78">
        <f>IF($B59="",0,IF(COUNTIF('RECIPE INDEX'!$B$6:$B$105,$B59)&gt;1,1,0))</f>
      </c>
      <c r="O59" s="75"/>
    </row>
    <row r="60" ht="17" customHeight="1" spans="1:15" x14ac:dyDescent="0.25">
      <c r="A60" s="75"/>
      <c r="B60" s="79"/>
      <c r="C60" s="80"/>
      <c r="D60" s="80"/>
      <c r="E60" s="79"/>
      <c r="F60" s="79"/>
      <c r="G60" s="79"/>
      <c r="H60" s="79"/>
      <c r="I60" s="79"/>
      <c r="J60" s="79"/>
      <c r="K60" s="79"/>
      <c r="L60" s="79"/>
      <c r="M60" s="80"/>
      <c r="N60" s="78">
        <f>IF($B60="",0,IF(COUNTIF('RECIPE INDEX'!$B$6:$B$105,$B60)&gt;1,1,0))</f>
      </c>
      <c r="O60" s="75"/>
    </row>
    <row r="61" ht="17" customHeight="1" spans="1:15" x14ac:dyDescent="0.25">
      <c r="A61" s="75"/>
      <c r="B61" s="79"/>
      <c r="C61" s="80"/>
      <c r="D61" s="80"/>
      <c r="E61" s="79"/>
      <c r="F61" s="79"/>
      <c r="G61" s="79"/>
      <c r="H61" s="79"/>
      <c r="I61" s="79"/>
      <c r="J61" s="79"/>
      <c r="K61" s="79"/>
      <c r="L61" s="79"/>
      <c r="M61" s="80"/>
      <c r="N61" s="78">
        <f>IF($B61="",0,IF(COUNTIF('RECIPE INDEX'!$B$6:$B$105,$B61)&gt;1,1,0))</f>
      </c>
      <c r="O61" s="75"/>
    </row>
    <row r="62" ht="17" customHeight="1" spans="1:15" x14ac:dyDescent="0.25">
      <c r="A62" s="75"/>
      <c r="B62" s="79"/>
      <c r="C62" s="80"/>
      <c r="D62" s="80"/>
      <c r="E62" s="79"/>
      <c r="F62" s="79"/>
      <c r="G62" s="79"/>
      <c r="H62" s="79"/>
      <c r="I62" s="79"/>
      <c r="J62" s="79"/>
      <c r="K62" s="79"/>
      <c r="L62" s="79"/>
      <c r="M62" s="80"/>
      <c r="N62" s="78">
        <f>IF($B62="",0,IF(COUNTIF('RECIPE INDEX'!$B$6:$B$105,$B62)&gt;1,1,0))</f>
      </c>
      <c r="O62" s="75"/>
    </row>
    <row r="63" ht="17" customHeight="1" spans="1:15" x14ac:dyDescent="0.25">
      <c r="A63" s="75"/>
      <c r="B63" s="79"/>
      <c r="C63" s="80"/>
      <c r="D63" s="80"/>
      <c r="E63" s="79"/>
      <c r="F63" s="79"/>
      <c r="G63" s="79"/>
      <c r="H63" s="79"/>
      <c r="I63" s="79"/>
      <c r="J63" s="79"/>
      <c r="K63" s="79"/>
      <c r="L63" s="79"/>
      <c r="M63" s="80"/>
      <c r="N63" s="78">
        <f>IF($B63="",0,IF(COUNTIF('RECIPE INDEX'!$B$6:$B$105,$B63)&gt;1,1,0))</f>
      </c>
      <c r="O63" s="75"/>
    </row>
    <row r="64" ht="17" customHeight="1" spans="1:15" x14ac:dyDescent="0.25">
      <c r="A64" s="75"/>
      <c r="B64" s="79"/>
      <c r="C64" s="80"/>
      <c r="D64" s="80"/>
      <c r="E64" s="79"/>
      <c r="F64" s="79"/>
      <c r="G64" s="79"/>
      <c r="H64" s="79"/>
      <c r="I64" s="79"/>
      <c r="J64" s="79"/>
      <c r="K64" s="79"/>
      <c r="L64" s="79"/>
      <c r="M64" s="80"/>
      <c r="N64" s="78">
        <f>IF($B64="",0,IF(COUNTIF('RECIPE INDEX'!$B$6:$B$105,$B64)&gt;1,1,0))</f>
      </c>
      <c r="O64" s="75"/>
    </row>
    <row r="65" ht="17" customHeight="1" spans="1:15" x14ac:dyDescent="0.25">
      <c r="A65" s="75"/>
      <c r="B65" s="79"/>
      <c r="C65" s="80"/>
      <c r="D65" s="80"/>
      <c r="E65" s="79"/>
      <c r="F65" s="79"/>
      <c r="G65" s="79"/>
      <c r="H65" s="79"/>
      <c r="I65" s="79"/>
      <c r="J65" s="79"/>
      <c r="K65" s="79"/>
      <c r="L65" s="79"/>
      <c r="M65" s="80"/>
      <c r="N65" s="78">
        <f>IF($B65="",0,IF(COUNTIF('RECIPE INDEX'!$B$6:$B$105,$B65)&gt;1,1,0))</f>
      </c>
      <c r="O65" s="75"/>
    </row>
    <row r="66" ht="17" customHeight="1" spans="1:15" x14ac:dyDescent="0.25">
      <c r="A66" s="75"/>
      <c r="B66" s="79"/>
      <c r="C66" s="80"/>
      <c r="D66" s="80"/>
      <c r="E66" s="79"/>
      <c r="F66" s="79"/>
      <c r="G66" s="79"/>
      <c r="H66" s="79"/>
      <c r="I66" s="79"/>
      <c r="J66" s="79"/>
      <c r="K66" s="79"/>
      <c r="L66" s="79"/>
      <c r="M66" s="80"/>
      <c r="N66" s="78">
        <f>IF($B66="",0,IF(COUNTIF('RECIPE INDEX'!$B$6:$B$105,$B66)&gt;1,1,0))</f>
      </c>
      <c r="O66" s="75"/>
    </row>
    <row r="67" ht="17" customHeight="1" spans="1:15" x14ac:dyDescent="0.25">
      <c r="A67" s="75"/>
      <c r="B67" s="79"/>
      <c r="C67" s="80"/>
      <c r="D67" s="80"/>
      <c r="E67" s="79"/>
      <c r="F67" s="79"/>
      <c r="G67" s="79"/>
      <c r="H67" s="79"/>
      <c r="I67" s="79"/>
      <c r="J67" s="79"/>
      <c r="K67" s="79"/>
      <c r="L67" s="79"/>
      <c r="M67" s="80"/>
      <c r="N67" s="78">
        <f>IF($B67="",0,IF(COUNTIF('RECIPE INDEX'!$B$6:$B$105,$B67)&gt;1,1,0))</f>
      </c>
      <c r="O67" s="75"/>
    </row>
    <row r="68" ht="17" customHeight="1" spans="1:15" x14ac:dyDescent="0.25">
      <c r="A68" s="75"/>
      <c r="B68" s="79"/>
      <c r="C68" s="80"/>
      <c r="D68" s="80"/>
      <c r="E68" s="79"/>
      <c r="F68" s="79"/>
      <c r="G68" s="79"/>
      <c r="H68" s="79"/>
      <c r="I68" s="79"/>
      <c r="J68" s="79"/>
      <c r="K68" s="79"/>
      <c r="L68" s="79"/>
      <c r="M68" s="80"/>
      <c r="N68" s="78">
        <f>IF($B68="",0,IF(COUNTIF('RECIPE INDEX'!$B$6:$B$105,$B68)&gt;1,1,0))</f>
      </c>
      <c r="O68" s="75"/>
    </row>
    <row r="69" ht="17" customHeight="1" spans="1:15" x14ac:dyDescent="0.25">
      <c r="A69" s="75"/>
      <c r="B69" s="79"/>
      <c r="C69" s="80"/>
      <c r="D69" s="80"/>
      <c r="E69" s="79"/>
      <c r="F69" s="79"/>
      <c r="G69" s="79"/>
      <c r="H69" s="79"/>
      <c r="I69" s="79"/>
      <c r="J69" s="79"/>
      <c r="K69" s="79"/>
      <c r="L69" s="79"/>
      <c r="M69" s="80"/>
      <c r="N69" s="78">
        <f>IF($B69="",0,IF(COUNTIF('RECIPE INDEX'!$B$6:$B$105,$B69)&gt;1,1,0))</f>
      </c>
      <c r="O69" s="75"/>
    </row>
    <row r="70" ht="17" customHeight="1" spans="1:15" x14ac:dyDescent="0.25">
      <c r="A70" s="75"/>
      <c r="B70" s="79"/>
      <c r="C70" s="80"/>
      <c r="D70" s="80"/>
      <c r="E70" s="79"/>
      <c r="F70" s="79"/>
      <c r="G70" s="79"/>
      <c r="H70" s="79"/>
      <c r="I70" s="79"/>
      <c r="J70" s="79"/>
      <c r="K70" s="79"/>
      <c r="L70" s="79"/>
      <c r="M70" s="80"/>
      <c r="N70" s="78">
        <f>IF($B70="",0,IF(COUNTIF('RECIPE INDEX'!$B$6:$B$105,$B70)&gt;1,1,0))</f>
      </c>
      <c r="O70" s="75"/>
    </row>
    <row r="71" ht="17" customHeight="1" spans="1:15" x14ac:dyDescent="0.25">
      <c r="A71" s="75"/>
      <c r="B71" s="79"/>
      <c r="C71" s="80"/>
      <c r="D71" s="80"/>
      <c r="E71" s="79"/>
      <c r="F71" s="79"/>
      <c r="G71" s="79"/>
      <c r="H71" s="79"/>
      <c r="I71" s="79"/>
      <c r="J71" s="79"/>
      <c r="K71" s="79"/>
      <c r="L71" s="79"/>
      <c r="M71" s="80"/>
      <c r="N71" s="78">
        <f>IF($B71="",0,IF(COUNTIF('RECIPE INDEX'!$B$6:$B$105,$B71)&gt;1,1,0))</f>
      </c>
      <c r="O71" s="75"/>
    </row>
    <row r="72" ht="17" customHeight="1" spans="1:15" x14ac:dyDescent="0.25">
      <c r="A72" s="75"/>
      <c r="B72" s="79"/>
      <c r="C72" s="80"/>
      <c r="D72" s="80"/>
      <c r="E72" s="79"/>
      <c r="F72" s="79"/>
      <c r="G72" s="79"/>
      <c r="H72" s="79"/>
      <c r="I72" s="79"/>
      <c r="J72" s="79"/>
      <c r="K72" s="79"/>
      <c r="L72" s="79"/>
      <c r="M72" s="80"/>
      <c r="N72" s="78">
        <f>IF($B72="",0,IF(COUNTIF('RECIPE INDEX'!$B$6:$B$105,$B72)&gt;1,1,0))</f>
      </c>
      <c r="O72" s="75"/>
    </row>
    <row r="73" ht="17" customHeight="1" spans="1:15" x14ac:dyDescent="0.25">
      <c r="A73" s="75"/>
      <c r="B73" s="79"/>
      <c r="C73" s="80"/>
      <c r="D73" s="80"/>
      <c r="E73" s="79"/>
      <c r="F73" s="79"/>
      <c r="G73" s="79"/>
      <c r="H73" s="79"/>
      <c r="I73" s="79"/>
      <c r="J73" s="79"/>
      <c r="K73" s="79"/>
      <c r="L73" s="79"/>
      <c r="M73" s="80"/>
      <c r="N73" s="78">
        <f>IF($B73="",0,IF(COUNTIF('RECIPE INDEX'!$B$6:$B$105,$B73)&gt;1,1,0))</f>
      </c>
      <c r="O73" s="75"/>
    </row>
    <row r="74" ht="17" customHeight="1" spans="1:15" x14ac:dyDescent="0.25">
      <c r="A74" s="75"/>
      <c r="B74" s="79"/>
      <c r="C74" s="80"/>
      <c r="D74" s="80"/>
      <c r="E74" s="79"/>
      <c r="F74" s="79"/>
      <c r="G74" s="79"/>
      <c r="H74" s="79"/>
      <c r="I74" s="79"/>
      <c r="J74" s="79"/>
      <c r="K74" s="79"/>
      <c r="L74" s="79"/>
      <c r="M74" s="80"/>
      <c r="N74" s="78">
        <f>IF($B74="",0,IF(COUNTIF('RECIPE INDEX'!$B$6:$B$105,$B74)&gt;1,1,0))</f>
      </c>
      <c r="O74" s="75"/>
    </row>
    <row r="75" ht="17" customHeight="1" spans="1:15" x14ac:dyDescent="0.25">
      <c r="A75" s="75"/>
      <c r="B75" s="79"/>
      <c r="C75" s="80"/>
      <c r="D75" s="80"/>
      <c r="E75" s="79"/>
      <c r="F75" s="79"/>
      <c r="G75" s="79"/>
      <c r="H75" s="79"/>
      <c r="I75" s="79"/>
      <c r="J75" s="79"/>
      <c r="K75" s="79"/>
      <c r="L75" s="79"/>
      <c r="M75" s="80"/>
      <c r="N75" s="78">
        <f>IF($B75="",0,IF(COUNTIF('RECIPE INDEX'!$B$6:$B$105,$B75)&gt;1,1,0))</f>
      </c>
      <c r="O75" s="75"/>
    </row>
    <row r="76" ht="17" customHeight="1" spans="1:15" x14ac:dyDescent="0.25">
      <c r="A76" s="75"/>
      <c r="B76" s="79"/>
      <c r="C76" s="80"/>
      <c r="D76" s="80"/>
      <c r="E76" s="79"/>
      <c r="F76" s="79"/>
      <c r="G76" s="79"/>
      <c r="H76" s="79"/>
      <c r="I76" s="79"/>
      <c r="J76" s="79"/>
      <c r="K76" s="79"/>
      <c r="L76" s="79"/>
      <c r="M76" s="80"/>
      <c r="N76" s="78">
        <f>IF($B76="",0,IF(COUNTIF('RECIPE INDEX'!$B$6:$B$105,$B76)&gt;1,1,0))</f>
      </c>
      <c r="O76" s="75"/>
    </row>
    <row r="77" ht="17" customHeight="1" spans="1:15" x14ac:dyDescent="0.25">
      <c r="A77" s="75"/>
      <c r="B77" s="79"/>
      <c r="C77" s="80"/>
      <c r="D77" s="80"/>
      <c r="E77" s="79"/>
      <c r="F77" s="79"/>
      <c r="G77" s="79"/>
      <c r="H77" s="79"/>
      <c r="I77" s="79"/>
      <c r="J77" s="79"/>
      <c r="K77" s="79"/>
      <c r="L77" s="79"/>
      <c r="M77" s="80"/>
      <c r="N77" s="78">
        <f>IF($B77="",0,IF(COUNTIF('RECIPE INDEX'!$B$6:$B$105,$B77)&gt;1,1,0))</f>
      </c>
      <c r="O77" s="75"/>
    </row>
    <row r="78" ht="17" customHeight="1" spans="1:15" x14ac:dyDescent="0.25">
      <c r="A78" s="75"/>
      <c r="B78" s="79"/>
      <c r="C78" s="80"/>
      <c r="D78" s="80"/>
      <c r="E78" s="79"/>
      <c r="F78" s="79"/>
      <c r="G78" s="79"/>
      <c r="H78" s="79"/>
      <c r="I78" s="79"/>
      <c r="J78" s="79"/>
      <c r="K78" s="79"/>
      <c r="L78" s="79"/>
      <c r="M78" s="80"/>
      <c r="N78" s="78">
        <f>IF($B78="",0,IF(COUNTIF('RECIPE INDEX'!$B$6:$B$105,$B78)&gt;1,1,0))</f>
      </c>
      <c r="O78" s="75"/>
    </row>
    <row r="79" ht="17" customHeight="1" spans="1:15" x14ac:dyDescent="0.25">
      <c r="A79" s="75"/>
      <c r="B79" s="79"/>
      <c r="C79" s="80"/>
      <c r="D79" s="80"/>
      <c r="E79" s="79"/>
      <c r="F79" s="79"/>
      <c r="G79" s="79"/>
      <c r="H79" s="79"/>
      <c r="I79" s="79"/>
      <c r="J79" s="79"/>
      <c r="K79" s="79"/>
      <c r="L79" s="79"/>
      <c r="M79" s="80"/>
      <c r="N79" s="78">
        <f>IF($B79="",0,IF(COUNTIF('RECIPE INDEX'!$B$6:$B$105,$B79)&gt;1,1,0))</f>
      </c>
      <c r="O79" s="75"/>
    </row>
    <row r="80" ht="17" customHeight="1" spans="1:15" x14ac:dyDescent="0.25">
      <c r="A80" s="75"/>
      <c r="B80" s="79"/>
      <c r="C80" s="80"/>
      <c r="D80" s="80"/>
      <c r="E80" s="79"/>
      <c r="F80" s="79"/>
      <c r="G80" s="79"/>
      <c r="H80" s="79"/>
      <c r="I80" s="79"/>
      <c r="J80" s="79"/>
      <c r="K80" s="79"/>
      <c r="L80" s="79"/>
      <c r="M80" s="80"/>
      <c r="N80" s="78">
        <f>IF($B80="",0,IF(COUNTIF('RECIPE INDEX'!$B$6:$B$105,$B80)&gt;1,1,0))</f>
      </c>
      <c r="O80" s="75"/>
    </row>
    <row r="81" ht="17" customHeight="1" spans="1:15" x14ac:dyDescent="0.25">
      <c r="A81" s="75"/>
      <c r="B81" s="79"/>
      <c r="C81" s="80"/>
      <c r="D81" s="80"/>
      <c r="E81" s="79"/>
      <c r="F81" s="79"/>
      <c r="G81" s="79"/>
      <c r="H81" s="79"/>
      <c r="I81" s="79"/>
      <c r="J81" s="79"/>
      <c r="K81" s="79"/>
      <c r="L81" s="79"/>
      <c r="M81" s="80"/>
      <c r="N81" s="78">
        <f>IF($B81="",0,IF(COUNTIF('RECIPE INDEX'!$B$6:$B$105,$B81)&gt;1,1,0))</f>
      </c>
      <c r="O81" s="75"/>
    </row>
    <row r="82" ht="17" customHeight="1" spans="1:15" x14ac:dyDescent="0.25">
      <c r="A82" s="75"/>
      <c r="B82" s="79"/>
      <c r="C82" s="80"/>
      <c r="D82" s="80"/>
      <c r="E82" s="79"/>
      <c r="F82" s="79"/>
      <c r="G82" s="79"/>
      <c r="H82" s="79"/>
      <c r="I82" s="79"/>
      <c r="J82" s="79"/>
      <c r="K82" s="79"/>
      <c r="L82" s="79"/>
      <c r="M82" s="80"/>
      <c r="N82" s="78">
        <f>IF($B82="",0,IF(COUNTIF('RECIPE INDEX'!$B$6:$B$105,$B82)&gt;1,1,0))</f>
      </c>
      <c r="O82" s="75"/>
    </row>
    <row r="83" ht="17" customHeight="1" spans="1:15" x14ac:dyDescent="0.25">
      <c r="A83" s="75"/>
      <c r="B83" s="79"/>
      <c r="C83" s="80"/>
      <c r="D83" s="80"/>
      <c r="E83" s="79"/>
      <c r="F83" s="79"/>
      <c r="G83" s="79"/>
      <c r="H83" s="79"/>
      <c r="I83" s="79"/>
      <c r="J83" s="79"/>
      <c r="K83" s="79"/>
      <c r="L83" s="79"/>
      <c r="M83" s="80"/>
      <c r="N83" s="78">
        <f>IF($B83="",0,IF(COUNTIF('RECIPE INDEX'!$B$6:$B$105,$B83)&gt;1,1,0))</f>
      </c>
      <c r="O83" s="75"/>
    </row>
    <row r="84" ht="17" customHeight="1" spans="1:15" x14ac:dyDescent="0.25">
      <c r="A84" s="75"/>
      <c r="B84" s="79"/>
      <c r="C84" s="80"/>
      <c r="D84" s="80"/>
      <c r="E84" s="79"/>
      <c r="F84" s="79"/>
      <c r="G84" s="79"/>
      <c r="H84" s="79"/>
      <c r="I84" s="79"/>
      <c r="J84" s="79"/>
      <c r="K84" s="79"/>
      <c r="L84" s="79"/>
      <c r="M84" s="80"/>
      <c r="N84" s="78">
        <f>IF($B84="",0,IF(COUNTIF('RECIPE INDEX'!$B$6:$B$105,$B84)&gt;1,1,0))</f>
      </c>
      <c r="O84" s="75"/>
    </row>
    <row r="85" ht="17" customHeight="1" spans="1:15" x14ac:dyDescent="0.25">
      <c r="A85" s="75"/>
      <c r="B85" s="79"/>
      <c r="C85" s="80"/>
      <c r="D85" s="80"/>
      <c r="E85" s="79"/>
      <c r="F85" s="79"/>
      <c r="G85" s="79"/>
      <c r="H85" s="79"/>
      <c r="I85" s="79"/>
      <c r="J85" s="79"/>
      <c r="K85" s="79"/>
      <c r="L85" s="79"/>
      <c r="M85" s="80"/>
      <c r="N85" s="78">
        <f>IF($B85="",0,IF(COUNTIF('RECIPE INDEX'!$B$6:$B$105,$B85)&gt;1,1,0))</f>
      </c>
      <c r="O85" s="75"/>
    </row>
    <row r="86" ht="17" customHeight="1" spans="1:15" x14ac:dyDescent="0.25">
      <c r="A86" s="75"/>
      <c r="B86" s="79"/>
      <c r="C86" s="80"/>
      <c r="D86" s="80"/>
      <c r="E86" s="79"/>
      <c r="F86" s="79"/>
      <c r="G86" s="79"/>
      <c r="H86" s="79"/>
      <c r="I86" s="79"/>
      <c r="J86" s="79"/>
      <c r="K86" s="79"/>
      <c r="L86" s="79"/>
      <c r="M86" s="80"/>
      <c r="N86" s="78">
        <f>IF($B86="",0,IF(COUNTIF('RECIPE INDEX'!$B$6:$B$105,$B86)&gt;1,1,0))</f>
      </c>
      <c r="O86" s="75"/>
    </row>
    <row r="87" ht="17" customHeight="1" spans="1:15" x14ac:dyDescent="0.25">
      <c r="A87" s="75"/>
      <c r="B87" s="79"/>
      <c r="C87" s="80"/>
      <c r="D87" s="80"/>
      <c r="E87" s="79"/>
      <c r="F87" s="79"/>
      <c r="G87" s="79"/>
      <c r="H87" s="79"/>
      <c r="I87" s="79"/>
      <c r="J87" s="79"/>
      <c r="K87" s="79"/>
      <c r="L87" s="79"/>
      <c r="M87" s="80"/>
      <c r="N87" s="78">
        <f>IF($B87="",0,IF(COUNTIF('RECIPE INDEX'!$B$6:$B$105,$B87)&gt;1,1,0))</f>
      </c>
      <c r="O87" s="75"/>
    </row>
    <row r="88" ht="17" customHeight="1" spans="1:15" x14ac:dyDescent="0.25">
      <c r="A88" s="75"/>
      <c r="B88" s="79"/>
      <c r="C88" s="80"/>
      <c r="D88" s="80"/>
      <c r="E88" s="79"/>
      <c r="F88" s="79"/>
      <c r="G88" s="79"/>
      <c r="H88" s="79"/>
      <c r="I88" s="79"/>
      <c r="J88" s="79"/>
      <c r="K88" s="79"/>
      <c r="L88" s="79"/>
      <c r="M88" s="80"/>
      <c r="N88" s="78">
        <f>IF($B88="",0,IF(COUNTIF('RECIPE INDEX'!$B$6:$B$105,$B88)&gt;1,1,0))</f>
      </c>
      <c r="O88" s="75"/>
    </row>
    <row r="89" ht="17" customHeight="1" spans="1:15" x14ac:dyDescent="0.25">
      <c r="A89" s="75"/>
      <c r="B89" s="79"/>
      <c r="C89" s="80"/>
      <c r="D89" s="80"/>
      <c r="E89" s="79"/>
      <c r="F89" s="79"/>
      <c r="G89" s="79"/>
      <c r="H89" s="79"/>
      <c r="I89" s="79"/>
      <c r="J89" s="79"/>
      <c r="K89" s="79"/>
      <c r="L89" s="79"/>
      <c r="M89" s="80"/>
      <c r="N89" s="78">
        <f>IF($B89="",0,IF(COUNTIF('RECIPE INDEX'!$B$6:$B$105,$B89)&gt;1,1,0))</f>
      </c>
      <c r="O89" s="75"/>
    </row>
    <row r="90" ht="17" customHeight="1" spans="1:15" x14ac:dyDescent="0.25">
      <c r="A90" s="75"/>
      <c r="B90" s="79"/>
      <c r="C90" s="80"/>
      <c r="D90" s="80"/>
      <c r="E90" s="79"/>
      <c r="F90" s="79"/>
      <c r="G90" s="79"/>
      <c r="H90" s="79"/>
      <c r="I90" s="79"/>
      <c r="J90" s="79"/>
      <c r="K90" s="79"/>
      <c r="L90" s="79"/>
      <c r="M90" s="80"/>
      <c r="N90" s="78">
        <f>IF($B90="",0,IF(COUNTIF('RECIPE INDEX'!$B$6:$B$105,$B90)&gt;1,1,0))</f>
      </c>
      <c r="O90" s="75"/>
    </row>
    <row r="91" ht="17" customHeight="1" spans="1:15" x14ac:dyDescent="0.25">
      <c r="A91" s="75"/>
      <c r="B91" s="79"/>
      <c r="C91" s="80"/>
      <c r="D91" s="80"/>
      <c r="E91" s="79"/>
      <c r="F91" s="79"/>
      <c r="G91" s="79"/>
      <c r="H91" s="79"/>
      <c r="I91" s="79"/>
      <c r="J91" s="79"/>
      <c r="K91" s="79"/>
      <c r="L91" s="79"/>
      <c r="M91" s="80"/>
      <c r="N91" s="78">
        <f>IF($B91="",0,IF(COUNTIF('RECIPE INDEX'!$B$6:$B$105,$B91)&gt;1,1,0))</f>
      </c>
      <c r="O91" s="75"/>
    </row>
    <row r="92" ht="17" customHeight="1" spans="1:15" x14ac:dyDescent="0.25">
      <c r="A92" s="75"/>
      <c r="B92" s="79"/>
      <c r="C92" s="80"/>
      <c r="D92" s="80"/>
      <c r="E92" s="79"/>
      <c r="F92" s="79"/>
      <c r="G92" s="79"/>
      <c r="H92" s="79"/>
      <c r="I92" s="79"/>
      <c r="J92" s="79"/>
      <c r="K92" s="79"/>
      <c r="L92" s="79"/>
      <c r="M92" s="80"/>
      <c r="N92" s="78">
        <f>IF($B92="",0,IF(COUNTIF('RECIPE INDEX'!$B$6:$B$105,$B92)&gt;1,1,0))</f>
      </c>
      <c r="O92" s="75"/>
    </row>
    <row r="93" ht="17" customHeight="1" spans="1:15" x14ac:dyDescent="0.25">
      <c r="A93" s="75"/>
      <c r="B93" s="79"/>
      <c r="C93" s="80"/>
      <c r="D93" s="80"/>
      <c r="E93" s="79"/>
      <c r="F93" s="79"/>
      <c r="G93" s="79"/>
      <c r="H93" s="79"/>
      <c r="I93" s="79"/>
      <c r="J93" s="79"/>
      <c r="K93" s="79"/>
      <c r="L93" s="79"/>
      <c r="M93" s="80"/>
      <c r="N93" s="78">
        <f>IF($B93="",0,IF(COUNTIF('RECIPE INDEX'!$B$6:$B$105,$B93)&gt;1,1,0))</f>
      </c>
      <c r="O93" s="75"/>
    </row>
    <row r="94" ht="17" customHeight="1" spans="1:15" x14ac:dyDescent="0.25">
      <c r="A94" s="75"/>
      <c r="B94" s="79"/>
      <c r="C94" s="80"/>
      <c r="D94" s="80"/>
      <c r="E94" s="79"/>
      <c r="F94" s="79"/>
      <c r="G94" s="79"/>
      <c r="H94" s="79"/>
      <c r="I94" s="79"/>
      <c r="J94" s="79"/>
      <c r="K94" s="79"/>
      <c r="L94" s="79"/>
      <c r="M94" s="80"/>
      <c r="N94" s="78">
        <f>IF($B94="",0,IF(COUNTIF('RECIPE INDEX'!$B$6:$B$105,$B94)&gt;1,1,0))</f>
      </c>
      <c r="O94" s="75"/>
    </row>
    <row r="95" ht="17" customHeight="1" spans="1:15" x14ac:dyDescent="0.25">
      <c r="A95" s="75"/>
      <c r="B95" s="79"/>
      <c r="C95" s="80"/>
      <c r="D95" s="80"/>
      <c r="E95" s="79"/>
      <c r="F95" s="79"/>
      <c r="G95" s="79"/>
      <c r="H95" s="79"/>
      <c r="I95" s="79"/>
      <c r="J95" s="79"/>
      <c r="K95" s="79"/>
      <c r="L95" s="79"/>
      <c r="M95" s="80"/>
      <c r="N95" s="78">
        <f>IF($B95="",0,IF(COUNTIF('RECIPE INDEX'!$B$6:$B$105,$B95)&gt;1,1,0))</f>
      </c>
      <c r="O95" s="75"/>
    </row>
    <row r="96" ht="17" customHeight="1" spans="1:15" x14ac:dyDescent="0.25">
      <c r="A96" s="75"/>
      <c r="B96" s="79"/>
      <c r="C96" s="80"/>
      <c r="D96" s="80"/>
      <c r="E96" s="79"/>
      <c r="F96" s="79"/>
      <c r="G96" s="79"/>
      <c r="H96" s="79"/>
      <c r="I96" s="79"/>
      <c r="J96" s="79"/>
      <c r="K96" s="79"/>
      <c r="L96" s="79"/>
      <c r="M96" s="80"/>
      <c r="N96" s="78">
        <f>IF($B96="",0,IF(COUNTIF('RECIPE INDEX'!$B$6:$B$105,$B96)&gt;1,1,0))</f>
      </c>
      <c r="O96" s="75"/>
    </row>
    <row r="97" ht="17" customHeight="1" spans="1:15" x14ac:dyDescent="0.25">
      <c r="A97" s="75"/>
      <c r="B97" s="79"/>
      <c r="C97" s="80"/>
      <c r="D97" s="80"/>
      <c r="E97" s="79"/>
      <c r="F97" s="79"/>
      <c r="G97" s="79"/>
      <c r="H97" s="79"/>
      <c r="I97" s="79"/>
      <c r="J97" s="79"/>
      <c r="K97" s="79"/>
      <c r="L97" s="79"/>
      <c r="M97" s="80"/>
      <c r="N97" s="78">
        <f>IF($B97="",0,IF(COUNTIF('RECIPE INDEX'!$B$6:$B$105,$B97)&gt;1,1,0))</f>
      </c>
      <c r="O97" s="75"/>
    </row>
    <row r="98" ht="17" customHeight="1" spans="1:15" x14ac:dyDescent="0.25">
      <c r="A98" s="75"/>
      <c r="B98" s="79"/>
      <c r="C98" s="80"/>
      <c r="D98" s="80"/>
      <c r="E98" s="79"/>
      <c r="F98" s="79"/>
      <c r="G98" s="79"/>
      <c r="H98" s="79"/>
      <c r="I98" s="79"/>
      <c r="J98" s="79"/>
      <c r="K98" s="79"/>
      <c r="L98" s="79"/>
      <c r="M98" s="80"/>
      <c r="N98" s="78">
        <f>IF($B98="",0,IF(COUNTIF('RECIPE INDEX'!$B$6:$B$105,$B98)&gt;1,1,0))</f>
      </c>
      <c r="O98" s="75"/>
    </row>
    <row r="99" ht="17" customHeight="1" spans="1:15" x14ac:dyDescent="0.25">
      <c r="A99" s="75"/>
      <c r="B99" s="79"/>
      <c r="C99" s="80"/>
      <c r="D99" s="80"/>
      <c r="E99" s="79"/>
      <c r="F99" s="79"/>
      <c r="G99" s="79"/>
      <c r="H99" s="79"/>
      <c r="I99" s="79"/>
      <c r="J99" s="79"/>
      <c r="K99" s="79"/>
      <c r="L99" s="79"/>
      <c r="M99" s="80"/>
      <c r="N99" s="78">
        <f>IF($B99="",0,IF(COUNTIF('RECIPE INDEX'!$B$6:$B$105,$B99)&gt;1,1,0))</f>
      </c>
      <c r="O99" s="75"/>
    </row>
    <row r="100" ht="17" customHeight="1" spans="1:15" x14ac:dyDescent="0.25">
      <c r="A100" s="75"/>
      <c r="B100" s="79"/>
      <c r="C100" s="80"/>
      <c r="D100" s="80"/>
      <c r="E100" s="79"/>
      <c r="F100" s="79"/>
      <c r="G100" s="79"/>
      <c r="H100" s="79"/>
      <c r="I100" s="79"/>
      <c r="J100" s="79"/>
      <c r="K100" s="79"/>
      <c r="L100" s="79"/>
      <c r="M100" s="80"/>
      <c r="N100" s="78">
        <f>IF($B100="",0,IF(COUNTIF('RECIPE INDEX'!$B$6:$B$105,$B100)&gt;1,1,0))</f>
      </c>
      <c r="O100" s="75"/>
    </row>
    <row r="101" ht="17" customHeight="1" spans="1:15" x14ac:dyDescent="0.25">
      <c r="A101" s="75"/>
      <c r="B101" s="79"/>
      <c r="C101" s="80"/>
      <c r="D101" s="80"/>
      <c r="E101" s="79"/>
      <c r="F101" s="79"/>
      <c r="G101" s="79"/>
      <c r="H101" s="79"/>
      <c r="I101" s="79"/>
      <c r="J101" s="79"/>
      <c r="K101" s="79"/>
      <c r="L101" s="79"/>
      <c r="M101" s="80"/>
      <c r="N101" s="78">
        <f>IF($B101="",0,IF(COUNTIF('RECIPE INDEX'!$B$6:$B$105,$B101)&gt;1,1,0))</f>
      </c>
      <c r="O101" s="75"/>
    </row>
    <row r="102" ht="17" customHeight="1" spans="1:15" x14ac:dyDescent="0.25">
      <c r="A102" s="75"/>
      <c r="B102" s="79"/>
      <c r="C102" s="80"/>
      <c r="D102" s="80"/>
      <c r="E102" s="79"/>
      <c r="F102" s="79"/>
      <c r="G102" s="79"/>
      <c r="H102" s="79"/>
      <c r="I102" s="79"/>
      <c r="J102" s="79"/>
      <c r="K102" s="79"/>
      <c r="L102" s="79"/>
      <c r="M102" s="80"/>
      <c r="N102" s="78">
        <f>IF($B102="",0,IF(COUNTIF('RECIPE INDEX'!$B$6:$B$105,$B102)&gt;1,1,0))</f>
      </c>
      <c r="O102" s="75"/>
    </row>
    <row r="103" ht="17" customHeight="1" spans="1:15" x14ac:dyDescent="0.25">
      <c r="A103" s="75"/>
      <c r="B103" s="79"/>
      <c r="C103" s="80"/>
      <c r="D103" s="80"/>
      <c r="E103" s="79"/>
      <c r="F103" s="79"/>
      <c r="G103" s="79"/>
      <c r="H103" s="79"/>
      <c r="I103" s="79"/>
      <c r="J103" s="79"/>
      <c r="K103" s="79"/>
      <c r="L103" s="79"/>
      <c r="M103" s="80"/>
      <c r="N103" s="78">
        <f>IF($B103="",0,IF(COUNTIF('RECIPE INDEX'!$B$6:$B$105,$B103)&gt;1,1,0))</f>
      </c>
      <c r="O103" s="75"/>
    </row>
    <row r="104" ht="17" customHeight="1" spans="1:15" x14ac:dyDescent="0.25">
      <c r="A104" s="75"/>
      <c r="B104" s="79"/>
      <c r="C104" s="80"/>
      <c r="D104" s="80"/>
      <c r="E104" s="79"/>
      <c r="F104" s="79"/>
      <c r="G104" s="79"/>
      <c r="H104" s="79"/>
      <c r="I104" s="79"/>
      <c r="J104" s="79"/>
      <c r="K104" s="79"/>
      <c r="L104" s="79"/>
      <c r="M104" s="80"/>
      <c r="N104" s="78">
        <f>IF($B104="",0,IF(COUNTIF('RECIPE INDEX'!$B$6:$B$105,$B104)&gt;1,1,0))</f>
      </c>
      <c r="O104" s="75"/>
    </row>
    <row r="105" ht="17" customHeight="1" spans="1:15" x14ac:dyDescent="0.25">
      <c r="A105" s="75"/>
      <c r="B105" s="79"/>
      <c r="C105" s="80"/>
      <c r="D105" s="80"/>
      <c r="E105" s="79"/>
      <c r="F105" s="79"/>
      <c r="G105" s="79"/>
      <c r="H105" s="79"/>
      <c r="I105" s="79"/>
      <c r="J105" s="79"/>
      <c r="K105" s="79"/>
      <c r="L105" s="79"/>
      <c r="M105" s="80"/>
      <c r="N105" s="78">
        <f>IF($B105="",0,IF(COUNTIF('RECIPE INDEX'!$B$6:$B$105,$B105)&gt;1,1,0))</f>
      </c>
      <c r="O105" s="75"/>
    </row>
  </sheetData>
  <autoFilter ref="B5:N105"/>
  <mergeCells count="1">
    <mergeCell ref="B1:C1"/>
  </mergeCells>
  <dataValidations count="4">
    <dataValidation type="list" allowBlank="1" showErrorMessage="1" errorStyle="warning" errorTitle="Not one of the usual values" error="This column normally uses a value from the RecipeCategory list on LISTS. You can keep what you typed, or add it to the list so it appears in the dropdown." sqref="F6:F105">
      <formula1>=List_RecipeCategory</formula1>
    </dataValidation>
    <dataValidation type="list" allowBlank="1" showErrorMessage="1" errorStyle="warning" errorTitle="Not one of the usual values" error="This column normally uses a value from the DietaryTag list on LISTS. You can keep what you typed, or add it to the list so it appears in the dropdown." sqref="J6:J105">
      <formula1>=List_DietaryTag</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K6:K105">
      <formula1>=List_YesNo</formula1>
    </dataValidation>
    <dataValidation type="list" allowBlank="1" showErrorMessage="1" errorStyle="warning" errorTitle="Not one of the usual values" error="This column normally uses a value from the Rating list on LISTS. You can keep what you typed, or add it to the list so it appears in the dropdown." sqref="L6:L105">
      <formula1>=List_Rating</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&amp;LRECIPE INDEX&amp;C&amp;P of &amp;N&amp;RThe Christmas Season Master Command Center™</oddFooter>
  </headerFooter>
  <legacyDrawing r:id="rId7"/>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V105"/>
  <sheetViews>
    <sheetView workbookViewId="0" showGridLines="0" zoomScale="90">
      <pane xSplit="5" ySplit="5" topLeftCell="F6" activePane="bottomRight" state="frozen"/>
      <selection pane="bottomRight"/>
    </sheetView>
  </sheetViews>
  <sheetFormatPr defaultRowHeight="15" outlineLevelRow="0" outlineLevelCol="0" x14ac:dyDescent="55"/>
  <cols>
    <col min="1" max="1" width="2" customWidth="1"/>
    <col min="2" max="3" width="11" customWidth="1"/>
    <col min="4" max="5" width="22" customWidth="1"/>
    <col min="6" max="6" width="11" customWidth="1"/>
    <col min="7" max="7" width="13" customWidth="1"/>
    <col min="8" max="8" width="15" customWidth="1"/>
    <col min="9" max="9" width="26" customWidth="1"/>
    <col min="10" max="10" width="30" customWidth="1"/>
    <col min="11" max="11" width="15" customWidth="1"/>
    <col min="12" max="12" width="13" customWidth="1"/>
    <col min="13" max="13" width="11" customWidth="1"/>
    <col min="14" max="14" width="13" customWidth="1"/>
    <col min="15" max="15" width="22" customWidth="1"/>
    <col min="16" max="16" width="28" customWidth="1"/>
    <col min="17" max="17" width="11" customWidth="1"/>
    <col min="18" max="18" width="34" customWidth="1"/>
    <col min="19" max="21" width="18" hidden="1" customWidth="1"/>
    <col min="22" max="22" width="2" customWidth="1"/>
  </cols>
  <sheetData>
    <row r="1" ht="21" customHeight="1" spans="1:22" x14ac:dyDescent="0.25">
      <c r="A1" s="62"/>
      <c r="B1" s="63" t="s">
        <v>8</v>
      </c>
      <c r="C1" s="63"/>
      <c r="D1" s="63" t="s">
        <v>9</v>
      </c>
      <c r="E1" s="63" t="s">
        <v>10</v>
      </c>
      <c r="F1" s="63" t="s">
        <v>11</v>
      </c>
      <c r="G1" s="63" t="s">
        <v>12</v>
      </c>
      <c r="H1" s="62"/>
      <c r="I1" s="62"/>
      <c r="J1" s="62"/>
      <c r="K1" s="62"/>
      <c r="L1" s="62"/>
      <c r="M1" s="62"/>
      <c r="N1" s="62"/>
      <c r="O1" s="62"/>
      <c r="P1" s="62"/>
      <c r="Q1" s="62"/>
      <c r="R1" s="62"/>
      <c r="S1" s="62"/>
      <c r="T1" s="62"/>
      <c r="U1" s="62"/>
      <c r="V1" s="62"/>
    </row>
    <row r="2" ht="34" customHeight="1" spans="1:22" x14ac:dyDescent="0.25">
      <c r="A2" s="64"/>
      <c r="B2" s="65" t="s">
        <v>667</v>
      </c>
      <c r="C2" s="64"/>
      <c r="D2" s="64"/>
      <c r="E2" s="64"/>
      <c r="F2" s="64"/>
      <c r="G2" s="64"/>
      <c r="H2" s="64"/>
      <c r="I2" s="64"/>
      <c r="J2" s="64"/>
      <c r="K2" s="64"/>
      <c r="L2" s="64"/>
      <c r="M2" s="64"/>
      <c r="N2" s="64"/>
      <c r="O2" s="64"/>
      <c r="P2" s="64"/>
      <c r="Q2" s="64"/>
      <c r="R2" s="64"/>
      <c r="S2" s="64"/>
      <c r="T2" s="64"/>
      <c r="U2" s="64"/>
      <c r="V2" s="64"/>
    </row>
    <row r="3" ht="18" customHeight="1" spans="1:22" x14ac:dyDescent="0.25">
      <c r="A3" s="64"/>
      <c r="B3" s="66" t="s">
        <v>668</v>
      </c>
      <c r="C3" s="64"/>
      <c r="D3" s="64"/>
      <c r="E3" s="64"/>
      <c r="F3" s="64"/>
      <c r="G3" s="64"/>
      <c r="H3" s="64"/>
      <c r="I3" s="64"/>
      <c r="J3" s="64"/>
      <c r="K3" s="64"/>
      <c r="L3" s="64"/>
      <c r="M3" s="64"/>
      <c r="N3" s="64"/>
      <c r="O3" s="64"/>
      <c r="P3" s="64"/>
      <c r="Q3" s="64"/>
      <c r="R3" s="64"/>
      <c r="S3" s="64"/>
      <c r="T3" s="64"/>
      <c r="U3" s="64"/>
      <c r="V3" s="64"/>
    </row>
    <row r="4" ht="17" customHeight="1" spans="1:22" x14ac:dyDescent="0.25">
      <c r="A4" s="64"/>
      <c r="B4" s="67" t="s">
        <v>160</v>
      </c>
      <c r="C4" s="64"/>
      <c r="D4" s="64"/>
      <c r="E4" s="64"/>
      <c r="F4" s="64"/>
      <c r="G4" s="64"/>
      <c r="H4" s="64"/>
      <c r="I4" s="64"/>
      <c r="J4" s="64"/>
      <c r="K4" s="64"/>
      <c r="L4" s="64"/>
      <c r="M4" s="64"/>
      <c r="N4" s="64"/>
      <c r="O4" s="64"/>
      <c r="P4" s="64"/>
      <c r="Q4" s="64"/>
      <c r="R4" s="64"/>
      <c r="S4" s="64"/>
      <c r="T4" s="64"/>
      <c r="U4" s="64"/>
      <c r="V4" s="64"/>
    </row>
    <row r="5" ht="32" customHeight="1" spans="1:22" x14ac:dyDescent="0.25">
      <c r="A5" s="73"/>
      <c r="B5" s="74" t="s">
        <v>669</v>
      </c>
      <c r="C5" s="74" t="s">
        <v>197</v>
      </c>
      <c r="D5" s="74" t="s">
        <v>198</v>
      </c>
      <c r="E5" s="74" t="s">
        <v>670</v>
      </c>
      <c r="F5" s="74" t="s">
        <v>448</v>
      </c>
      <c r="G5" s="74" t="s">
        <v>260</v>
      </c>
      <c r="H5" s="74" t="s">
        <v>597</v>
      </c>
      <c r="I5" s="74" t="s">
        <v>671</v>
      </c>
      <c r="J5" s="74" t="s">
        <v>672</v>
      </c>
      <c r="K5" s="74" t="s">
        <v>673</v>
      </c>
      <c r="L5" s="74" t="s">
        <v>674</v>
      </c>
      <c r="M5" s="74" t="s">
        <v>675</v>
      </c>
      <c r="N5" s="74" t="s">
        <v>676</v>
      </c>
      <c r="O5" s="74" t="s">
        <v>677</v>
      </c>
      <c r="P5" s="74" t="s">
        <v>678</v>
      </c>
      <c r="Q5" s="74" t="s">
        <v>457</v>
      </c>
      <c r="R5" s="74" t="s">
        <v>179</v>
      </c>
      <c r="S5" s="74" t="s">
        <v>180</v>
      </c>
      <c r="T5" s="74" t="s">
        <v>324</v>
      </c>
      <c r="U5" s="74" t="s">
        <v>458</v>
      </c>
      <c r="V5" s="73"/>
    </row>
    <row r="6" ht="17" customHeight="1" spans="1:22" x14ac:dyDescent="0.25">
      <c r="A6" s="75"/>
      <c r="B6" s="76" t="s">
        <v>679</v>
      </c>
      <c r="C6" s="76" t="s">
        <v>213</v>
      </c>
      <c r="D6" s="78">
        <f>IF($B6="","",IF($C6="",$E6,IF($C6="","",IFERROR(IF(INDEX('PEOPLE + BUDGETS'!$C$6:$C$105,MATCH($C6,'PEOPLE + BUDGETS'!$B$6:$B$105,0))="","",INDEX('PEOPLE + BUDGETS'!$C$6:$C$105,MATCH($C6,'PEOPLE + BUDGETS'!$B$6:$B$105,0))),""))))</f>
      </c>
      <c r="E6" s="76"/>
      <c r="F6" s="76" t="s">
        <v>429</v>
      </c>
      <c r="G6" s="76" t="s">
        <v>223</v>
      </c>
      <c r="H6" s="76" t="s">
        <v>379</v>
      </c>
      <c r="I6" s="77" t="s">
        <v>680</v>
      </c>
      <c r="J6" s="77" t="s">
        <v>681</v>
      </c>
      <c r="K6" s="76" t="s">
        <v>682</v>
      </c>
      <c r="L6" s="81">
        <v>46379</v>
      </c>
      <c r="M6" s="94" t="s">
        <v>571</v>
      </c>
      <c r="N6" s="81">
        <v>46383</v>
      </c>
      <c r="O6" s="76" t="s">
        <v>683</v>
      </c>
      <c r="P6" s="77" t="s">
        <v>684</v>
      </c>
      <c r="Q6" s="76" t="s">
        <v>194</v>
      </c>
      <c r="R6" s="77" t="s">
        <v>186</v>
      </c>
      <c r="S6" s="78">
        <f>IF($B6="",0,IF(COUNTIF('HOSTING + GUESTS'!$B$6:$B$105,$B6)&gt;1,1,0))</f>
      </c>
      <c r="T6" s="78">
        <f>IF($C6="",0,IF(COUNTIF('PEOPLE + BUDGETS'!$B$6:$B$105,$C6)=0,1,0))</f>
      </c>
      <c r="U6" s="78">
        <f>IF($F6="",0,IF(COUNTIF('CHRISTMAS CALENDAR'!$B$6:$B$205,$F6)=0,1,0))</f>
      </c>
      <c r="V6" s="75"/>
    </row>
    <row r="7" ht="17" customHeight="1" spans="1:22" x14ac:dyDescent="0.25">
      <c r="A7" s="75"/>
      <c r="B7" s="76" t="s">
        <v>685</v>
      </c>
      <c r="C7" s="76" t="s">
        <v>239</v>
      </c>
      <c r="D7" s="78">
        <f>IF($B7="","",IF($C7="",$E7,IF($C7="","",IFERROR(IF(INDEX('PEOPLE + BUDGETS'!$C$6:$C$105,MATCH($C7,'PEOPLE + BUDGETS'!$B$6:$B$105,0))="","",INDEX('PEOPLE + BUDGETS'!$C$6:$C$105,MATCH($C7,'PEOPLE + BUDGETS'!$B$6:$B$105,0))),""))))</f>
      </c>
      <c r="E7" s="76"/>
      <c r="F7" s="76" t="s">
        <v>429</v>
      </c>
      <c r="G7" s="76" t="s">
        <v>223</v>
      </c>
      <c r="H7" s="76" t="s">
        <v>379</v>
      </c>
      <c r="I7" s="77" t="s">
        <v>686</v>
      </c>
      <c r="J7" s="77" t="s">
        <v>687</v>
      </c>
      <c r="K7" s="76" t="s">
        <v>688</v>
      </c>
      <c r="L7" s="81">
        <v>46378</v>
      </c>
      <c r="M7" s="94" t="s">
        <v>689</v>
      </c>
      <c r="N7" s="81">
        <v>46382</v>
      </c>
      <c r="O7" s="76" t="s">
        <v>690</v>
      </c>
      <c r="P7" s="77"/>
      <c r="Q7" s="76" t="s">
        <v>194</v>
      </c>
      <c r="R7" s="77" t="s">
        <v>186</v>
      </c>
      <c r="S7" s="78">
        <f>IF($B7="",0,IF(COUNTIF('HOSTING + GUESTS'!$B$6:$B$105,$B7)&gt;1,1,0))</f>
      </c>
      <c r="T7" s="78">
        <f>IF($C7="",0,IF(COUNTIF('PEOPLE + BUDGETS'!$B$6:$B$105,$C7)=0,1,0))</f>
      </c>
      <c r="U7" s="78">
        <f>IF($F7="",0,IF(COUNTIF('CHRISTMAS CALENDAR'!$B$6:$B$205,$F7)=0,1,0))</f>
      </c>
      <c r="V7" s="75"/>
    </row>
    <row r="8" ht="17" customHeight="1" spans="1:22" x14ac:dyDescent="0.25">
      <c r="A8" s="75"/>
      <c r="B8" s="76" t="s">
        <v>691</v>
      </c>
      <c r="C8" s="76"/>
      <c r="D8" s="78">
        <f>IF($B8="","",IF($C8="",$E8,IF($C8="","",IFERROR(IF(INDEX('PEOPLE + BUDGETS'!$C$6:$C$105,MATCH($C8,'PEOPLE + BUDGETS'!$B$6:$B$105,0))="","",INDEX('PEOPLE + BUDGETS'!$C$6:$C$105,MATCH($C8,'PEOPLE + BUDGETS'!$B$6:$B$105,0))),""))))</f>
      </c>
      <c r="E8" s="76" t="s">
        <v>692</v>
      </c>
      <c r="F8" s="76"/>
      <c r="G8" s="76" t="s">
        <v>693</v>
      </c>
      <c r="H8" s="76" t="s">
        <v>610</v>
      </c>
      <c r="I8" s="77"/>
      <c r="J8" s="77" t="s">
        <v>694</v>
      </c>
      <c r="K8" s="76" t="s">
        <v>695</v>
      </c>
      <c r="L8" s="81">
        <v>46368</v>
      </c>
      <c r="M8" s="94" t="s">
        <v>430</v>
      </c>
      <c r="N8" s="81"/>
      <c r="O8" s="76" t="s">
        <v>696</v>
      </c>
      <c r="P8" s="77"/>
      <c r="Q8" s="76" t="s">
        <v>194</v>
      </c>
      <c r="R8" s="77" t="s">
        <v>186</v>
      </c>
      <c r="S8" s="78">
        <f>IF($B8="",0,IF(COUNTIF('HOSTING + GUESTS'!$B$6:$B$105,$B8)&gt;1,1,0))</f>
      </c>
      <c r="T8" s="78">
        <f>IF($C8="",0,IF(COUNTIF('PEOPLE + BUDGETS'!$B$6:$B$105,$C8)=0,1,0))</f>
      </c>
      <c r="U8" s="78">
        <f>IF($F8="",0,IF(COUNTIF('CHRISTMAS CALENDAR'!$B$6:$B$205,$F8)=0,1,0))</f>
      </c>
      <c r="V8" s="75"/>
    </row>
    <row r="9" ht="17" customHeight="1" spans="1:22" x14ac:dyDescent="0.25">
      <c r="A9" s="75"/>
      <c r="B9" s="79"/>
      <c r="C9" s="79"/>
      <c r="D9" s="78">
        <f>IF($B9="","",IF($C9="",$E9,IF($C9="","",IFERROR(IF(INDEX('PEOPLE + BUDGETS'!$C$6:$C$105,MATCH($C9,'PEOPLE + BUDGETS'!$B$6:$B$105,0))="","",INDEX('PEOPLE + BUDGETS'!$C$6:$C$105,MATCH($C9,'PEOPLE + BUDGETS'!$B$6:$B$105,0))),""))))</f>
      </c>
      <c r="E9" s="79"/>
      <c r="F9" s="79"/>
      <c r="G9" s="79"/>
      <c r="H9" s="79"/>
      <c r="I9" s="80"/>
      <c r="J9" s="80"/>
      <c r="K9" s="79"/>
      <c r="L9" s="82"/>
      <c r="M9" s="96"/>
      <c r="N9" s="82"/>
      <c r="O9" s="79"/>
      <c r="P9" s="80"/>
      <c r="Q9" s="79"/>
      <c r="R9" s="80"/>
      <c r="S9" s="78">
        <f>IF($B9="",0,IF(COUNTIF('HOSTING + GUESTS'!$B$6:$B$105,$B9)&gt;1,1,0))</f>
      </c>
      <c r="T9" s="78">
        <f>IF($C9="",0,IF(COUNTIF('PEOPLE + BUDGETS'!$B$6:$B$105,$C9)=0,1,0))</f>
      </c>
      <c r="U9" s="78">
        <f>IF($F9="",0,IF(COUNTIF('CHRISTMAS CALENDAR'!$B$6:$B$205,$F9)=0,1,0))</f>
      </c>
      <c r="V9" s="75"/>
    </row>
    <row r="10" ht="17" customHeight="1" spans="1:22" x14ac:dyDescent="0.25">
      <c r="A10" s="75"/>
      <c r="B10" s="79"/>
      <c r="C10" s="79"/>
      <c r="D10" s="78">
        <f>IF($B10="","",IF($C10="",$E10,IF($C10="","",IFERROR(IF(INDEX('PEOPLE + BUDGETS'!$C$6:$C$105,MATCH($C10,'PEOPLE + BUDGETS'!$B$6:$B$105,0))="","",INDEX('PEOPLE + BUDGETS'!$C$6:$C$105,MATCH($C10,'PEOPLE + BUDGETS'!$B$6:$B$105,0))),""))))</f>
      </c>
      <c r="E10" s="79"/>
      <c r="F10" s="79"/>
      <c r="G10" s="79"/>
      <c r="H10" s="79"/>
      <c r="I10" s="80"/>
      <c r="J10" s="80"/>
      <c r="K10" s="79"/>
      <c r="L10" s="82"/>
      <c r="M10" s="96"/>
      <c r="N10" s="82"/>
      <c r="O10" s="79"/>
      <c r="P10" s="80"/>
      <c r="Q10" s="79"/>
      <c r="R10" s="80"/>
      <c r="S10" s="78">
        <f>IF($B10="",0,IF(COUNTIF('HOSTING + GUESTS'!$B$6:$B$105,$B10)&gt;1,1,0))</f>
      </c>
      <c r="T10" s="78">
        <f>IF($C10="",0,IF(COUNTIF('PEOPLE + BUDGETS'!$B$6:$B$105,$C10)=0,1,0))</f>
      </c>
      <c r="U10" s="78">
        <f>IF($F10="",0,IF(COUNTIF('CHRISTMAS CALENDAR'!$B$6:$B$205,$F10)=0,1,0))</f>
      </c>
      <c r="V10" s="75"/>
    </row>
    <row r="11" ht="17" customHeight="1" spans="1:22" x14ac:dyDescent="0.25">
      <c r="A11" s="75"/>
      <c r="B11" s="79"/>
      <c r="C11" s="79"/>
      <c r="D11" s="78">
        <f>IF($B11="","",IF($C11="",$E11,IF($C11="","",IFERROR(IF(INDEX('PEOPLE + BUDGETS'!$C$6:$C$105,MATCH($C11,'PEOPLE + BUDGETS'!$B$6:$B$105,0))="","",INDEX('PEOPLE + BUDGETS'!$C$6:$C$105,MATCH($C11,'PEOPLE + BUDGETS'!$B$6:$B$105,0))),""))))</f>
      </c>
      <c r="E11" s="79"/>
      <c r="F11" s="79"/>
      <c r="G11" s="79"/>
      <c r="H11" s="79"/>
      <c r="I11" s="80"/>
      <c r="J11" s="80"/>
      <c r="K11" s="79"/>
      <c r="L11" s="82"/>
      <c r="M11" s="96"/>
      <c r="N11" s="82"/>
      <c r="O11" s="79"/>
      <c r="P11" s="80"/>
      <c r="Q11" s="79"/>
      <c r="R11" s="80"/>
      <c r="S11" s="78">
        <f>IF($B11="",0,IF(COUNTIF('HOSTING + GUESTS'!$B$6:$B$105,$B11)&gt;1,1,0))</f>
      </c>
      <c r="T11" s="78">
        <f>IF($C11="",0,IF(COUNTIF('PEOPLE + BUDGETS'!$B$6:$B$105,$C11)=0,1,0))</f>
      </c>
      <c r="U11" s="78">
        <f>IF($F11="",0,IF(COUNTIF('CHRISTMAS CALENDAR'!$B$6:$B$205,$F11)=0,1,0))</f>
      </c>
      <c r="V11" s="75"/>
    </row>
    <row r="12" ht="17" customHeight="1" spans="1:22" x14ac:dyDescent="0.25">
      <c r="A12" s="75"/>
      <c r="B12" s="79"/>
      <c r="C12" s="79"/>
      <c r="D12" s="78">
        <f>IF($B12="","",IF($C12="",$E12,IF($C12="","",IFERROR(IF(INDEX('PEOPLE + BUDGETS'!$C$6:$C$105,MATCH($C12,'PEOPLE + BUDGETS'!$B$6:$B$105,0))="","",INDEX('PEOPLE + BUDGETS'!$C$6:$C$105,MATCH($C12,'PEOPLE + BUDGETS'!$B$6:$B$105,0))),""))))</f>
      </c>
      <c r="E12" s="79"/>
      <c r="F12" s="79"/>
      <c r="G12" s="79"/>
      <c r="H12" s="79"/>
      <c r="I12" s="80"/>
      <c r="J12" s="80"/>
      <c r="K12" s="79"/>
      <c r="L12" s="82"/>
      <c r="M12" s="96"/>
      <c r="N12" s="82"/>
      <c r="O12" s="79"/>
      <c r="P12" s="80"/>
      <c r="Q12" s="79"/>
      <c r="R12" s="80"/>
      <c r="S12" s="78">
        <f>IF($B12="",0,IF(COUNTIF('HOSTING + GUESTS'!$B$6:$B$105,$B12)&gt;1,1,0))</f>
      </c>
      <c r="T12" s="78">
        <f>IF($C12="",0,IF(COUNTIF('PEOPLE + BUDGETS'!$B$6:$B$105,$C12)=0,1,0))</f>
      </c>
      <c r="U12" s="78">
        <f>IF($F12="",0,IF(COUNTIF('CHRISTMAS CALENDAR'!$B$6:$B$205,$F12)=0,1,0))</f>
      </c>
      <c r="V12" s="75"/>
    </row>
    <row r="13" ht="17" customHeight="1" spans="1:22" x14ac:dyDescent="0.25">
      <c r="A13" s="75"/>
      <c r="B13" s="79"/>
      <c r="C13" s="79"/>
      <c r="D13" s="78">
        <f>IF($B13="","",IF($C13="",$E13,IF($C13="","",IFERROR(IF(INDEX('PEOPLE + BUDGETS'!$C$6:$C$105,MATCH($C13,'PEOPLE + BUDGETS'!$B$6:$B$105,0))="","",INDEX('PEOPLE + BUDGETS'!$C$6:$C$105,MATCH($C13,'PEOPLE + BUDGETS'!$B$6:$B$105,0))),""))))</f>
      </c>
      <c r="E13" s="79"/>
      <c r="F13" s="79"/>
      <c r="G13" s="79"/>
      <c r="H13" s="79"/>
      <c r="I13" s="80"/>
      <c r="J13" s="80"/>
      <c r="K13" s="79"/>
      <c r="L13" s="82"/>
      <c r="M13" s="96"/>
      <c r="N13" s="82"/>
      <c r="O13" s="79"/>
      <c r="P13" s="80"/>
      <c r="Q13" s="79"/>
      <c r="R13" s="80"/>
      <c r="S13" s="78">
        <f>IF($B13="",0,IF(COUNTIF('HOSTING + GUESTS'!$B$6:$B$105,$B13)&gt;1,1,0))</f>
      </c>
      <c r="T13" s="78">
        <f>IF($C13="",0,IF(COUNTIF('PEOPLE + BUDGETS'!$B$6:$B$105,$C13)=0,1,0))</f>
      </c>
      <c r="U13" s="78">
        <f>IF($F13="",0,IF(COUNTIF('CHRISTMAS CALENDAR'!$B$6:$B$205,$F13)=0,1,0))</f>
      </c>
      <c r="V13" s="75"/>
    </row>
    <row r="14" ht="17" customHeight="1" spans="1:22" x14ac:dyDescent="0.25">
      <c r="A14" s="75"/>
      <c r="B14" s="79"/>
      <c r="C14" s="79"/>
      <c r="D14" s="78">
        <f>IF($B14="","",IF($C14="",$E14,IF($C14="","",IFERROR(IF(INDEX('PEOPLE + BUDGETS'!$C$6:$C$105,MATCH($C14,'PEOPLE + BUDGETS'!$B$6:$B$105,0))="","",INDEX('PEOPLE + BUDGETS'!$C$6:$C$105,MATCH($C14,'PEOPLE + BUDGETS'!$B$6:$B$105,0))),""))))</f>
      </c>
      <c r="E14" s="79"/>
      <c r="F14" s="79"/>
      <c r="G14" s="79"/>
      <c r="H14" s="79"/>
      <c r="I14" s="80"/>
      <c r="J14" s="80"/>
      <c r="K14" s="79"/>
      <c r="L14" s="82"/>
      <c r="M14" s="96"/>
      <c r="N14" s="82"/>
      <c r="O14" s="79"/>
      <c r="P14" s="80"/>
      <c r="Q14" s="79"/>
      <c r="R14" s="80"/>
      <c r="S14" s="78">
        <f>IF($B14="",0,IF(COUNTIF('HOSTING + GUESTS'!$B$6:$B$105,$B14)&gt;1,1,0))</f>
      </c>
      <c r="T14" s="78">
        <f>IF($C14="",0,IF(COUNTIF('PEOPLE + BUDGETS'!$B$6:$B$105,$C14)=0,1,0))</f>
      </c>
      <c r="U14" s="78">
        <f>IF($F14="",0,IF(COUNTIF('CHRISTMAS CALENDAR'!$B$6:$B$205,$F14)=0,1,0))</f>
      </c>
      <c r="V14" s="75"/>
    </row>
    <row r="15" ht="17" customHeight="1" spans="1:22" x14ac:dyDescent="0.25">
      <c r="A15" s="75"/>
      <c r="B15" s="79"/>
      <c r="C15" s="79"/>
      <c r="D15" s="78">
        <f>IF($B15="","",IF($C15="",$E15,IF($C15="","",IFERROR(IF(INDEX('PEOPLE + BUDGETS'!$C$6:$C$105,MATCH($C15,'PEOPLE + BUDGETS'!$B$6:$B$105,0))="","",INDEX('PEOPLE + BUDGETS'!$C$6:$C$105,MATCH($C15,'PEOPLE + BUDGETS'!$B$6:$B$105,0))),""))))</f>
      </c>
      <c r="E15" s="79"/>
      <c r="F15" s="79"/>
      <c r="G15" s="79"/>
      <c r="H15" s="79"/>
      <c r="I15" s="80"/>
      <c r="J15" s="80"/>
      <c r="K15" s="79"/>
      <c r="L15" s="82"/>
      <c r="M15" s="96"/>
      <c r="N15" s="82"/>
      <c r="O15" s="79"/>
      <c r="P15" s="80"/>
      <c r="Q15" s="79"/>
      <c r="R15" s="80"/>
      <c r="S15" s="78">
        <f>IF($B15="",0,IF(COUNTIF('HOSTING + GUESTS'!$B$6:$B$105,$B15)&gt;1,1,0))</f>
      </c>
      <c r="T15" s="78">
        <f>IF($C15="",0,IF(COUNTIF('PEOPLE + BUDGETS'!$B$6:$B$105,$C15)=0,1,0))</f>
      </c>
      <c r="U15" s="78">
        <f>IF($F15="",0,IF(COUNTIF('CHRISTMAS CALENDAR'!$B$6:$B$205,$F15)=0,1,0))</f>
      </c>
      <c r="V15" s="75"/>
    </row>
    <row r="16" ht="17" customHeight="1" spans="1:22" x14ac:dyDescent="0.25">
      <c r="A16" s="75"/>
      <c r="B16" s="79"/>
      <c r="C16" s="79"/>
      <c r="D16" s="78">
        <f>IF($B16="","",IF($C16="",$E16,IF($C16="","",IFERROR(IF(INDEX('PEOPLE + BUDGETS'!$C$6:$C$105,MATCH($C16,'PEOPLE + BUDGETS'!$B$6:$B$105,0))="","",INDEX('PEOPLE + BUDGETS'!$C$6:$C$105,MATCH($C16,'PEOPLE + BUDGETS'!$B$6:$B$105,0))),""))))</f>
      </c>
      <c r="E16" s="79"/>
      <c r="F16" s="79"/>
      <c r="G16" s="79"/>
      <c r="H16" s="79"/>
      <c r="I16" s="80"/>
      <c r="J16" s="80"/>
      <c r="K16" s="79"/>
      <c r="L16" s="82"/>
      <c r="M16" s="96"/>
      <c r="N16" s="82"/>
      <c r="O16" s="79"/>
      <c r="P16" s="80"/>
      <c r="Q16" s="79"/>
      <c r="R16" s="80"/>
      <c r="S16" s="78">
        <f>IF($B16="",0,IF(COUNTIF('HOSTING + GUESTS'!$B$6:$B$105,$B16)&gt;1,1,0))</f>
      </c>
      <c r="T16" s="78">
        <f>IF($C16="",0,IF(COUNTIF('PEOPLE + BUDGETS'!$B$6:$B$105,$C16)=0,1,0))</f>
      </c>
      <c r="U16" s="78">
        <f>IF($F16="",0,IF(COUNTIF('CHRISTMAS CALENDAR'!$B$6:$B$205,$F16)=0,1,0))</f>
      </c>
      <c r="V16" s="75"/>
    </row>
    <row r="17" ht="17" customHeight="1" spans="1:22" x14ac:dyDescent="0.25">
      <c r="A17" s="75"/>
      <c r="B17" s="79"/>
      <c r="C17" s="79"/>
      <c r="D17" s="78">
        <f>IF($B17="","",IF($C17="",$E17,IF($C17="","",IFERROR(IF(INDEX('PEOPLE + BUDGETS'!$C$6:$C$105,MATCH($C17,'PEOPLE + BUDGETS'!$B$6:$B$105,0))="","",INDEX('PEOPLE + BUDGETS'!$C$6:$C$105,MATCH($C17,'PEOPLE + BUDGETS'!$B$6:$B$105,0))),""))))</f>
      </c>
      <c r="E17" s="79"/>
      <c r="F17" s="79"/>
      <c r="G17" s="79"/>
      <c r="H17" s="79"/>
      <c r="I17" s="80"/>
      <c r="J17" s="80"/>
      <c r="K17" s="79"/>
      <c r="L17" s="82"/>
      <c r="M17" s="96"/>
      <c r="N17" s="82"/>
      <c r="O17" s="79"/>
      <c r="P17" s="80"/>
      <c r="Q17" s="79"/>
      <c r="R17" s="80"/>
      <c r="S17" s="78">
        <f>IF($B17="",0,IF(COUNTIF('HOSTING + GUESTS'!$B$6:$B$105,$B17)&gt;1,1,0))</f>
      </c>
      <c r="T17" s="78">
        <f>IF($C17="",0,IF(COUNTIF('PEOPLE + BUDGETS'!$B$6:$B$105,$C17)=0,1,0))</f>
      </c>
      <c r="U17" s="78">
        <f>IF($F17="",0,IF(COUNTIF('CHRISTMAS CALENDAR'!$B$6:$B$205,$F17)=0,1,0))</f>
      </c>
      <c r="V17" s="75"/>
    </row>
    <row r="18" ht="17" customHeight="1" spans="1:22" x14ac:dyDescent="0.25">
      <c r="A18" s="75"/>
      <c r="B18" s="79"/>
      <c r="C18" s="79"/>
      <c r="D18" s="78">
        <f>IF($B18="","",IF($C18="",$E18,IF($C18="","",IFERROR(IF(INDEX('PEOPLE + BUDGETS'!$C$6:$C$105,MATCH($C18,'PEOPLE + BUDGETS'!$B$6:$B$105,0))="","",INDEX('PEOPLE + BUDGETS'!$C$6:$C$105,MATCH($C18,'PEOPLE + BUDGETS'!$B$6:$B$105,0))),""))))</f>
      </c>
      <c r="E18" s="79"/>
      <c r="F18" s="79"/>
      <c r="G18" s="79"/>
      <c r="H18" s="79"/>
      <c r="I18" s="80"/>
      <c r="J18" s="80"/>
      <c r="K18" s="79"/>
      <c r="L18" s="82"/>
      <c r="M18" s="96"/>
      <c r="N18" s="82"/>
      <c r="O18" s="79"/>
      <c r="P18" s="80"/>
      <c r="Q18" s="79"/>
      <c r="R18" s="80"/>
      <c r="S18" s="78">
        <f>IF($B18="",0,IF(COUNTIF('HOSTING + GUESTS'!$B$6:$B$105,$B18)&gt;1,1,0))</f>
      </c>
      <c r="T18" s="78">
        <f>IF($C18="",0,IF(COUNTIF('PEOPLE + BUDGETS'!$B$6:$B$105,$C18)=0,1,0))</f>
      </c>
      <c r="U18" s="78">
        <f>IF($F18="",0,IF(COUNTIF('CHRISTMAS CALENDAR'!$B$6:$B$205,$F18)=0,1,0))</f>
      </c>
      <c r="V18" s="75"/>
    </row>
    <row r="19" ht="17" customHeight="1" spans="1:22" x14ac:dyDescent="0.25">
      <c r="A19" s="75"/>
      <c r="B19" s="79"/>
      <c r="C19" s="79"/>
      <c r="D19" s="78">
        <f>IF($B19="","",IF($C19="",$E19,IF($C19="","",IFERROR(IF(INDEX('PEOPLE + BUDGETS'!$C$6:$C$105,MATCH($C19,'PEOPLE + BUDGETS'!$B$6:$B$105,0))="","",INDEX('PEOPLE + BUDGETS'!$C$6:$C$105,MATCH($C19,'PEOPLE + BUDGETS'!$B$6:$B$105,0))),""))))</f>
      </c>
      <c r="E19" s="79"/>
      <c r="F19" s="79"/>
      <c r="G19" s="79"/>
      <c r="H19" s="79"/>
      <c r="I19" s="80"/>
      <c r="J19" s="80"/>
      <c r="K19" s="79"/>
      <c r="L19" s="82"/>
      <c r="M19" s="96"/>
      <c r="N19" s="82"/>
      <c r="O19" s="79"/>
      <c r="P19" s="80"/>
      <c r="Q19" s="79"/>
      <c r="R19" s="80"/>
      <c r="S19" s="78">
        <f>IF($B19="",0,IF(COUNTIF('HOSTING + GUESTS'!$B$6:$B$105,$B19)&gt;1,1,0))</f>
      </c>
      <c r="T19" s="78">
        <f>IF($C19="",0,IF(COUNTIF('PEOPLE + BUDGETS'!$B$6:$B$105,$C19)=0,1,0))</f>
      </c>
      <c r="U19" s="78">
        <f>IF($F19="",0,IF(COUNTIF('CHRISTMAS CALENDAR'!$B$6:$B$205,$F19)=0,1,0))</f>
      </c>
      <c r="V19" s="75"/>
    </row>
    <row r="20" ht="17" customHeight="1" spans="1:22" x14ac:dyDescent="0.25">
      <c r="A20" s="75"/>
      <c r="B20" s="79"/>
      <c r="C20" s="79"/>
      <c r="D20" s="78">
        <f>IF($B20="","",IF($C20="",$E20,IF($C20="","",IFERROR(IF(INDEX('PEOPLE + BUDGETS'!$C$6:$C$105,MATCH($C20,'PEOPLE + BUDGETS'!$B$6:$B$105,0))="","",INDEX('PEOPLE + BUDGETS'!$C$6:$C$105,MATCH($C20,'PEOPLE + BUDGETS'!$B$6:$B$105,0))),""))))</f>
      </c>
      <c r="E20" s="79"/>
      <c r="F20" s="79"/>
      <c r="G20" s="79"/>
      <c r="H20" s="79"/>
      <c r="I20" s="80"/>
      <c r="J20" s="80"/>
      <c r="K20" s="79"/>
      <c r="L20" s="82"/>
      <c r="M20" s="96"/>
      <c r="N20" s="82"/>
      <c r="O20" s="79"/>
      <c r="P20" s="80"/>
      <c r="Q20" s="79"/>
      <c r="R20" s="80"/>
      <c r="S20" s="78">
        <f>IF($B20="",0,IF(COUNTIF('HOSTING + GUESTS'!$B$6:$B$105,$B20)&gt;1,1,0))</f>
      </c>
      <c r="T20" s="78">
        <f>IF($C20="",0,IF(COUNTIF('PEOPLE + BUDGETS'!$B$6:$B$105,$C20)=0,1,0))</f>
      </c>
      <c r="U20" s="78">
        <f>IF($F20="",0,IF(COUNTIF('CHRISTMAS CALENDAR'!$B$6:$B$205,$F20)=0,1,0))</f>
      </c>
      <c r="V20" s="75"/>
    </row>
    <row r="21" ht="17" customHeight="1" spans="1:22" x14ac:dyDescent="0.25">
      <c r="A21" s="75"/>
      <c r="B21" s="79"/>
      <c r="C21" s="79"/>
      <c r="D21" s="78">
        <f>IF($B21="","",IF($C21="",$E21,IF($C21="","",IFERROR(IF(INDEX('PEOPLE + BUDGETS'!$C$6:$C$105,MATCH($C21,'PEOPLE + BUDGETS'!$B$6:$B$105,0))="","",INDEX('PEOPLE + BUDGETS'!$C$6:$C$105,MATCH($C21,'PEOPLE + BUDGETS'!$B$6:$B$105,0))),""))))</f>
      </c>
      <c r="E21" s="79"/>
      <c r="F21" s="79"/>
      <c r="G21" s="79"/>
      <c r="H21" s="79"/>
      <c r="I21" s="80"/>
      <c r="J21" s="80"/>
      <c r="K21" s="79"/>
      <c r="L21" s="82"/>
      <c r="M21" s="96"/>
      <c r="N21" s="82"/>
      <c r="O21" s="79"/>
      <c r="P21" s="80"/>
      <c r="Q21" s="79"/>
      <c r="R21" s="80"/>
      <c r="S21" s="78">
        <f>IF($B21="",0,IF(COUNTIF('HOSTING + GUESTS'!$B$6:$B$105,$B21)&gt;1,1,0))</f>
      </c>
      <c r="T21" s="78">
        <f>IF($C21="",0,IF(COUNTIF('PEOPLE + BUDGETS'!$B$6:$B$105,$C21)=0,1,0))</f>
      </c>
      <c r="U21" s="78">
        <f>IF($F21="",0,IF(COUNTIF('CHRISTMAS CALENDAR'!$B$6:$B$205,$F21)=0,1,0))</f>
      </c>
      <c r="V21" s="75"/>
    </row>
    <row r="22" ht="17" customHeight="1" spans="1:22" x14ac:dyDescent="0.25">
      <c r="A22" s="75"/>
      <c r="B22" s="79"/>
      <c r="C22" s="79"/>
      <c r="D22" s="78">
        <f>IF($B22="","",IF($C22="",$E22,IF($C22="","",IFERROR(IF(INDEX('PEOPLE + BUDGETS'!$C$6:$C$105,MATCH($C22,'PEOPLE + BUDGETS'!$B$6:$B$105,0))="","",INDEX('PEOPLE + BUDGETS'!$C$6:$C$105,MATCH($C22,'PEOPLE + BUDGETS'!$B$6:$B$105,0))),""))))</f>
      </c>
      <c r="E22" s="79"/>
      <c r="F22" s="79"/>
      <c r="G22" s="79"/>
      <c r="H22" s="79"/>
      <c r="I22" s="80"/>
      <c r="J22" s="80"/>
      <c r="K22" s="79"/>
      <c r="L22" s="82"/>
      <c r="M22" s="96"/>
      <c r="N22" s="82"/>
      <c r="O22" s="79"/>
      <c r="P22" s="80"/>
      <c r="Q22" s="79"/>
      <c r="R22" s="80"/>
      <c r="S22" s="78">
        <f>IF($B22="",0,IF(COUNTIF('HOSTING + GUESTS'!$B$6:$B$105,$B22)&gt;1,1,0))</f>
      </c>
      <c r="T22" s="78">
        <f>IF($C22="",0,IF(COUNTIF('PEOPLE + BUDGETS'!$B$6:$B$105,$C22)=0,1,0))</f>
      </c>
      <c r="U22" s="78">
        <f>IF($F22="",0,IF(COUNTIF('CHRISTMAS CALENDAR'!$B$6:$B$205,$F22)=0,1,0))</f>
      </c>
      <c r="V22" s="75"/>
    </row>
    <row r="23" ht="17" customHeight="1" spans="1:22" x14ac:dyDescent="0.25">
      <c r="A23" s="75"/>
      <c r="B23" s="79"/>
      <c r="C23" s="79"/>
      <c r="D23" s="78">
        <f>IF($B23="","",IF($C23="",$E23,IF($C23="","",IFERROR(IF(INDEX('PEOPLE + BUDGETS'!$C$6:$C$105,MATCH($C23,'PEOPLE + BUDGETS'!$B$6:$B$105,0))="","",INDEX('PEOPLE + BUDGETS'!$C$6:$C$105,MATCH($C23,'PEOPLE + BUDGETS'!$B$6:$B$105,0))),""))))</f>
      </c>
      <c r="E23" s="79"/>
      <c r="F23" s="79"/>
      <c r="G23" s="79"/>
      <c r="H23" s="79"/>
      <c r="I23" s="80"/>
      <c r="J23" s="80"/>
      <c r="K23" s="79"/>
      <c r="L23" s="82"/>
      <c r="M23" s="96"/>
      <c r="N23" s="82"/>
      <c r="O23" s="79"/>
      <c r="P23" s="80"/>
      <c r="Q23" s="79"/>
      <c r="R23" s="80"/>
      <c r="S23" s="78">
        <f>IF($B23="",0,IF(COUNTIF('HOSTING + GUESTS'!$B$6:$B$105,$B23)&gt;1,1,0))</f>
      </c>
      <c r="T23" s="78">
        <f>IF($C23="",0,IF(COUNTIF('PEOPLE + BUDGETS'!$B$6:$B$105,$C23)=0,1,0))</f>
      </c>
      <c r="U23" s="78">
        <f>IF($F23="",0,IF(COUNTIF('CHRISTMAS CALENDAR'!$B$6:$B$205,$F23)=0,1,0))</f>
      </c>
      <c r="V23" s="75"/>
    </row>
    <row r="24" ht="17" customHeight="1" spans="1:22" x14ac:dyDescent="0.25">
      <c r="A24" s="75"/>
      <c r="B24" s="79"/>
      <c r="C24" s="79"/>
      <c r="D24" s="78">
        <f>IF($B24="","",IF($C24="",$E24,IF($C24="","",IFERROR(IF(INDEX('PEOPLE + BUDGETS'!$C$6:$C$105,MATCH($C24,'PEOPLE + BUDGETS'!$B$6:$B$105,0))="","",INDEX('PEOPLE + BUDGETS'!$C$6:$C$105,MATCH($C24,'PEOPLE + BUDGETS'!$B$6:$B$105,0))),""))))</f>
      </c>
      <c r="E24" s="79"/>
      <c r="F24" s="79"/>
      <c r="G24" s="79"/>
      <c r="H24" s="79"/>
      <c r="I24" s="80"/>
      <c r="J24" s="80"/>
      <c r="K24" s="79"/>
      <c r="L24" s="82"/>
      <c r="M24" s="96"/>
      <c r="N24" s="82"/>
      <c r="O24" s="79"/>
      <c r="P24" s="80"/>
      <c r="Q24" s="79"/>
      <c r="R24" s="80"/>
      <c r="S24" s="78">
        <f>IF($B24="",0,IF(COUNTIF('HOSTING + GUESTS'!$B$6:$B$105,$B24)&gt;1,1,0))</f>
      </c>
      <c r="T24" s="78">
        <f>IF($C24="",0,IF(COUNTIF('PEOPLE + BUDGETS'!$B$6:$B$105,$C24)=0,1,0))</f>
      </c>
      <c r="U24" s="78">
        <f>IF($F24="",0,IF(COUNTIF('CHRISTMAS CALENDAR'!$B$6:$B$205,$F24)=0,1,0))</f>
      </c>
      <c r="V24" s="75"/>
    </row>
    <row r="25" ht="17" customHeight="1" spans="1:22" x14ac:dyDescent="0.25">
      <c r="A25" s="75"/>
      <c r="B25" s="79"/>
      <c r="C25" s="79"/>
      <c r="D25" s="78">
        <f>IF($B25="","",IF($C25="",$E25,IF($C25="","",IFERROR(IF(INDEX('PEOPLE + BUDGETS'!$C$6:$C$105,MATCH($C25,'PEOPLE + BUDGETS'!$B$6:$B$105,0))="","",INDEX('PEOPLE + BUDGETS'!$C$6:$C$105,MATCH($C25,'PEOPLE + BUDGETS'!$B$6:$B$105,0))),""))))</f>
      </c>
      <c r="E25" s="79"/>
      <c r="F25" s="79"/>
      <c r="G25" s="79"/>
      <c r="H25" s="79"/>
      <c r="I25" s="80"/>
      <c r="J25" s="80"/>
      <c r="K25" s="79"/>
      <c r="L25" s="82"/>
      <c r="M25" s="96"/>
      <c r="N25" s="82"/>
      <c r="O25" s="79"/>
      <c r="P25" s="80"/>
      <c r="Q25" s="79"/>
      <c r="R25" s="80"/>
      <c r="S25" s="78">
        <f>IF($B25="",0,IF(COUNTIF('HOSTING + GUESTS'!$B$6:$B$105,$B25)&gt;1,1,0))</f>
      </c>
      <c r="T25" s="78">
        <f>IF($C25="",0,IF(COUNTIF('PEOPLE + BUDGETS'!$B$6:$B$105,$C25)=0,1,0))</f>
      </c>
      <c r="U25" s="78">
        <f>IF($F25="",0,IF(COUNTIF('CHRISTMAS CALENDAR'!$B$6:$B$205,$F25)=0,1,0))</f>
      </c>
      <c r="V25" s="75"/>
    </row>
    <row r="26" ht="17" customHeight="1" spans="1:22" x14ac:dyDescent="0.25">
      <c r="A26" s="75"/>
      <c r="B26" s="79"/>
      <c r="C26" s="79"/>
      <c r="D26" s="78">
        <f>IF($B26="","",IF($C26="",$E26,IF($C26="","",IFERROR(IF(INDEX('PEOPLE + BUDGETS'!$C$6:$C$105,MATCH($C26,'PEOPLE + BUDGETS'!$B$6:$B$105,0))="","",INDEX('PEOPLE + BUDGETS'!$C$6:$C$105,MATCH($C26,'PEOPLE + BUDGETS'!$B$6:$B$105,0))),""))))</f>
      </c>
      <c r="E26" s="79"/>
      <c r="F26" s="79"/>
      <c r="G26" s="79"/>
      <c r="H26" s="79"/>
      <c r="I26" s="80"/>
      <c r="J26" s="80"/>
      <c r="K26" s="79"/>
      <c r="L26" s="82"/>
      <c r="M26" s="96"/>
      <c r="N26" s="82"/>
      <c r="O26" s="79"/>
      <c r="P26" s="80"/>
      <c r="Q26" s="79"/>
      <c r="R26" s="80"/>
      <c r="S26" s="78">
        <f>IF($B26="",0,IF(COUNTIF('HOSTING + GUESTS'!$B$6:$B$105,$B26)&gt;1,1,0))</f>
      </c>
      <c r="T26" s="78">
        <f>IF($C26="",0,IF(COUNTIF('PEOPLE + BUDGETS'!$B$6:$B$105,$C26)=0,1,0))</f>
      </c>
      <c r="U26" s="78">
        <f>IF($F26="",0,IF(COUNTIF('CHRISTMAS CALENDAR'!$B$6:$B$205,$F26)=0,1,0))</f>
      </c>
      <c r="V26" s="75"/>
    </row>
    <row r="27" ht="17" customHeight="1" spans="1:22" x14ac:dyDescent="0.25">
      <c r="A27" s="75"/>
      <c r="B27" s="79"/>
      <c r="C27" s="79"/>
      <c r="D27" s="78">
        <f>IF($B27="","",IF($C27="",$E27,IF($C27="","",IFERROR(IF(INDEX('PEOPLE + BUDGETS'!$C$6:$C$105,MATCH($C27,'PEOPLE + BUDGETS'!$B$6:$B$105,0))="","",INDEX('PEOPLE + BUDGETS'!$C$6:$C$105,MATCH($C27,'PEOPLE + BUDGETS'!$B$6:$B$105,0))),""))))</f>
      </c>
      <c r="E27" s="79"/>
      <c r="F27" s="79"/>
      <c r="G27" s="79"/>
      <c r="H27" s="79"/>
      <c r="I27" s="80"/>
      <c r="J27" s="80"/>
      <c r="K27" s="79"/>
      <c r="L27" s="82"/>
      <c r="M27" s="96"/>
      <c r="N27" s="82"/>
      <c r="O27" s="79"/>
      <c r="P27" s="80"/>
      <c r="Q27" s="79"/>
      <c r="R27" s="80"/>
      <c r="S27" s="78">
        <f>IF($B27="",0,IF(COUNTIF('HOSTING + GUESTS'!$B$6:$B$105,$B27)&gt;1,1,0))</f>
      </c>
      <c r="T27" s="78">
        <f>IF($C27="",0,IF(COUNTIF('PEOPLE + BUDGETS'!$B$6:$B$105,$C27)=0,1,0))</f>
      </c>
      <c r="U27" s="78">
        <f>IF($F27="",0,IF(COUNTIF('CHRISTMAS CALENDAR'!$B$6:$B$205,$F27)=0,1,0))</f>
      </c>
      <c r="V27" s="75"/>
    </row>
    <row r="28" ht="17" customHeight="1" spans="1:22" x14ac:dyDescent="0.25">
      <c r="A28" s="75"/>
      <c r="B28" s="79"/>
      <c r="C28" s="79"/>
      <c r="D28" s="78">
        <f>IF($B28="","",IF($C28="",$E28,IF($C28="","",IFERROR(IF(INDEX('PEOPLE + BUDGETS'!$C$6:$C$105,MATCH($C28,'PEOPLE + BUDGETS'!$B$6:$B$105,0))="","",INDEX('PEOPLE + BUDGETS'!$C$6:$C$105,MATCH($C28,'PEOPLE + BUDGETS'!$B$6:$B$105,0))),""))))</f>
      </c>
      <c r="E28" s="79"/>
      <c r="F28" s="79"/>
      <c r="G28" s="79"/>
      <c r="H28" s="79"/>
      <c r="I28" s="80"/>
      <c r="J28" s="80"/>
      <c r="K28" s="79"/>
      <c r="L28" s="82"/>
      <c r="M28" s="96"/>
      <c r="N28" s="82"/>
      <c r="O28" s="79"/>
      <c r="P28" s="80"/>
      <c r="Q28" s="79"/>
      <c r="R28" s="80"/>
      <c r="S28" s="78">
        <f>IF($B28="",0,IF(COUNTIF('HOSTING + GUESTS'!$B$6:$B$105,$B28)&gt;1,1,0))</f>
      </c>
      <c r="T28" s="78">
        <f>IF($C28="",0,IF(COUNTIF('PEOPLE + BUDGETS'!$B$6:$B$105,$C28)=0,1,0))</f>
      </c>
      <c r="U28" s="78">
        <f>IF($F28="",0,IF(COUNTIF('CHRISTMAS CALENDAR'!$B$6:$B$205,$F28)=0,1,0))</f>
      </c>
      <c r="V28" s="75"/>
    </row>
    <row r="29" ht="17" customHeight="1" spans="1:22" x14ac:dyDescent="0.25">
      <c r="A29" s="75"/>
      <c r="B29" s="79"/>
      <c r="C29" s="79"/>
      <c r="D29" s="78">
        <f>IF($B29="","",IF($C29="",$E29,IF($C29="","",IFERROR(IF(INDEX('PEOPLE + BUDGETS'!$C$6:$C$105,MATCH($C29,'PEOPLE + BUDGETS'!$B$6:$B$105,0))="","",INDEX('PEOPLE + BUDGETS'!$C$6:$C$105,MATCH($C29,'PEOPLE + BUDGETS'!$B$6:$B$105,0))),""))))</f>
      </c>
      <c r="E29" s="79"/>
      <c r="F29" s="79"/>
      <c r="G29" s="79"/>
      <c r="H29" s="79"/>
      <c r="I29" s="80"/>
      <c r="J29" s="80"/>
      <c r="K29" s="79"/>
      <c r="L29" s="82"/>
      <c r="M29" s="96"/>
      <c r="N29" s="82"/>
      <c r="O29" s="79"/>
      <c r="P29" s="80"/>
      <c r="Q29" s="79"/>
      <c r="R29" s="80"/>
      <c r="S29" s="78">
        <f>IF($B29="",0,IF(COUNTIF('HOSTING + GUESTS'!$B$6:$B$105,$B29)&gt;1,1,0))</f>
      </c>
      <c r="T29" s="78">
        <f>IF($C29="",0,IF(COUNTIF('PEOPLE + BUDGETS'!$B$6:$B$105,$C29)=0,1,0))</f>
      </c>
      <c r="U29" s="78">
        <f>IF($F29="",0,IF(COUNTIF('CHRISTMAS CALENDAR'!$B$6:$B$205,$F29)=0,1,0))</f>
      </c>
      <c r="V29" s="75"/>
    </row>
    <row r="30" ht="17" customHeight="1" spans="1:22" x14ac:dyDescent="0.25">
      <c r="A30" s="75"/>
      <c r="B30" s="79"/>
      <c r="C30" s="79"/>
      <c r="D30" s="78">
        <f>IF($B30="","",IF($C30="",$E30,IF($C30="","",IFERROR(IF(INDEX('PEOPLE + BUDGETS'!$C$6:$C$105,MATCH($C30,'PEOPLE + BUDGETS'!$B$6:$B$105,0))="","",INDEX('PEOPLE + BUDGETS'!$C$6:$C$105,MATCH($C30,'PEOPLE + BUDGETS'!$B$6:$B$105,0))),""))))</f>
      </c>
      <c r="E30" s="79"/>
      <c r="F30" s="79"/>
      <c r="G30" s="79"/>
      <c r="H30" s="79"/>
      <c r="I30" s="80"/>
      <c r="J30" s="80"/>
      <c r="K30" s="79"/>
      <c r="L30" s="82"/>
      <c r="M30" s="96"/>
      <c r="N30" s="82"/>
      <c r="O30" s="79"/>
      <c r="P30" s="80"/>
      <c r="Q30" s="79"/>
      <c r="R30" s="80"/>
      <c r="S30" s="78">
        <f>IF($B30="",0,IF(COUNTIF('HOSTING + GUESTS'!$B$6:$B$105,$B30)&gt;1,1,0))</f>
      </c>
      <c r="T30" s="78">
        <f>IF($C30="",0,IF(COUNTIF('PEOPLE + BUDGETS'!$B$6:$B$105,$C30)=0,1,0))</f>
      </c>
      <c r="U30" s="78">
        <f>IF($F30="",0,IF(COUNTIF('CHRISTMAS CALENDAR'!$B$6:$B$205,$F30)=0,1,0))</f>
      </c>
      <c r="V30" s="75"/>
    </row>
    <row r="31" ht="17" customHeight="1" spans="1:22" x14ac:dyDescent="0.25">
      <c r="A31" s="75"/>
      <c r="B31" s="79"/>
      <c r="C31" s="79"/>
      <c r="D31" s="78">
        <f>IF($B31="","",IF($C31="",$E31,IF($C31="","",IFERROR(IF(INDEX('PEOPLE + BUDGETS'!$C$6:$C$105,MATCH($C31,'PEOPLE + BUDGETS'!$B$6:$B$105,0))="","",INDEX('PEOPLE + BUDGETS'!$C$6:$C$105,MATCH($C31,'PEOPLE + BUDGETS'!$B$6:$B$105,0))),""))))</f>
      </c>
      <c r="E31" s="79"/>
      <c r="F31" s="79"/>
      <c r="G31" s="79"/>
      <c r="H31" s="79"/>
      <c r="I31" s="80"/>
      <c r="J31" s="80"/>
      <c r="K31" s="79"/>
      <c r="L31" s="82"/>
      <c r="M31" s="96"/>
      <c r="N31" s="82"/>
      <c r="O31" s="79"/>
      <c r="P31" s="80"/>
      <c r="Q31" s="79"/>
      <c r="R31" s="80"/>
      <c r="S31" s="78">
        <f>IF($B31="",0,IF(COUNTIF('HOSTING + GUESTS'!$B$6:$B$105,$B31)&gt;1,1,0))</f>
      </c>
      <c r="T31" s="78">
        <f>IF($C31="",0,IF(COUNTIF('PEOPLE + BUDGETS'!$B$6:$B$105,$C31)=0,1,0))</f>
      </c>
      <c r="U31" s="78">
        <f>IF($F31="",0,IF(COUNTIF('CHRISTMAS CALENDAR'!$B$6:$B$205,$F31)=0,1,0))</f>
      </c>
      <c r="V31" s="75"/>
    </row>
    <row r="32" ht="17" customHeight="1" spans="1:22" x14ac:dyDescent="0.25">
      <c r="A32" s="75"/>
      <c r="B32" s="79"/>
      <c r="C32" s="79"/>
      <c r="D32" s="78">
        <f>IF($B32="","",IF($C32="",$E32,IF($C32="","",IFERROR(IF(INDEX('PEOPLE + BUDGETS'!$C$6:$C$105,MATCH($C32,'PEOPLE + BUDGETS'!$B$6:$B$105,0))="","",INDEX('PEOPLE + BUDGETS'!$C$6:$C$105,MATCH($C32,'PEOPLE + BUDGETS'!$B$6:$B$105,0))),""))))</f>
      </c>
      <c r="E32" s="79"/>
      <c r="F32" s="79"/>
      <c r="G32" s="79"/>
      <c r="H32" s="79"/>
      <c r="I32" s="80"/>
      <c r="J32" s="80"/>
      <c r="K32" s="79"/>
      <c r="L32" s="82"/>
      <c r="M32" s="96"/>
      <c r="N32" s="82"/>
      <c r="O32" s="79"/>
      <c r="P32" s="80"/>
      <c r="Q32" s="79"/>
      <c r="R32" s="80"/>
      <c r="S32" s="78">
        <f>IF($B32="",0,IF(COUNTIF('HOSTING + GUESTS'!$B$6:$B$105,$B32)&gt;1,1,0))</f>
      </c>
      <c r="T32" s="78">
        <f>IF($C32="",0,IF(COUNTIF('PEOPLE + BUDGETS'!$B$6:$B$105,$C32)=0,1,0))</f>
      </c>
      <c r="U32" s="78">
        <f>IF($F32="",0,IF(COUNTIF('CHRISTMAS CALENDAR'!$B$6:$B$205,$F32)=0,1,0))</f>
      </c>
      <c r="V32" s="75"/>
    </row>
    <row r="33" ht="17" customHeight="1" spans="1:22" x14ac:dyDescent="0.25">
      <c r="A33" s="75"/>
      <c r="B33" s="79"/>
      <c r="C33" s="79"/>
      <c r="D33" s="78">
        <f>IF($B33="","",IF($C33="",$E33,IF($C33="","",IFERROR(IF(INDEX('PEOPLE + BUDGETS'!$C$6:$C$105,MATCH($C33,'PEOPLE + BUDGETS'!$B$6:$B$105,0))="","",INDEX('PEOPLE + BUDGETS'!$C$6:$C$105,MATCH($C33,'PEOPLE + BUDGETS'!$B$6:$B$105,0))),""))))</f>
      </c>
      <c r="E33" s="79"/>
      <c r="F33" s="79"/>
      <c r="G33" s="79"/>
      <c r="H33" s="79"/>
      <c r="I33" s="80"/>
      <c r="J33" s="80"/>
      <c r="K33" s="79"/>
      <c r="L33" s="82"/>
      <c r="M33" s="96"/>
      <c r="N33" s="82"/>
      <c r="O33" s="79"/>
      <c r="P33" s="80"/>
      <c r="Q33" s="79"/>
      <c r="R33" s="80"/>
      <c r="S33" s="78">
        <f>IF($B33="",0,IF(COUNTIF('HOSTING + GUESTS'!$B$6:$B$105,$B33)&gt;1,1,0))</f>
      </c>
      <c r="T33" s="78">
        <f>IF($C33="",0,IF(COUNTIF('PEOPLE + BUDGETS'!$B$6:$B$105,$C33)=0,1,0))</f>
      </c>
      <c r="U33" s="78">
        <f>IF($F33="",0,IF(COUNTIF('CHRISTMAS CALENDAR'!$B$6:$B$205,$F33)=0,1,0))</f>
      </c>
      <c r="V33" s="75"/>
    </row>
    <row r="34" ht="17" customHeight="1" spans="1:22" x14ac:dyDescent="0.25">
      <c r="A34" s="75"/>
      <c r="B34" s="79"/>
      <c r="C34" s="79"/>
      <c r="D34" s="78">
        <f>IF($B34="","",IF($C34="",$E34,IF($C34="","",IFERROR(IF(INDEX('PEOPLE + BUDGETS'!$C$6:$C$105,MATCH($C34,'PEOPLE + BUDGETS'!$B$6:$B$105,0))="","",INDEX('PEOPLE + BUDGETS'!$C$6:$C$105,MATCH($C34,'PEOPLE + BUDGETS'!$B$6:$B$105,0))),""))))</f>
      </c>
      <c r="E34" s="79"/>
      <c r="F34" s="79"/>
      <c r="G34" s="79"/>
      <c r="H34" s="79"/>
      <c r="I34" s="80"/>
      <c r="J34" s="80"/>
      <c r="K34" s="79"/>
      <c r="L34" s="82"/>
      <c r="M34" s="96"/>
      <c r="N34" s="82"/>
      <c r="O34" s="79"/>
      <c r="P34" s="80"/>
      <c r="Q34" s="79"/>
      <c r="R34" s="80"/>
      <c r="S34" s="78">
        <f>IF($B34="",0,IF(COUNTIF('HOSTING + GUESTS'!$B$6:$B$105,$B34)&gt;1,1,0))</f>
      </c>
      <c r="T34" s="78">
        <f>IF($C34="",0,IF(COUNTIF('PEOPLE + BUDGETS'!$B$6:$B$105,$C34)=0,1,0))</f>
      </c>
      <c r="U34" s="78">
        <f>IF($F34="",0,IF(COUNTIF('CHRISTMAS CALENDAR'!$B$6:$B$205,$F34)=0,1,0))</f>
      </c>
      <c r="V34" s="75"/>
    </row>
    <row r="35" ht="17" customHeight="1" spans="1:22" x14ac:dyDescent="0.25">
      <c r="A35" s="75"/>
      <c r="B35" s="79"/>
      <c r="C35" s="79"/>
      <c r="D35" s="78">
        <f>IF($B35="","",IF($C35="",$E35,IF($C35="","",IFERROR(IF(INDEX('PEOPLE + BUDGETS'!$C$6:$C$105,MATCH($C35,'PEOPLE + BUDGETS'!$B$6:$B$105,0))="","",INDEX('PEOPLE + BUDGETS'!$C$6:$C$105,MATCH($C35,'PEOPLE + BUDGETS'!$B$6:$B$105,0))),""))))</f>
      </c>
      <c r="E35" s="79"/>
      <c r="F35" s="79"/>
      <c r="G35" s="79"/>
      <c r="H35" s="79"/>
      <c r="I35" s="80"/>
      <c r="J35" s="80"/>
      <c r="K35" s="79"/>
      <c r="L35" s="82"/>
      <c r="M35" s="96"/>
      <c r="N35" s="82"/>
      <c r="O35" s="79"/>
      <c r="P35" s="80"/>
      <c r="Q35" s="79"/>
      <c r="R35" s="80"/>
      <c r="S35" s="78">
        <f>IF($B35="",0,IF(COUNTIF('HOSTING + GUESTS'!$B$6:$B$105,$B35)&gt;1,1,0))</f>
      </c>
      <c r="T35" s="78">
        <f>IF($C35="",0,IF(COUNTIF('PEOPLE + BUDGETS'!$B$6:$B$105,$C35)=0,1,0))</f>
      </c>
      <c r="U35" s="78">
        <f>IF($F35="",0,IF(COUNTIF('CHRISTMAS CALENDAR'!$B$6:$B$205,$F35)=0,1,0))</f>
      </c>
      <c r="V35" s="75"/>
    </row>
    <row r="36" ht="17" customHeight="1" spans="1:22" x14ac:dyDescent="0.25">
      <c r="A36" s="75"/>
      <c r="B36" s="79"/>
      <c r="C36" s="79"/>
      <c r="D36" s="78">
        <f>IF($B36="","",IF($C36="",$E36,IF($C36="","",IFERROR(IF(INDEX('PEOPLE + BUDGETS'!$C$6:$C$105,MATCH($C36,'PEOPLE + BUDGETS'!$B$6:$B$105,0))="","",INDEX('PEOPLE + BUDGETS'!$C$6:$C$105,MATCH($C36,'PEOPLE + BUDGETS'!$B$6:$B$105,0))),""))))</f>
      </c>
      <c r="E36" s="79"/>
      <c r="F36" s="79"/>
      <c r="G36" s="79"/>
      <c r="H36" s="79"/>
      <c r="I36" s="80"/>
      <c r="J36" s="80"/>
      <c r="K36" s="79"/>
      <c r="L36" s="82"/>
      <c r="M36" s="96"/>
      <c r="N36" s="82"/>
      <c r="O36" s="79"/>
      <c r="P36" s="80"/>
      <c r="Q36" s="79"/>
      <c r="R36" s="80"/>
      <c r="S36" s="78">
        <f>IF($B36="",0,IF(COUNTIF('HOSTING + GUESTS'!$B$6:$B$105,$B36)&gt;1,1,0))</f>
      </c>
      <c r="T36" s="78">
        <f>IF($C36="",0,IF(COUNTIF('PEOPLE + BUDGETS'!$B$6:$B$105,$C36)=0,1,0))</f>
      </c>
      <c r="U36" s="78">
        <f>IF($F36="",0,IF(COUNTIF('CHRISTMAS CALENDAR'!$B$6:$B$205,$F36)=0,1,0))</f>
      </c>
      <c r="V36" s="75"/>
    </row>
    <row r="37" ht="17" customHeight="1" spans="1:22" x14ac:dyDescent="0.25">
      <c r="A37" s="75"/>
      <c r="B37" s="79"/>
      <c r="C37" s="79"/>
      <c r="D37" s="78">
        <f>IF($B37="","",IF($C37="",$E37,IF($C37="","",IFERROR(IF(INDEX('PEOPLE + BUDGETS'!$C$6:$C$105,MATCH($C37,'PEOPLE + BUDGETS'!$B$6:$B$105,0))="","",INDEX('PEOPLE + BUDGETS'!$C$6:$C$105,MATCH($C37,'PEOPLE + BUDGETS'!$B$6:$B$105,0))),""))))</f>
      </c>
      <c r="E37" s="79"/>
      <c r="F37" s="79"/>
      <c r="G37" s="79"/>
      <c r="H37" s="79"/>
      <c r="I37" s="80"/>
      <c r="J37" s="80"/>
      <c r="K37" s="79"/>
      <c r="L37" s="82"/>
      <c r="M37" s="96"/>
      <c r="N37" s="82"/>
      <c r="O37" s="79"/>
      <c r="P37" s="80"/>
      <c r="Q37" s="79"/>
      <c r="R37" s="80"/>
      <c r="S37" s="78">
        <f>IF($B37="",0,IF(COUNTIF('HOSTING + GUESTS'!$B$6:$B$105,$B37)&gt;1,1,0))</f>
      </c>
      <c r="T37" s="78">
        <f>IF($C37="",0,IF(COUNTIF('PEOPLE + BUDGETS'!$B$6:$B$105,$C37)=0,1,0))</f>
      </c>
      <c r="U37" s="78">
        <f>IF($F37="",0,IF(COUNTIF('CHRISTMAS CALENDAR'!$B$6:$B$205,$F37)=0,1,0))</f>
      </c>
      <c r="V37" s="75"/>
    </row>
    <row r="38" ht="17" customHeight="1" spans="1:22" x14ac:dyDescent="0.25">
      <c r="A38" s="75"/>
      <c r="B38" s="79"/>
      <c r="C38" s="79"/>
      <c r="D38" s="78">
        <f>IF($B38="","",IF($C38="",$E38,IF($C38="","",IFERROR(IF(INDEX('PEOPLE + BUDGETS'!$C$6:$C$105,MATCH($C38,'PEOPLE + BUDGETS'!$B$6:$B$105,0))="","",INDEX('PEOPLE + BUDGETS'!$C$6:$C$105,MATCH($C38,'PEOPLE + BUDGETS'!$B$6:$B$105,0))),""))))</f>
      </c>
      <c r="E38" s="79"/>
      <c r="F38" s="79"/>
      <c r="G38" s="79"/>
      <c r="H38" s="79"/>
      <c r="I38" s="80"/>
      <c r="J38" s="80"/>
      <c r="K38" s="79"/>
      <c r="L38" s="82"/>
      <c r="M38" s="96"/>
      <c r="N38" s="82"/>
      <c r="O38" s="79"/>
      <c r="P38" s="80"/>
      <c r="Q38" s="79"/>
      <c r="R38" s="80"/>
      <c r="S38" s="78">
        <f>IF($B38="",0,IF(COUNTIF('HOSTING + GUESTS'!$B$6:$B$105,$B38)&gt;1,1,0))</f>
      </c>
      <c r="T38" s="78">
        <f>IF($C38="",0,IF(COUNTIF('PEOPLE + BUDGETS'!$B$6:$B$105,$C38)=0,1,0))</f>
      </c>
      <c r="U38" s="78">
        <f>IF($F38="",0,IF(COUNTIF('CHRISTMAS CALENDAR'!$B$6:$B$205,$F38)=0,1,0))</f>
      </c>
      <c r="V38" s="75"/>
    </row>
    <row r="39" ht="17" customHeight="1" spans="1:22" x14ac:dyDescent="0.25">
      <c r="A39" s="75"/>
      <c r="B39" s="79"/>
      <c r="C39" s="79"/>
      <c r="D39" s="78">
        <f>IF($B39="","",IF($C39="",$E39,IF($C39="","",IFERROR(IF(INDEX('PEOPLE + BUDGETS'!$C$6:$C$105,MATCH($C39,'PEOPLE + BUDGETS'!$B$6:$B$105,0))="","",INDEX('PEOPLE + BUDGETS'!$C$6:$C$105,MATCH($C39,'PEOPLE + BUDGETS'!$B$6:$B$105,0))),""))))</f>
      </c>
      <c r="E39" s="79"/>
      <c r="F39" s="79"/>
      <c r="G39" s="79"/>
      <c r="H39" s="79"/>
      <c r="I39" s="80"/>
      <c r="J39" s="80"/>
      <c r="K39" s="79"/>
      <c r="L39" s="82"/>
      <c r="M39" s="96"/>
      <c r="N39" s="82"/>
      <c r="O39" s="79"/>
      <c r="P39" s="80"/>
      <c r="Q39" s="79"/>
      <c r="R39" s="80"/>
      <c r="S39" s="78">
        <f>IF($B39="",0,IF(COUNTIF('HOSTING + GUESTS'!$B$6:$B$105,$B39)&gt;1,1,0))</f>
      </c>
      <c r="T39" s="78">
        <f>IF($C39="",0,IF(COUNTIF('PEOPLE + BUDGETS'!$B$6:$B$105,$C39)=0,1,0))</f>
      </c>
      <c r="U39" s="78">
        <f>IF($F39="",0,IF(COUNTIF('CHRISTMAS CALENDAR'!$B$6:$B$205,$F39)=0,1,0))</f>
      </c>
      <c r="V39" s="75"/>
    </row>
    <row r="40" ht="17" customHeight="1" spans="1:22" x14ac:dyDescent="0.25">
      <c r="A40" s="75"/>
      <c r="B40" s="79"/>
      <c r="C40" s="79"/>
      <c r="D40" s="78">
        <f>IF($B40="","",IF($C40="",$E40,IF($C40="","",IFERROR(IF(INDEX('PEOPLE + BUDGETS'!$C$6:$C$105,MATCH($C40,'PEOPLE + BUDGETS'!$B$6:$B$105,0))="","",INDEX('PEOPLE + BUDGETS'!$C$6:$C$105,MATCH($C40,'PEOPLE + BUDGETS'!$B$6:$B$105,0))),""))))</f>
      </c>
      <c r="E40" s="79"/>
      <c r="F40" s="79"/>
      <c r="G40" s="79"/>
      <c r="H40" s="79"/>
      <c r="I40" s="80"/>
      <c r="J40" s="80"/>
      <c r="K40" s="79"/>
      <c r="L40" s="82"/>
      <c r="M40" s="96"/>
      <c r="N40" s="82"/>
      <c r="O40" s="79"/>
      <c r="P40" s="80"/>
      <c r="Q40" s="79"/>
      <c r="R40" s="80"/>
      <c r="S40" s="78">
        <f>IF($B40="",0,IF(COUNTIF('HOSTING + GUESTS'!$B$6:$B$105,$B40)&gt;1,1,0))</f>
      </c>
      <c r="T40" s="78">
        <f>IF($C40="",0,IF(COUNTIF('PEOPLE + BUDGETS'!$B$6:$B$105,$C40)=0,1,0))</f>
      </c>
      <c r="U40" s="78">
        <f>IF($F40="",0,IF(COUNTIF('CHRISTMAS CALENDAR'!$B$6:$B$205,$F40)=0,1,0))</f>
      </c>
      <c r="V40" s="75"/>
    </row>
    <row r="41" ht="17" customHeight="1" spans="1:22" x14ac:dyDescent="0.25">
      <c r="A41" s="75"/>
      <c r="B41" s="79"/>
      <c r="C41" s="79"/>
      <c r="D41" s="78">
        <f>IF($B41="","",IF($C41="",$E41,IF($C41="","",IFERROR(IF(INDEX('PEOPLE + BUDGETS'!$C$6:$C$105,MATCH($C41,'PEOPLE + BUDGETS'!$B$6:$B$105,0))="","",INDEX('PEOPLE + BUDGETS'!$C$6:$C$105,MATCH($C41,'PEOPLE + BUDGETS'!$B$6:$B$105,0))),""))))</f>
      </c>
      <c r="E41" s="79"/>
      <c r="F41" s="79"/>
      <c r="G41" s="79"/>
      <c r="H41" s="79"/>
      <c r="I41" s="80"/>
      <c r="J41" s="80"/>
      <c r="K41" s="79"/>
      <c r="L41" s="82"/>
      <c r="M41" s="96"/>
      <c r="N41" s="82"/>
      <c r="O41" s="79"/>
      <c r="P41" s="80"/>
      <c r="Q41" s="79"/>
      <c r="R41" s="80"/>
      <c r="S41" s="78">
        <f>IF($B41="",0,IF(COUNTIF('HOSTING + GUESTS'!$B$6:$B$105,$B41)&gt;1,1,0))</f>
      </c>
      <c r="T41" s="78">
        <f>IF($C41="",0,IF(COUNTIF('PEOPLE + BUDGETS'!$B$6:$B$105,$C41)=0,1,0))</f>
      </c>
      <c r="U41" s="78">
        <f>IF($F41="",0,IF(COUNTIF('CHRISTMAS CALENDAR'!$B$6:$B$205,$F41)=0,1,0))</f>
      </c>
      <c r="V41" s="75"/>
    </row>
    <row r="42" ht="17" customHeight="1" spans="1:22" x14ac:dyDescent="0.25">
      <c r="A42" s="75"/>
      <c r="B42" s="79"/>
      <c r="C42" s="79"/>
      <c r="D42" s="78">
        <f>IF($B42="","",IF($C42="",$E42,IF($C42="","",IFERROR(IF(INDEX('PEOPLE + BUDGETS'!$C$6:$C$105,MATCH($C42,'PEOPLE + BUDGETS'!$B$6:$B$105,0))="","",INDEX('PEOPLE + BUDGETS'!$C$6:$C$105,MATCH($C42,'PEOPLE + BUDGETS'!$B$6:$B$105,0))),""))))</f>
      </c>
      <c r="E42" s="79"/>
      <c r="F42" s="79"/>
      <c r="G42" s="79"/>
      <c r="H42" s="79"/>
      <c r="I42" s="80"/>
      <c r="J42" s="80"/>
      <c r="K42" s="79"/>
      <c r="L42" s="82"/>
      <c r="M42" s="96"/>
      <c r="N42" s="82"/>
      <c r="O42" s="79"/>
      <c r="P42" s="80"/>
      <c r="Q42" s="79"/>
      <c r="R42" s="80"/>
      <c r="S42" s="78">
        <f>IF($B42="",0,IF(COUNTIF('HOSTING + GUESTS'!$B$6:$B$105,$B42)&gt;1,1,0))</f>
      </c>
      <c r="T42" s="78">
        <f>IF($C42="",0,IF(COUNTIF('PEOPLE + BUDGETS'!$B$6:$B$105,$C42)=0,1,0))</f>
      </c>
      <c r="U42" s="78">
        <f>IF($F42="",0,IF(COUNTIF('CHRISTMAS CALENDAR'!$B$6:$B$205,$F42)=0,1,0))</f>
      </c>
      <c r="V42" s="75"/>
    </row>
    <row r="43" ht="17" customHeight="1" spans="1:22" x14ac:dyDescent="0.25">
      <c r="A43" s="75"/>
      <c r="B43" s="79"/>
      <c r="C43" s="79"/>
      <c r="D43" s="78">
        <f>IF($B43="","",IF($C43="",$E43,IF($C43="","",IFERROR(IF(INDEX('PEOPLE + BUDGETS'!$C$6:$C$105,MATCH($C43,'PEOPLE + BUDGETS'!$B$6:$B$105,0))="","",INDEX('PEOPLE + BUDGETS'!$C$6:$C$105,MATCH($C43,'PEOPLE + BUDGETS'!$B$6:$B$105,0))),""))))</f>
      </c>
      <c r="E43" s="79"/>
      <c r="F43" s="79"/>
      <c r="G43" s="79"/>
      <c r="H43" s="79"/>
      <c r="I43" s="80"/>
      <c r="J43" s="80"/>
      <c r="K43" s="79"/>
      <c r="L43" s="82"/>
      <c r="M43" s="96"/>
      <c r="N43" s="82"/>
      <c r="O43" s="79"/>
      <c r="P43" s="80"/>
      <c r="Q43" s="79"/>
      <c r="R43" s="80"/>
      <c r="S43" s="78">
        <f>IF($B43="",0,IF(COUNTIF('HOSTING + GUESTS'!$B$6:$B$105,$B43)&gt;1,1,0))</f>
      </c>
      <c r="T43" s="78">
        <f>IF($C43="",0,IF(COUNTIF('PEOPLE + BUDGETS'!$B$6:$B$105,$C43)=0,1,0))</f>
      </c>
      <c r="U43" s="78">
        <f>IF($F43="",0,IF(COUNTIF('CHRISTMAS CALENDAR'!$B$6:$B$205,$F43)=0,1,0))</f>
      </c>
      <c r="V43" s="75"/>
    </row>
    <row r="44" ht="17" customHeight="1" spans="1:22" x14ac:dyDescent="0.25">
      <c r="A44" s="75"/>
      <c r="B44" s="79"/>
      <c r="C44" s="79"/>
      <c r="D44" s="78">
        <f>IF($B44="","",IF($C44="",$E44,IF($C44="","",IFERROR(IF(INDEX('PEOPLE + BUDGETS'!$C$6:$C$105,MATCH($C44,'PEOPLE + BUDGETS'!$B$6:$B$105,0))="","",INDEX('PEOPLE + BUDGETS'!$C$6:$C$105,MATCH($C44,'PEOPLE + BUDGETS'!$B$6:$B$105,0))),""))))</f>
      </c>
      <c r="E44" s="79"/>
      <c r="F44" s="79"/>
      <c r="G44" s="79"/>
      <c r="H44" s="79"/>
      <c r="I44" s="80"/>
      <c r="J44" s="80"/>
      <c r="K44" s="79"/>
      <c r="L44" s="82"/>
      <c r="M44" s="96"/>
      <c r="N44" s="82"/>
      <c r="O44" s="79"/>
      <c r="P44" s="80"/>
      <c r="Q44" s="79"/>
      <c r="R44" s="80"/>
      <c r="S44" s="78">
        <f>IF($B44="",0,IF(COUNTIF('HOSTING + GUESTS'!$B$6:$B$105,$B44)&gt;1,1,0))</f>
      </c>
      <c r="T44" s="78">
        <f>IF($C44="",0,IF(COUNTIF('PEOPLE + BUDGETS'!$B$6:$B$105,$C44)=0,1,0))</f>
      </c>
      <c r="U44" s="78">
        <f>IF($F44="",0,IF(COUNTIF('CHRISTMAS CALENDAR'!$B$6:$B$205,$F44)=0,1,0))</f>
      </c>
      <c r="V44" s="75"/>
    </row>
    <row r="45" ht="17" customHeight="1" spans="1:22" x14ac:dyDescent="0.25">
      <c r="A45" s="75"/>
      <c r="B45" s="79"/>
      <c r="C45" s="79"/>
      <c r="D45" s="78">
        <f>IF($B45="","",IF($C45="",$E45,IF($C45="","",IFERROR(IF(INDEX('PEOPLE + BUDGETS'!$C$6:$C$105,MATCH($C45,'PEOPLE + BUDGETS'!$B$6:$B$105,0))="","",INDEX('PEOPLE + BUDGETS'!$C$6:$C$105,MATCH($C45,'PEOPLE + BUDGETS'!$B$6:$B$105,0))),""))))</f>
      </c>
      <c r="E45" s="79"/>
      <c r="F45" s="79"/>
      <c r="G45" s="79"/>
      <c r="H45" s="79"/>
      <c r="I45" s="80"/>
      <c r="J45" s="80"/>
      <c r="K45" s="79"/>
      <c r="L45" s="82"/>
      <c r="M45" s="96"/>
      <c r="N45" s="82"/>
      <c r="O45" s="79"/>
      <c r="P45" s="80"/>
      <c r="Q45" s="79"/>
      <c r="R45" s="80"/>
      <c r="S45" s="78">
        <f>IF($B45="",0,IF(COUNTIF('HOSTING + GUESTS'!$B$6:$B$105,$B45)&gt;1,1,0))</f>
      </c>
      <c r="T45" s="78">
        <f>IF($C45="",0,IF(COUNTIF('PEOPLE + BUDGETS'!$B$6:$B$105,$C45)=0,1,0))</f>
      </c>
      <c r="U45" s="78">
        <f>IF($F45="",0,IF(COUNTIF('CHRISTMAS CALENDAR'!$B$6:$B$205,$F45)=0,1,0))</f>
      </c>
      <c r="V45" s="75"/>
    </row>
    <row r="46" ht="17" customHeight="1" spans="1:22" x14ac:dyDescent="0.25">
      <c r="A46" s="75"/>
      <c r="B46" s="79"/>
      <c r="C46" s="79"/>
      <c r="D46" s="78">
        <f>IF($B46="","",IF($C46="",$E46,IF($C46="","",IFERROR(IF(INDEX('PEOPLE + BUDGETS'!$C$6:$C$105,MATCH($C46,'PEOPLE + BUDGETS'!$B$6:$B$105,0))="","",INDEX('PEOPLE + BUDGETS'!$C$6:$C$105,MATCH($C46,'PEOPLE + BUDGETS'!$B$6:$B$105,0))),""))))</f>
      </c>
      <c r="E46" s="79"/>
      <c r="F46" s="79"/>
      <c r="G46" s="79"/>
      <c r="H46" s="79"/>
      <c r="I46" s="80"/>
      <c r="J46" s="80"/>
      <c r="K46" s="79"/>
      <c r="L46" s="82"/>
      <c r="M46" s="96"/>
      <c r="N46" s="82"/>
      <c r="O46" s="79"/>
      <c r="P46" s="80"/>
      <c r="Q46" s="79"/>
      <c r="R46" s="80"/>
      <c r="S46" s="78">
        <f>IF($B46="",0,IF(COUNTIF('HOSTING + GUESTS'!$B$6:$B$105,$B46)&gt;1,1,0))</f>
      </c>
      <c r="T46" s="78">
        <f>IF($C46="",0,IF(COUNTIF('PEOPLE + BUDGETS'!$B$6:$B$105,$C46)=0,1,0))</f>
      </c>
      <c r="U46" s="78">
        <f>IF($F46="",0,IF(COUNTIF('CHRISTMAS CALENDAR'!$B$6:$B$205,$F46)=0,1,0))</f>
      </c>
      <c r="V46" s="75"/>
    </row>
    <row r="47" ht="17" customHeight="1" spans="1:22" x14ac:dyDescent="0.25">
      <c r="A47" s="75"/>
      <c r="B47" s="79"/>
      <c r="C47" s="79"/>
      <c r="D47" s="78">
        <f>IF($B47="","",IF($C47="",$E47,IF($C47="","",IFERROR(IF(INDEX('PEOPLE + BUDGETS'!$C$6:$C$105,MATCH($C47,'PEOPLE + BUDGETS'!$B$6:$B$105,0))="","",INDEX('PEOPLE + BUDGETS'!$C$6:$C$105,MATCH($C47,'PEOPLE + BUDGETS'!$B$6:$B$105,0))),""))))</f>
      </c>
      <c r="E47" s="79"/>
      <c r="F47" s="79"/>
      <c r="G47" s="79"/>
      <c r="H47" s="79"/>
      <c r="I47" s="80"/>
      <c r="J47" s="80"/>
      <c r="K47" s="79"/>
      <c r="L47" s="82"/>
      <c r="M47" s="96"/>
      <c r="N47" s="82"/>
      <c r="O47" s="79"/>
      <c r="P47" s="80"/>
      <c r="Q47" s="79"/>
      <c r="R47" s="80"/>
      <c r="S47" s="78">
        <f>IF($B47="",0,IF(COUNTIF('HOSTING + GUESTS'!$B$6:$B$105,$B47)&gt;1,1,0))</f>
      </c>
      <c r="T47" s="78">
        <f>IF($C47="",0,IF(COUNTIF('PEOPLE + BUDGETS'!$B$6:$B$105,$C47)=0,1,0))</f>
      </c>
      <c r="U47" s="78">
        <f>IF($F47="",0,IF(COUNTIF('CHRISTMAS CALENDAR'!$B$6:$B$205,$F47)=0,1,0))</f>
      </c>
      <c r="V47" s="75"/>
    </row>
    <row r="48" ht="17" customHeight="1" spans="1:22" x14ac:dyDescent="0.25">
      <c r="A48" s="75"/>
      <c r="B48" s="79"/>
      <c r="C48" s="79"/>
      <c r="D48" s="78">
        <f>IF($B48="","",IF($C48="",$E48,IF($C48="","",IFERROR(IF(INDEX('PEOPLE + BUDGETS'!$C$6:$C$105,MATCH($C48,'PEOPLE + BUDGETS'!$B$6:$B$105,0))="","",INDEX('PEOPLE + BUDGETS'!$C$6:$C$105,MATCH($C48,'PEOPLE + BUDGETS'!$B$6:$B$105,0))),""))))</f>
      </c>
      <c r="E48" s="79"/>
      <c r="F48" s="79"/>
      <c r="G48" s="79"/>
      <c r="H48" s="79"/>
      <c r="I48" s="80"/>
      <c r="J48" s="80"/>
      <c r="K48" s="79"/>
      <c r="L48" s="82"/>
      <c r="M48" s="96"/>
      <c r="N48" s="82"/>
      <c r="O48" s="79"/>
      <c r="P48" s="80"/>
      <c r="Q48" s="79"/>
      <c r="R48" s="80"/>
      <c r="S48" s="78">
        <f>IF($B48="",0,IF(COUNTIF('HOSTING + GUESTS'!$B$6:$B$105,$B48)&gt;1,1,0))</f>
      </c>
      <c r="T48" s="78">
        <f>IF($C48="",0,IF(COUNTIF('PEOPLE + BUDGETS'!$B$6:$B$105,$C48)=0,1,0))</f>
      </c>
      <c r="U48" s="78">
        <f>IF($F48="",0,IF(COUNTIF('CHRISTMAS CALENDAR'!$B$6:$B$205,$F48)=0,1,0))</f>
      </c>
      <c r="V48" s="75"/>
    </row>
    <row r="49" ht="17" customHeight="1" spans="1:22" x14ac:dyDescent="0.25">
      <c r="A49" s="75"/>
      <c r="B49" s="79"/>
      <c r="C49" s="79"/>
      <c r="D49" s="78">
        <f>IF($B49="","",IF($C49="",$E49,IF($C49="","",IFERROR(IF(INDEX('PEOPLE + BUDGETS'!$C$6:$C$105,MATCH($C49,'PEOPLE + BUDGETS'!$B$6:$B$105,0))="","",INDEX('PEOPLE + BUDGETS'!$C$6:$C$105,MATCH($C49,'PEOPLE + BUDGETS'!$B$6:$B$105,0))),""))))</f>
      </c>
      <c r="E49" s="79"/>
      <c r="F49" s="79"/>
      <c r="G49" s="79"/>
      <c r="H49" s="79"/>
      <c r="I49" s="80"/>
      <c r="J49" s="80"/>
      <c r="K49" s="79"/>
      <c r="L49" s="82"/>
      <c r="M49" s="96"/>
      <c r="N49" s="82"/>
      <c r="O49" s="79"/>
      <c r="P49" s="80"/>
      <c r="Q49" s="79"/>
      <c r="R49" s="80"/>
      <c r="S49" s="78">
        <f>IF($B49="",0,IF(COUNTIF('HOSTING + GUESTS'!$B$6:$B$105,$B49)&gt;1,1,0))</f>
      </c>
      <c r="T49" s="78">
        <f>IF($C49="",0,IF(COUNTIF('PEOPLE + BUDGETS'!$B$6:$B$105,$C49)=0,1,0))</f>
      </c>
      <c r="U49" s="78">
        <f>IF($F49="",0,IF(COUNTIF('CHRISTMAS CALENDAR'!$B$6:$B$205,$F49)=0,1,0))</f>
      </c>
      <c r="V49" s="75"/>
    </row>
    <row r="50" ht="17" customHeight="1" spans="1:22" x14ac:dyDescent="0.25">
      <c r="A50" s="75"/>
      <c r="B50" s="79"/>
      <c r="C50" s="79"/>
      <c r="D50" s="78">
        <f>IF($B50="","",IF($C50="",$E50,IF($C50="","",IFERROR(IF(INDEX('PEOPLE + BUDGETS'!$C$6:$C$105,MATCH($C50,'PEOPLE + BUDGETS'!$B$6:$B$105,0))="","",INDEX('PEOPLE + BUDGETS'!$C$6:$C$105,MATCH($C50,'PEOPLE + BUDGETS'!$B$6:$B$105,0))),""))))</f>
      </c>
      <c r="E50" s="79"/>
      <c r="F50" s="79"/>
      <c r="G50" s="79"/>
      <c r="H50" s="79"/>
      <c r="I50" s="80"/>
      <c r="J50" s="80"/>
      <c r="K50" s="79"/>
      <c r="L50" s="82"/>
      <c r="M50" s="96"/>
      <c r="N50" s="82"/>
      <c r="O50" s="79"/>
      <c r="P50" s="80"/>
      <c r="Q50" s="79"/>
      <c r="R50" s="80"/>
      <c r="S50" s="78">
        <f>IF($B50="",0,IF(COUNTIF('HOSTING + GUESTS'!$B$6:$B$105,$B50)&gt;1,1,0))</f>
      </c>
      <c r="T50" s="78">
        <f>IF($C50="",0,IF(COUNTIF('PEOPLE + BUDGETS'!$B$6:$B$105,$C50)=0,1,0))</f>
      </c>
      <c r="U50" s="78">
        <f>IF($F50="",0,IF(COUNTIF('CHRISTMAS CALENDAR'!$B$6:$B$205,$F50)=0,1,0))</f>
      </c>
      <c r="V50" s="75"/>
    </row>
    <row r="51" ht="17" customHeight="1" spans="1:22" x14ac:dyDescent="0.25">
      <c r="A51" s="75"/>
      <c r="B51" s="79"/>
      <c r="C51" s="79"/>
      <c r="D51" s="78">
        <f>IF($B51="","",IF($C51="",$E51,IF($C51="","",IFERROR(IF(INDEX('PEOPLE + BUDGETS'!$C$6:$C$105,MATCH($C51,'PEOPLE + BUDGETS'!$B$6:$B$105,0))="","",INDEX('PEOPLE + BUDGETS'!$C$6:$C$105,MATCH($C51,'PEOPLE + BUDGETS'!$B$6:$B$105,0))),""))))</f>
      </c>
      <c r="E51" s="79"/>
      <c r="F51" s="79"/>
      <c r="G51" s="79"/>
      <c r="H51" s="79"/>
      <c r="I51" s="80"/>
      <c r="J51" s="80"/>
      <c r="K51" s="79"/>
      <c r="L51" s="82"/>
      <c r="M51" s="96"/>
      <c r="N51" s="82"/>
      <c r="O51" s="79"/>
      <c r="P51" s="80"/>
      <c r="Q51" s="79"/>
      <c r="R51" s="80"/>
      <c r="S51" s="78">
        <f>IF($B51="",0,IF(COUNTIF('HOSTING + GUESTS'!$B$6:$B$105,$B51)&gt;1,1,0))</f>
      </c>
      <c r="T51" s="78">
        <f>IF($C51="",0,IF(COUNTIF('PEOPLE + BUDGETS'!$B$6:$B$105,$C51)=0,1,0))</f>
      </c>
      <c r="U51" s="78">
        <f>IF($F51="",0,IF(COUNTIF('CHRISTMAS CALENDAR'!$B$6:$B$205,$F51)=0,1,0))</f>
      </c>
      <c r="V51" s="75"/>
    </row>
    <row r="52" ht="17" customHeight="1" spans="1:22" x14ac:dyDescent="0.25">
      <c r="A52" s="75"/>
      <c r="B52" s="79"/>
      <c r="C52" s="79"/>
      <c r="D52" s="78">
        <f>IF($B52="","",IF($C52="",$E52,IF($C52="","",IFERROR(IF(INDEX('PEOPLE + BUDGETS'!$C$6:$C$105,MATCH($C52,'PEOPLE + BUDGETS'!$B$6:$B$105,0))="","",INDEX('PEOPLE + BUDGETS'!$C$6:$C$105,MATCH($C52,'PEOPLE + BUDGETS'!$B$6:$B$105,0))),""))))</f>
      </c>
      <c r="E52" s="79"/>
      <c r="F52" s="79"/>
      <c r="G52" s="79"/>
      <c r="H52" s="79"/>
      <c r="I52" s="80"/>
      <c r="J52" s="80"/>
      <c r="K52" s="79"/>
      <c r="L52" s="82"/>
      <c r="M52" s="96"/>
      <c r="N52" s="82"/>
      <c r="O52" s="79"/>
      <c r="P52" s="80"/>
      <c r="Q52" s="79"/>
      <c r="R52" s="80"/>
      <c r="S52" s="78">
        <f>IF($B52="",0,IF(COUNTIF('HOSTING + GUESTS'!$B$6:$B$105,$B52)&gt;1,1,0))</f>
      </c>
      <c r="T52" s="78">
        <f>IF($C52="",0,IF(COUNTIF('PEOPLE + BUDGETS'!$B$6:$B$105,$C52)=0,1,0))</f>
      </c>
      <c r="U52" s="78">
        <f>IF($F52="",0,IF(COUNTIF('CHRISTMAS CALENDAR'!$B$6:$B$205,$F52)=0,1,0))</f>
      </c>
      <c r="V52" s="75"/>
    </row>
    <row r="53" ht="17" customHeight="1" spans="1:22" x14ac:dyDescent="0.25">
      <c r="A53" s="75"/>
      <c r="B53" s="79"/>
      <c r="C53" s="79"/>
      <c r="D53" s="78">
        <f>IF($B53="","",IF($C53="",$E53,IF($C53="","",IFERROR(IF(INDEX('PEOPLE + BUDGETS'!$C$6:$C$105,MATCH($C53,'PEOPLE + BUDGETS'!$B$6:$B$105,0))="","",INDEX('PEOPLE + BUDGETS'!$C$6:$C$105,MATCH($C53,'PEOPLE + BUDGETS'!$B$6:$B$105,0))),""))))</f>
      </c>
      <c r="E53" s="79"/>
      <c r="F53" s="79"/>
      <c r="G53" s="79"/>
      <c r="H53" s="79"/>
      <c r="I53" s="80"/>
      <c r="J53" s="80"/>
      <c r="K53" s="79"/>
      <c r="L53" s="82"/>
      <c r="M53" s="96"/>
      <c r="N53" s="82"/>
      <c r="O53" s="79"/>
      <c r="P53" s="80"/>
      <c r="Q53" s="79"/>
      <c r="R53" s="80"/>
      <c r="S53" s="78">
        <f>IF($B53="",0,IF(COUNTIF('HOSTING + GUESTS'!$B$6:$B$105,$B53)&gt;1,1,0))</f>
      </c>
      <c r="T53" s="78">
        <f>IF($C53="",0,IF(COUNTIF('PEOPLE + BUDGETS'!$B$6:$B$105,$C53)=0,1,0))</f>
      </c>
      <c r="U53" s="78">
        <f>IF($F53="",0,IF(COUNTIF('CHRISTMAS CALENDAR'!$B$6:$B$205,$F53)=0,1,0))</f>
      </c>
      <c r="V53" s="75"/>
    </row>
    <row r="54" ht="17" customHeight="1" spans="1:22" x14ac:dyDescent="0.25">
      <c r="A54" s="75"/>
      <c r="B54" s="79"/>
      <c r="C54" s="79"/>
      <c r="D54" s="78">
        <f>IF($B54="","",IF($C54="",$E54,IF($C54="","",IFERROR(IF(INDEX('PEOPLE + BUDGETS'!$C$6:$C$105,MATCH($C54,'PEOPLE + BUDGETS'!$B$6:$B$105,0))="","",INDEX('PEOPLE + BUDGETS'!$C$6:$C$105,MATCH($C54,'PEOPLE + BUDGETS'!$B$6:$B$105,0))),""))))</f>
      </c>
      <c r="E54" s="79"/>
      <c r="F54" s="79"/>
      <c r="G54" s="79"/>
      <c r="H54" s="79"/>
      <c r="I54" s="80"/>
      <c r="J54" s="80"/>
      <c r="K54" s="79"/>
      <c r="L54" s="82"/>
      <c r="M54" s="96"/>
      <c r="N54" s="82"/>
      <c r="O54" s="79"/>
      <c r="P54" s="80"/>
      <c r="Q54" s="79"/>
      <c r="R54" s="80"/>
      <c r="S54" s="78">
        <f>IF($B54="",0,IF(COUNTIF('HOSTING + GUESTS'!$B$6:$B$105,$B54)&gt;1,1,0))</f>
      </c>
      <c r="T54" s="78">
        <f>IF($C54="",0,IF(COUNTIF('PEOPLE + BUDGETS'!$B$6:$B$105,$C54)=0,1,0))</f>
      </c>
      <c r="U54" s="78">
        <f>IF($F54="",0,IF(COUNTIF('CHRISTMAS CALENDAR'!$B$6:$B$205,$F54)=0,1,0))</f>
      </c>
      <c r="V54" s="75"/>
    </row>
    <row r="55" ht="17" customHeight="1" spans="1:22" x14ac:dyDescent="0.25">
      <c r="A55" s="75"/>
      <c r="B55" s="79"/>
      <c r="C55" s="79"/>
      <c r="D55" s="78">
        <f>IF($B55="","",IF($C55="",$E55,IF($C55="","",IFERROR(IF(INDEX('PEOPLE + BUDGETS'!$C$6:$C$105,MATCH($C55,'PEOPLE + BUDGETS'!$B$6:$B$105,0))="","",INDEX('PEOPLE + BUDGETS'!$C$6:$C$105,MATCH($C55,'PEOPLE + BUDGETS'!$B$6:$B$105,0))),""))))</f>
      </c>
      <c r="E55" s="79"/>
      <c r="F55" s="79"/>
      <c r="G55" s="79"/>
      <c r="H55" s="79"/>
      <c r="I55" s="80"/>
      <c r="J55" s="80"/>
      <c r="K55" s="79"/>
      <c r="L55" s="82"/>
      <c r="M55" s="96"/>
      <c r="N55" s="82"/>
      <c r="O55" s="79"/>
      <c r="P55" s="80"/>
      <c r="Q55" s="79"/>
      <c r="R55" s="80"/>
      <c r="S55" s="78">
        <f>IF($B55="",0,IF(COUNTIF('HOSTING + GUESTS'!$B$6:$B$105,$B55)&gt;1,1,0))</f>
      </c>
      <c r="T55" s="78">
        <f>IF($C55="",0,IF(COUNTIF('PEOPLE + BUDGETS'!$B$6:$B$105,$C55)=0,1,0))</f>
      </c>
      <c r="U55" s="78">
        <f>IF($F55="",0,IF(COUNTIF('CHRISTMAS CALENDAR'!$B$6:$B$205,$F55)=0,1,0))</f>
      </c>
      <c r="V55" s="75"/>
    </row>
    <row r="56" ht="17" customHeight="1" spans="1:22" x14ac:dyDescent="0.25">
      <c r="A56" s="75"/>
      <c r="B56" s="79"/>
      <c r="C56" s="79"/>
      <c r="D56" s="78">
        <f>IF($B56="","",IF($C56="",$E56,IF($C56="","",IFERROR(IF(INDEX('PEOPLE + BUDGETS'!$C$6:$C$105,MATCH($C56,'PEOPLE + BUDGETS'!$B$6:$B$105,0))="","",INDEX('PEOPLE + BUDGETS'!$C$6:$C$105,MATCH($C56,'PEOPLE + BUDGETS'!$B$6:$B$105,0))),""))))</f>
      </c>
      <c r="E56" s="79"/>
      <c r="F56" s="79"/>
      <c r="G56" s="79"/>
      <c r="H56" s="79"/>
      <c r="I56" s="80"/>
      <c r="J56" s="80"/>
      <c r="K56" s="79"/>
      <c r="L56" s="82"/>
      <c r="M56" s="96"/>
      <c r="N56" s="82"/>
      <c r="O56" s="79"/>
      <c r="P56" s="80"/>
      <c r="Q56" s="79"/>
      <c r="R56" s="80"/>
      <c r="S56" s="78">
        <f>IF($B56="",0,IF(COUNTIF('HOSTING + GUESTS'!$B$6:$B$105,$B56)&gt;1,1,0))</f>
      </c>
      <c r="T56" s="78">
        <f>IF($C56="",0,IF(COUNTIF('PEOPLE + BUDGETS'!$B$6:$B$105,$C56)=0,1,0))</f>
      </c>
      <c r="U56" s="78">
        <f>IF($F56="",0,IF(COUNTIF('CHRISTMAS CALENDAR'!$B$6:$B$205,$F56)=0,1,0))</f>
      </c>
      <c r="V56" s="75"/>
    </row>
    <row r="57" ht="17" customHeight="1" spans="1:22" x14ac:dyDescent="0.25">
      <c r="A57" s="75"/>
      <c r="B57" s="79"/>
      <c r="C57" s="79"/>
      <c r="D57" s="78">
        <f>IF($B57="","",IF($C57="",$E57,IF($C57="","",IFERROR(IF(INDEX('PEOPLE + BUDGETS'!$C$6:$C$105,MATCH($C57,'PEOPLE + BUDGETS'!$B$6:$B$105,0))="","",INDEX('PEOPLE + BUDGETS'!$C$6:$C$105,MATCH($C57,'PEOPLE + BUDGETS'!$B$6:$B$105,0))),""))))</f>
      </c>
      <c r="E57" s="79"/>
      <c r="F57" s="79"/>
      <c r="G57" s="79"/>
      <c r="H57" s="79"/>
      <c r="I57" s="80"/>
      <c r="J57" s="80"/>
      <c r="K57" s="79"/>
      <c r="L57" s="82"/>
      <c r="M57" s="96"/>
      <c r="N57" s="82"/>
      <c r="O57" s="79"/>
      <c r="P57" s="80"/>
      <c r="Q57" s="79"/>
      <c r="R57" s="80"/>
      <c r="S57" s="78">
        <f>IF($B57="",0,IF(COUNTIF('HOSTING + GUESTS'!$B$6:$B$105,$B57)&gt;1,1,0))</f>
      </c>
      <c r="T57" s="78">
        <f>IF($C57="",0,IF(COUNTIF('PEOPLE + BUDGETS'!$B$6:$B$105,$C57)=0,1,0))</f>
      </c>
      <c r="U57" s="78">
        <f>IF($F57="",0,IF(COUNTIF('CHRISTMAS CALENDAR'!$B$6:$B$205,$F57)=0,1,0))</f>
      </c>
      <c r="V57" s="75"/>
    </row>
    <row r="58" ht="17" customHeight="1" spans="1:22" x14ac:dyDescent="0.25">
      <c r="A58" s="75"/>
      <c r="B58" s="79"/>
      <c r="C58" s="79"/>
      <c r="D58" s="78">
        <f>IF($B58="","",IF($C58="",$E58,IF($C58="","",IFERROR(IF(INDEX('PEOPLE + BUDGETS'!$C$6:$C$105,MATCH($C58,'PEOPLE + BUDGETS'!$B$6:$B$105,0))="","",INDEX('PEOPLE + BUDGETS'!$C$6:$C$105,MATCH($C58,'PEOPLE + BUDGETS'!$B$6:$B$105,0))),""))))</f>
      </c>
      <c r="E58" s="79"/>
      <c r="F58" s="79"/>
      <c r="G58" s="79"/>
      <c r="H58" s="79"/>
      <c r="I58" s="80"/>
      <c r="J58" s="80"/>
      <c r="K58" s="79"/>
      <c r="L58" s="82"/>
      <c r="M58" s="96"/>
      <c r="N58" s="82"/>
      <c r="O58" s="79"/>
      <c r="P58" s="80"/>
      <c r="Q58" s="79"/>
      <c r="R58" s="80"/>
      <c r="S58" s="78">
        <f>IF($B58="",0,IF(COUNTIF('HOSTING + GUESTS'!$B$6:$B$105,$B58)&gt;1,1,0))</f>
      </c>
      <c r="T58" s="78">
        <f>IF($C58="",0,IF(COUNTIF('PEOPLE + BUDGETS'!$B$6:$B$105,$C58)=0,1,0))</f>
      </c>
      <c r="U58" s="78">
        <f>IF($F58="",0,IF(COUNTIF('CHRISTMAS CALENDAR'!$B$6:$B$205,$F58)=0,1,0))</f>
      </c>
      <c r="V58" s="75"/>
    </row>
    <row r="59" ht="17" customHeight="1" spans="1:22" x14ac:dyDescent="0.25">
      <c r="A59" s="75"/>
      <c r="B59" s="79"/>
      <c r="C59" s="79"/>
      <c r="D59" s="78">
        <f>IF($B59="","",IF($C59="",$E59,IF($C59="","",IFERROR(IF(INDEX('PEOPLE + BUDGETS'!$C$6:$C$105,MATCH($C59,'PEOPLE + BUDGETS'!$B$6:$B$105,0))="","",INDEX('PEOPLE + BUDGETS'!$C$6:$C$105,MATCH($C59,'PEOPLE + BUDGETS'!$B$6:$B$105,0))),""))))</f>
      </c>
      <c r="E59" s="79"/>
      <c r="F59" s="79"/>
      <c r="G59" s="79"/>
      <c r="H59" s="79"/>
      <c r="I59" s="80"/>
      <c r="J59" s="80"/>
      <c r="K59" s="79"/>
      <c r="L59" s="82"/>
      <c r="M59" s="96"/>
      <c r="N59" s="82"/>
      <c r="O59" s="79"/>
      <c r="P59" s="80"/>
      <c r="Q59" s="79"/>
      <c r="R59" s="80"/>
      <c r="S59" s="78">
        <f>IF($B59="",0,IF(COUNTIF('HOSTING + GUESTS'!$B$6:$B$105,$B59)&gt;1,1,0))</f>
      </c>
      <c r="T59" s="78">
        <f>IF($C59="",0,IF(COUNTIF('PEOPLE + BUDGETS'!$B$6:$B$105,$C59)=0,1,0))</f>
      </c>
      <c r="U59" s="78">
        <f>IF($F59="",0,IF(COUNTIF('CHRISTMAS CALENDAR'!$B$6:$B$205,$F59)=0,1,0))</f>
      </c>
      <c r="V59" s="75"/>
    </row>
    <row r="60" ht="17" customHeight="1" spans="1:22" x14ac:dyDescent="0.25">
      <c r="A60" s="75"/>
      <c r="B60" s="79"/>
      <c r="C60" s="79"/>
      <c r="D60" s="78">
        <f>IF($B60="","",IF($C60="",$E60,IF($C60="","",IFERROR(IF(INDEX('PEOPLE + BUDGETS'!$C$6:$C$105,MATCH($C60,'PEOPLE + BUDGETS'!$B$6:$B$105,0))="","",INDEX('PEOPLE + BUDGETS'!$C$6:$C$105,MATCH($C60,'PEOPLE + BUDGETS'!$B$6:$B$105,0))),""))))</f>
      </c>
      <c r="E60" s="79"/>
      <c r="F60" s="79"/>
      <c r="G60" s="79"/>
      <c r="H60" s="79"/>
      <c r="I60" s="80"/>
      <c r="J60" s="80"/>
      <c r="K60" s="79"/>
      <c r="L60" s="82"/>
      <c r="M60" s="96"/>
      <c r="N60" s="82"/>
      <c r="O60" s="79"/>
      <c r="P60" s="80"/>
      <c r="Q60" s="79"/>
      <c r="R60" s="80"/>
      <c r="S60" s="78">
        <f>IF($B60="",0,IF(COUNTIF('HOSTING + GUESTS'!$B$6:$B$105,$B60)&gt;1,1,0))</f>
      </c>
      <c r="T60" s="78">
        <f>IF($C60="",0,IF(COUNTIF('PEOPLE + BUDGETS'!$B$6:$B$105,$C60)=0,1,0))</f>
      </c>
      <c r="U60" s="78">
        <f>IF($F60="",0,IF(COUNTIF('CHRISTMAS CALENDAR'!$B$6:$B$205,$F60)=0,1,0))</f>
      </c>
      <c r="V60" s="75"/>
    </row>
    <row r="61" ht="17" customHeight="1" spans="1:22" x14ac:dyDescent="0.25">
      <c r="A61" s="75"/>
      <c r="B61" s="79"/>
      <c r="C61" s="79"/>
      <c r="D61" s="78">
        <f>IF($B61="","",IF($C61="",$E61,IF($C61="","",IFERROR(IF(INDEX('PEOPLE + BUDGETS'!$C$6:$C$105,MATCH($C61,'PEOPLE + BUDGETS'!$B$6:$B$105,0))="","",INDEX('PEOPLE + BUDGETS'!$C$6:$C$105,MATCH($C61,'PEOPLE + BUDGETS'!$B$6:$B$105,0))),""))))</f>
      </c>
      <c r="E61" s="79"/>
      <c r="F61" s="79"/>
      <c r="G61" s="79"/>
      <c r="H61" s="79"/>
      <c r="I61" s="80"/>
      <c r="J61" s="80"/>
      <c r="K61" s="79"/>
      <c r="L61" s="82"/>
      <c r="M61" s="96"/>
      <c r="N61" s="82"/>
      <c r="O61" s="79"/>
      <c r="P61" s="80"/>
      <c r="Q61" s="79"/>
      <c r="R61" s="80"/>
      <c r="S61" s="78">
        <f>IF($B61="",0,IF(COUNTIF('HOSTING + GUESTS'!$B$6:$B$105,$B61)&gt;1,1,0))</f>
      </c>
      <c r="T61" s="78">
        <f>IF($C61="",0,IF(COUNTIF('PEOPLE + BUDGETS'!$B$6:$B$105,$C61)=0,1,0))</f>
      </c>
      <c r="U61" s="78">
        <f>IF($F61="",0,IF(COUNTIF('CHRISTMAS CALENDAR'!$B$6:$B$205,$F61)=0,1,0))</f>
      </c>
      <c r="V61" s="75"/>
    </row>
    <row r="62" ht="17" customHeight="1" spans="1:22" x14ac:dyDescent="0.25">
      <c r="A62" s="75"/>
      <c r="B62" s="79"/>
      <c r="C62" s="79"/>
      <c r="D62" s="78">
        <f>IF($B62="","",IF($C62="",$E62,IF($C62="","",IFERROR(IF(INDEX('PEOPLE + BUDGETS'!$C$6:$C$105,MATCH($C62,'PEOPLE + BUDGETS'!$B$6:$B$105,0))="","",INDEX('PEOPLE + BUDGETS'!$C$6:$C$105,MATCH($C62,'PEOPLE + BUDGETS'!$B$6:$B$105,0))),""))))</f>
      </c>
      <c r="E62" s="79"/>
      <c r="F62" s="79"/>
      <c r="G62" s="79"/>
      <c r="H62" s="79"/>
      <c r="I62" s="80"/>
      <c r="J62" s="80"/>
      <c r="K62" s="79"/>
      <c r="L62" s="82"/>
      <c r="M62" s="96"/>
      <c r="N62" s="82"/>
      <c r="O62" s="79"/>
      <c r="P62" s="80"/>
      <c r="Q62" s="79"/>
      <c r="R62" s="80"/>
      <c r="S62" s="78">
        <f>IF($B62="",0,IF(COUNTIF('HOSTING + GUESTS'!$B$6:$B$105,$B62)&gt;1,1,0))</f>
      </c>
      <c r="T62" s="78">
        <f>IF($C62="",0,IF(COUNTIF('PEOPLE + BUDGETS'!$B$6:$B$105,$C62)=0,1,0))</f>
      </c>
      <c r="U62" s="78">
        <f>IF($F62="",0,IF(COUNTIF('CHRISTMAS CALENDAR'!$B$6:$B$205,$F62)=0,1,0))</f>
      </c>
      <c r="V62" s="75"/>
    </row>
    <row r="63" ht="17" customHeight="1" spans="1:22" x14ac:dyDescent="0.25">
      <c r="A63" s="75"/>
      <c r="B63" s="79"/>
      <c r="C63" s="79"/>
      <c r="D63" s="78">
        <f>IF($B63="","",IF($C63="",$E63,IF($C63="","",IFERROR(IF(INDEX('PEOPLE + BUDGETS'!$C$6:$C$105,MATCH($C63,'PEOPLE + BUDGETS'!$B$6:$B$105,0))="","",INDEX('PEOPLE + BUDGETS'!$C$6:$C$105,MATCH($C63,'PEOPLE + BUDGETS'!$B$6:$B$105,0))),""))))</f>
      </c>
      <c r="E63" s="79"/>
      <c r="F63" s="79"/>
      <c r="G63" s="79"/>
      <c r="H63" s="79"/>
      <c r="I63" s="80"/>
      <c r="J63" s="80"/>
      <c r="K63" s="79"/>
      <c r="L63" s="82"/>
      <c r="M63" s="96"/>
      <c r="N63" s="82"/>
      <c r="O63" s="79"/>
      <c r="P63" s="80"/>
      <c r="Q63" s="79"/>
      <c r="R63" s="80"/>
      <c r="S63" s="78">
        <f>IF($B63="",0,IF(COUNTIF('HOSTING + GUESTS'!$B$6:$B$105,$B63)&gt;1,1,0))</f>
      </c>
      <c r="T63" s="78">
        <f>IF($C63="",0,IF(COUNTIF('PEOPLE + BUDGETS'!$B$6:$B$105,$C63)=0,1,0))</f>
      </c>
      <c r="U63" s="78">
        <f>IF($F63="",0,IF(COUNTIF('CHRISTMAS CALENDAR'!$B$6:$B$205,$F63)=0,1,0))</f>
      </c>
      <c r="V63" s="75"/>
    </row>
    <row r="64" ht="17" customHeight="1" spans="1:22" x14ac:dyDescent="0.25">
      <c r="A64" s="75"/>
      <c r="B64" s="79"/>
      <c r="C64" s="79"/>
      <c r="D64" s="78">
        <f>IF($B64="","",IF($C64="",$E64,IF($C64="","",IFERROR(IF(INDEX('PEOPLE + BUDGETS'!$C$6:$C$105,MATCH($C64,'PEOPLE + BUDGETS'!$B$6:$B$105,0))="","",INDEX('PEOPLE + BUDGETS'!$C$6:$C$105,MATCH($C64,'PEOPLE + BUDGETS'!$B$6:$B$105,0))),""))))</f>
      </c>
      <c r="E64" s="79"/>
      <c r="F64" s="79"/>
      <c r="G64" s="79"/>
      <c r="H64" s="79"/>
      <c r="I64" s="80"/>
      <c r="J64" s="80"/>
      <c r="K64" s="79"/>
      <c r="L64" s="82"/>
      <c r="M64" s="96"/>
      <c r="N64" s="82"/>
      <c r="O64" s="79"/>
      <c r="P64" s="80"/>
      <c r="Q64" s="79"/>
      <c r="R64" s="80"/>
      <c r="S64" s="78">
        <f>IF($B64="",0,IF(COUNTIF('HOSTING + GUESTS'!$B$6:$B$105,$B64)&gt;1,1,0))</f>
      </c>
      <c r="T64" s="78">
        <f>IF($C64="",0,IF(COUNTIF('PEOPLE + BUDGETS'!$B$6:$B$105,$C64)=0,1,0))</f>
      </c>
      <c r="U64" s="78">
        <f>IF($F64="",0,IF(COUNTIF('CHRISTMAS CALENDAR'!$B$6:$B$205,$F64)=0,1,0))</f>
      </c>
      <c r="V64" s="75"/>
    </row>
    <row r="65" ht="17" customHeight="1" spans="1:22" x14ac:dyDescent="0.25">
      <c r="A65" s="75"/>
      <c r="B65" s="79"/>
      <c r="C65" s="79"/>
      <c r="D65" s="78">
        <f>IF($B65="","",IF($C65="",$E65,IF($C65="","",IFERROR(IF(INDEX('PEOPLE + BUDGETS'!$C$6:$C$105,MATCH($C65,'PEOPLE + BUDGETS'!$B$6:$B$105,0))="","",INDEX('PEOPLE + BUDGETS'!$C$6:$C$105,MATCH($C65,'PEOPLE + BUDGETS'!$B$6:$B$105,0))),""))))</f>
      </c>
      <c r="E65" s="79"/>
      <c r="F65" s="79"/>
      <c r="G65" s="79"/>
      <c r="H65" s="79"/>
      <c r="I65" s="80"/>
      <c r="J65" s="80"/>
      <c r="K65" s="79"/>
      <c r="L65" s="82"/>
      <c r="M65" s="96"/>
      <c r="N65" s="82"/>
      <c r="O65" s="79"/>
      <c r="P65" s="80"/>
      <c r="Q65" s="79"/>
      <c r="R65" s="80"/>
      <c r="S65" s="78">
        <f>IF($B65="",0,IF(COUNTIF('HOSTING + GUESTS'!$B$6:$B$105,$B65)&gt;1,1,0))</f>
      </c>
      <c r="T65" s="78">
        <f>IF($C65="",0,IF(COUNTIF('PEOPLE + BUDGETS'!$B$6:$B$105,$C65)=0,1,0))</f>
      </c>
      <c r="U65" s="78">
        <f>IF($F65="",0,IF(COUNTIF('CHRISTMAS CALENDAR'!$B$6:$B$205,$F65)=0,1,0))</f>
      </c>
      <c r="V65" s="75"/>
    </row>
    <row r="66" ht="17" customHeight="1" spans="1:22" x14ac:dyDescent="0.25">
      <c r="A66" s="75"/>
      <c r="B66" s="79"/>
      <c r="C66" s="79"/>
      <c r="D66" s="78">
        <f>IF($B66="","",IF($C66="",$E66,IF($C66="","",IFERROR(IF(INDEX('PEOPLE + BUDGETS'!$C$6:$C$105,MATCH($C66,'PEOPLE + BUDGETS'!$B$6:$B$105,0))="","",INDEX('PEOPLE + BUDGETS'!$C$6:$C$105,MATCH($C66,'PEOPLE + BUDGETS'!$B$6:$B$105,0))),""))))</f>
      </c>
      <c r="E66" s="79"/>
      <c r="F66" s="79"/>
      <c r="G66" s="79"/>
      <c r="H66" s="79"/>
      <c r="I66" s="80"/>
      <c r="J66" s="80"/>
      <c r="K66" s="79"/>
      <c r="L66" s="82"/>
      <c r="M66" s="96"/>
      <c r="N66" s="82"/>
      <c r="O66" s="79"/>
      <c r="P66" s="80"/>
      <c r="Q66" s="79"/>
      <c r="R66" s="80"/>
      <c r="S66" s="78">
        <f>IF($B66="",0,IF(COUNTIF('HOSTING + GUESTS'!$B$6:$B$105,$B66)&gt;1,1,0))</f>
      </c>
      <c r="T66" s="78">
        <f>IF($C66="",0,IF(COUNTIF('PEOPLE + BUDGETS'!$B$6:$B$105,$C66)=0,1,0))</f>
      </c>
      <c r="U66" s="78">
        <f>IF($F66="",0,IF(COUNTIF('CHRISTMAS CALENDAR'!$B$6:$B$205,$F66)=0,1,0))</f>
      </c>
      <c r="V66" s="75"/>
    </row>
    <row r="67" ht="17" customHeight="1" spans="1:22" x14ac:dyDescent="0.25">
      <c r="A67" s="75"/>
      <c r="B67" s="79"/>
      <c r="C67" s="79"/>
      <c r="D67" s="78">
        <f>IF($B67="","",IF($C67="",$E67,IF($C67="","",IFERROR(IF(INDEX('PEOPLE + BUDGETS'!$C$6:$C$105,MATCH($C67,'PEOPLE + BUDGETS'!$B$6:$B$105,0))="","",INDEX('PEOPLE + BUDGETS'!$C$6:$C$105,MATCH($C67,'PEOPLE + BUDGETS'!$B$6:$B$105,0))),""))))</f>
      </c>
      <c r="E67" s="79"/>
      <c r="F67" s="79"/>
      <c r="G67" s="79"/>
      <c r="H67" s="79"/>
      <c r="I67" s="80"/>
      <c r="J67" s="80"/>
      <c r="K67" s="79"/>
      <c r="L67" s="82"/>
      <c r="M67" s="96"/>
      <c r="N67" s="82"/>
      <c r="O67" s="79"/>
      <c r="P67" s="80"/>
      <c r="Q67" s="79"/>
      <c r="R67" s="80"/>
      <c r="S67" s="78">
        <f>IF($B67="",0,IF(COUNTIF('HOSTING + GUESTS'!$B$6:$B$105,$B67)&gt;1,1,0))</f>
      </c>
      <c r="T67" s="78">
        <f>IF($C67="",0,IF(COUNTIF('PEOPLE + BUDGETS'!$B$6:$B$105,$C67)=0,1,0))</f>
      </c>
      <c r="U67" s="78">
        <f>IF($F67="",0,IF(COUNTIF('CHRISTMAS CALENDAR'!$B$6:$B$205,$F67)=0,1,0))</f>
      </c>
      <c r="V67" s="75"/>
    </row>
    <row r="68" ht="17" customHeight="1" spans="1:22" x14ac:dyDescent="0.25">
      <c r="A68" s="75"/>
      <c r="B68" s="79"/>
      <c r="C68" s="79"/>
      <c r="D68" s="78">
        <f>IF($B68="","",IF($C68="",$E68,IF($C68="","",IFERROR(IF(INDEX('PEOPLE + BUDGETS'!$C$6:$C$105,MATCH($C68,'PEOPLE + BUDGETS'!$B$6:$B$105,0))="","",INDEX('PEOPLE + BUDGETS'!$C$6:$C$105,MATCH($C68,'PEOPLE + BUDGETS'!$B$6:$B$105,0))),""))))</f>
      </c>
      <c r="E68" s="79"/>
      <c r="F68" s="79"/>
      <c r="G68" s="79"/>
      <c r="H68" s="79"/>
      <c r="I68" s="80"/>
      <c r="J68" s="80"/>
      <c r="K68" s="79"/>
      <c r="L68" s="82"/>
      <c r="M68" s="96"/>
      <c r="N68" s="82"/>
      <c r="O68" s="79"/>
      <c r="P68" s="80"/>
      <c r="Q68" s="79"/>
      <c r="R68" s="80"/>
      <c r="S68" s="78">
        <f>IF($B68="",0,IF(COUNTIF('HOSTING + GUESTS'!$B$6:$B$105,$B68)&gt;1,1,0))</f>
      </c>
      <c r="T68" s="78">
        <f>IF($C68="",0,IF(COUNTIF('PEOPLE + BUDGETS'!$B$6:$B$105,$C68)=0,1,0))</f>
      </c>
      <c r="U68" s="78">
        <f>IF($F68="",0,IF(COUNTIF('CHRISTMAS CALENDAR'!$B$6:$B$205,$F68)=0,1,0))</f>
      </c>
      <c r="V68" s="75"/>
    </row>
    <row r="69" ht="17" customHeight="1" spans="1:22" x14ac:dyDescent="0.25">
      <c r="A69" s="75"/>
      <c r="B69" s="79"/>
      <c r="C69" s="79"/>
      <c r="D69" s="78">
        <f>IF($B69="","",IF($C69="",$E69,IF($C69="","",IFERROR(IF(INDEX('PEOPLE + BUDGETS'!$C$6:$C$105,MATCH($C69,'PEOPLE + BUDGETS'!$B$6:$B$105,0))="","",INDEX('PEOPLE + BUDGETS'!$C$6:$C$105,MATCH($C69,'PEOPLE + BUDGETS'!$B$6:$B$105,0))),""))))</f>
      </c>
      <c r="E69" s="79"/>
      <c r="F69" s="79"/>
      <c r="G69" s="79"/>
      <c r="H69" s="79"/>
      <c r="I69" s="80"/>
      <c r="J69" s="80"/>
      <c r="K69" s="79"/>
      <c r="L69" s="82"/>
      <c r="M69" s="96"/>
      <c r="N69" s="82"/>
      <c r="O69" s="79"/>
      <c r="P69" s="80"/>
      <c r="Q69" s="79"/>
      <c r="R69" s="80"/>
      <c r="S69" s="78">
        <f>IF($B69="",0,IF(COUNTIF('HOSTING + GUESTS'!$B$6:$B$105,$B69)&gt;1,1,0))</f>
      </c>
      <c r="T69" s="78">
        <f>IF($C69="",0,IF(COUNTIF('PEOPLE + BUDGETS'!$B$6:$B$105,$C69)=0,1,0))</f>
      </c>
      <c r="U69" s="78">
        <f>IF($F69="",0,IF(COUNTIF('CHRISTMAS CALENDAR'!$B$6:$B$205,$F69)=0,1,0))</f>
      </c>
      <c r="V69" s="75"/>
    </row>
    <row r="70" ht="17" customHeight="1" spans="1:22" x14ac:dyDescent="0.25">
      <c r="A70" s="75"/>
      <c r="B70" s="79"/>
      <c r="C70" s="79"/>
      <c r="D70" s="78">
        <f>IF($B70="","",IF($C70="",$E70,IF($C70="","",IFERROR(IF(INDEX('PEOPLE + BUDGETS'!$C$6:$C$105,MATCH($C70,'PEOPLE + BUDGETS'!$B$6:$B$105,0))="","",INDEX('PEOPLE + BUDGETS'!$C$6:$C$105,MATCH($C70,'PEOPLE + BUDGETS'!$B$6:$B$105,0))),""))))</f>
      </c>
      <c r="E70" s="79"/>
      <c r="F70" s="79"/>
      <c r="G70" s="79"/>
      <c r="H70" s="79"/>
      <c r="I70" s="80"/>
      <c r="J70" s="80"/>
      <c r="K70" s="79"/>
      <c r="L70" s="82"/>
      <c r="M70" s="96"/>
      <c r="N70" s="82"/>
      <c r="O70" s="79"/>
      <c r="P70" s="80"/>
      <c r="Q70" s="79"/>
      <c r="R70" s="80"/>
      <c r="S70" s="78">
        <f>IF($B70="",0,IF(COUNTIF('HOSTING + GUESTS'!$B$6:$B$105,$B70)&gt;1,1,0))</f>
      </c>
      <c r="T70" s="78">
        <f>IF($C70="",0,IF(COUNTIF('PEOPLE + BUDGETS'!$B$6:$B$105,$C70)=0,1,0))</f>
      </c>
      <c r="U70" s="78">
        <f>IF($F70="",0,IF(COUNTIF('CHRISTMAS CALENDAR'!$B$6:$B$205,$F70)=0,1,0))</f>
      </c>
      <c r="V70" s="75"/>
    </row>
    <row r="71" ht="17" customHeight="1" spans="1:22" x14ac:dyDescent="0.25">
      <c r="A71" s="75"/>
      <c r="B71" s="79"/>
      <c r="C71" s="79"/>
      <c r="D71" s="78">
        <f>IF($B71="","",IF($C71="",$E71,IF($C71="","",IFERROR(IF(INDEX('PEOPLE + BUDGETS'!$C$6:$C$105,MATCH($C71,'PEOPLE + BUDGETS'!$B$6:$B$105,0))="","",INDEX('PEOPLE + BUDGETS'!$C$6:$C$105,MATCH($C71,'PEOPLE + BUDGETS'!$B$6:$B$105,0))),""))))</f>
      </c>
      <c r="E71" s="79"/>
      <c r="F71" s="79"/>
      <c r="G71" s="79"/>
      <c r="H71" s="79"/>
      <c r="I71" s="80"/>
      <c r="J71" s="80"/>
      <c r="K71" s="79"/>
      <c r="L71" s="82"/>
      <c r="M71" s="96"/>
      <c r="N71" s="82"/>
      <c r="O71" s="79"/>
      <c r="P71" s="80"/>
      <c r="Q71" s="79"/>
      <c r="R71" s="80"/>
      <c r="S71" s="78">
        <f>IF($B71="",0,IF(COUNTIF('HOSTING + GUESTS'!$B$6:$B$105,$B71)&gt;1,1,0))</f>
      </c>
      <c r="T71" s="78">
        <f>IF($C71="",0,IF(COUNTIF('PEOPLE + BUDGETS'!$B$6:$B$105,$C71)=0,1,0))</f>
      </c>
      <c r="U71" s="78">
        <f>IF($F71="",0,IF(COUNTIF('CHRISTMAS CALENDAR'!$B$6:$B$205,$F71)=0,1,0))</f>
      </c>
      <c r="V71" s="75"/>
    </row>
    <row r="72" ht="17" customHeight="1" spans="1:22" x14ac:dyDescent="0.25">
      <c r="A72" s="75"/>
      <c r="B72" s="79"/>
      <c r="C72" s="79"/>
      <c r="D72" s="78">
        <f>IF($B72="","",IF($C72="",$E72,IF($C72="","",IFERROR(IF(INDEX('PEOPLE + BUDGETS'!$C$6:$C$105,MATCH($C72,'PEOPLE + BUDGETS'!$B$6:$B$105,0))="","",INDEX('PEOPLE + BUDGETS'!$C$6:$C$105,MATCH($C72,'PEOPLE + BUDGETS'!$B$6:$B$105,0))),""))))</f>
      </c>
      <c r="E72" s="79"/>
      <c r="F72" s="79"/>
      <c r="G72" s="79"/>
      <c r="H72" s="79"/>
      <c r="I72" s="80"/>
      <c r="J72" s="80"/>
      <c r="K72" s="79"/>
      <c r="L72" s="82"/>
      <c r="M72" s="96"/>
      <c r="N72" s="82"/>
      <c r="O72" s="79"/>
      <c r="P72" s="80"/>
      <c r="Q72" s="79"/>
      <c r="R72" s="80"/>
      <c r="S72" s="78">
        <f>IF($B72="",0,IF(COUNTIF('HOSTING + GUESTS'!$B$6:$B$105,$B72)&gt;1,1,0))</f>
      </c>
      <c r="T72" s="78">
        <f>IF($C72="",0,IF(COUNTIF('PEOPLE + BUDGETS'!$B$6:$B$105,$C72)=0,1,0))</f>
      </c>
      <c r="U72" s="78">
        <f>IF($F72="",0,IF(COUNTIF('CHRISTMAS CALENDAR'!$B$6:$B$205,$F72)=0,1,0))</f>
      </c>
      <c r="V72" s="75"/>
    </row>
    <row r="73" ht="17" customHeight="1" spans="1:22" x14ac:dyDescent="0.25">
      <c r="A73" s="75"/>
      <c r="B73" s="79"/>
      <c r="C73" s="79"/>
      <c r="D73" s="78">
        <f>IF($B73="","",IF($C73="",$E73,IF($C73="","",IFERROR(IF(INDEX('PEOPLE + BUDGETS'!$C$6:$C$105,MATCH($C73,'PEOPLE + BUDGETS'!$B$6:$B$105,0))="","",INDEX('PEOPLE + BUDGETS'!$C$6:$C$105,MATCH($C73,'PEOPLE + BUDGETS'!$B$6:$B$105,0))),""))))</f>
      </c>
      <c r="E73" s="79"/>
      <c r="F73" s="79"/>
      <c r="G73" s="79"/>
      <c r="H73" s="79"/>
      <c r="I73" s="80"/>
      <c r="J73" s="80"/>
      <c r="K73" s="79"/>
      <c r="L73" s="82"/>
      <c r="M73" s="96"/>
      <c r="N73" s="82"/>
      <c r="O73" s="79"/>
      <c r="P73" s="80"/>
      <c r="Q73" s="79"/>
      <c r="R73" s="80"/>
      <c r="S73" s="78">
        <f>IF($B73="",0,IF(COUNTIF('HOSTING + GUESTS'!$B$6:$B$105,$B73)&gt;1,1,0))</f>
      </c>
      <c r="T73" s="78">
        <f>IF($C73="",0,IF(COUNTIF('PEOPLE + BUDGETS'!$B$6:$B$105,$C73)=0,1,0))</f>
      </c>
      <c r="U73" s="78">
        <f>IF($F73="",0,IF(COUNTIF('CHRISTMAS CALENDAR'!$B$6:$B$205,$F73)=0,1,0))</f>
      </c>
      <c r="V73" s="75"/>
    </row>
    <row r="74" ht="17" customHeight="1" spans="1:22" x14ac:dyDescent="0.25">
      <c r="A74" s="75"/>
      <c r="B74" s="79"/>
      <c r="C74" s="79"/>
      <c r="D74" s="78">
        <f>IF($B74="","",IF($C74="",$E74,IF($C74="","",IFERROR(IF(INDEX('PEOPLE + BUDGETS'!$C$6:$C$105,MATCH($C74,'PEOPLE + BUDGETS'!$B$6:$B$105,0))="","",INDEX('PEOPLE + BUDGETS'!$C$6:$C$105,MATCH($C74,'PEOPLE + BUDGETS'!$B$6:$B$105,0))),""))))</f>
      </c>
      <c r="E74" s="79"/>
      <c r="F74" s="79"/>
      <c r="G74" s="79"/>
      <c r="H74" s="79"/>
      <c r="I74" s="80"/>
      <c r="J74" s="80"/>
      <c r="K74" s="79"/>
      <c r="L74" s="82"/>
      <c r="M74" s="96"/>
      <c r="N74" s="82"/>
      <c r="O74" s="79"/>
      <c r="P74" s="80"/>
      <c r="Q74" s="79"/>
      <c r="R74" s="80"/>
      <c r="S74" s="78">
        <f>IF($B74="",0,IF(COUNTIF('HOSTING + GUESTS'!$B$6:$B$105,$B74)&gt;1,1,0))</f>
      </c>
      <c r="T74" s="78">
        <f>IF($C74="",0,IF(COUNTIF('PEOPLE + BUDGETS'!$B$6:$B$105,$C74)=0,1,0))</f>
      </c>
      <c r="U74" s="78">
        <f>IF($F74="",0,IF(COUNTIF('CHRISTMAS CALENDAR'!$B$6:$B$205,$F74)=0,1,0))</f>
      </c>
      <c r="V74" s="75"/>
    </row>
    <row r="75" ht="17" customHeight="1" spans="1:22" x14ac:dyDescent="0.25">
      <c r="A75" s="75"/>
      <c r="B75" s="79"/>
      <c r="C75" s="79"/>
      <c r="D75" s="78">
        <f>IF($B75="","",IF($C75="",$E75,IF($C75="","",IFERROR(IF(INDEX('PEOPLE + BUDGETS'!$C$6:$C$105,MATCH($C75,'PEOPLE + BUDGETS'!$B$6:$B$105,0))="","",INDEX('PEOPLE + BUDGETS'!$C$6:$C$105,MATCH($C75,'PEOPLE + BUDGETS'!$B$6:$B$105,0))),""))))</f>
      </c>
      <c r="E75" s="79"/>
      <c r="F75" s="79"/>
      <c r="G75" s="79"/>
      <c r="H75" s="79"/>
      <c r="I75" s="80"/>
      <c r="J75" s="80"/>
      <c r="K75" s="79"/>
      <c r="L75" s="82"/>
      <c r="M75" s="96"/>
      <c r="N75" s="82"/>
      <c r="O75" s="79"/>
      <c r="P75" s="80"/>
      <c r="Q75" s="79"/>
      <c r="R75" s="80"/>
      <c r="S75" s="78">
        <f>IF($B75="",0,IF(COUNTIF('HOSTING + GUESTS'!$B$6:$B$105,$B75)&gt;1,1,0))</f>
      </c>
      <c r="T75" s="78">
        <f>IF($C75="",0,IF(COUNTIF('PEOPLE + BUDGETS'!$B$6:$B$105,$C75)=0,1,0))</f>
      </c>
      <c r="U75" s="78">
        <f>IF($F75="",0,IF(COUNTIF('CHRISTMAS CALENDAR'!$B$6:$B$205,$F75)=0,1,0))</f>
      </c>
      <c r="V75" s="75"/>
    </row>
    <row r="76" ht="17" customHeight="1" spans="1:22" x14ac:dyDescent="0.25">
      <c r="A76" s="75"/>
      <c r="B76" s="79"/>
      <c r="C76" s="79"/>
      <c r="D76" s="78">
        <f>IF($B76="","",IF($C76="",$E76,IF($C76="","",IFERROR(IF(INDEX('PEOPLE + BUDGETS'!$C$6:$C$105,MATCH($C76,'PEOPLE + BUDGETS'!$B$6:$B$105,0))="","",INDEX('PEOPLE + BUDGETS'!$C$6:$C$105,MATCH($C76,'PEOPLE + BUDGETS'!$B$6:$B$105,0))),""))))</f>
      </c>
      <c r="E76" s="79"/>
      <c r="F76" s="79"/>
      <c r="G76" s="79"/>
      <c r="H76" s="79"/>
      <c r="I76" s="80"/>
      <c r="J76" s="80"/>
      <c r="K76" s="79"/>
      <c r="L76" s="82"/>
      <c r="M76" s="96"/>
      <c r="N76" s="82"/>
      <c r="O76" s="79"/>
      <c r="P76" s="80"/>
      <c r="Q76" s="79"/>
      <c r="R76" s="80"/>
      <c r="S76" s="78">
        <f>IF($B76="",0,IF(COUNTIF('HOSTING + GUESTS'!$B$6:$B$105,$B76)&gt;1,1,0))</f>
      </c>
      <c r="T76" s="78">
        <f>IF($C76="",0,IF(COUNTIF('PEOPLE + BUDGETS'!$B$6:$B$105,$C76)=0,1,0))</f>
      </c>
      <c r="U76" s="78">
        <f>IF($F76="",0,IF(COUNTIF('CHRISTMAS CALENDAR'!$B$6:$B$205,$F76)=0,1,0))</f>
      </c>
      <c r="V76" s="75"/>
    </row>
    <row r="77" ht="17" customHeight="1" spans="1:22" x14ac:dyDescent="0.25">
      <c r="A77" s="75"/>
      <c r="B77" s="79"/>
      <c r="C77" s="79"/>
      <c r="D77" s="78">
        <f>IF($B77="","",IF($C77="",$E77,IF($C77="","",IFERROR(IF(INDEX('PEOPLE + BUDGETS'!$C$6:$C$105,MATCH($C77,'PEOPLE + BUDGETS'!$B$6:$B$105,0))="","",INDEX('PEOPLE + BUDGETS'!$C$6:$C$105,MATCH($C77,'PEOPLE + BUDGETS'!$B$6:$B$105,0))),""))))</f>
      </c>
      <c r="E77" s="79"/>
      <c r="F77" s="79"/>
      <c r="G77" s="79"/>
      <c r="H77" s="79"/>
      <c r="I77" s="80"/>
      <c r="J77" s="80"/>
      <c r="K77" s="79"/>
      <c r="L77" s="82"/>
      <c r="M77" s="96"/>
      <c r="N77" s="82"/>
      <c r="O77" s="79"/>
      <c r="P77" s="80"/>
      <c r="Q77" s="79"/>
      <c r="R77" s="80"/>
      <c r="S77" s="78">
        <f>IF($B77="",0,IF(COUNTIF('HOSTING + GUESTS'!$B$6:$B$105,$B77)&gt;1,1,0))</f>
      </c>
      <c r="T77" s="78">
        <f>IF($C77="",0,IF(COUNTIF('PEOPLE + BUDGETS'!$B$6:$B$105,$C77)=0,1,0))</f>
      </c>
      <c r="U77" s="78">
        <f>IF($F77="",0,IF(COUNTIF('CHRISTMAS CALENDAR'!$B$6:$B$205,$F77)=0,1,0))</f>
      </c>
      <c r="V77" s="75"/>
    </row>
    <row r="78" ht="17" customHeight="1" spans="1:22" x14ac:dyDescent="0.25">
      <c r="A78" s="75"/>
      <c r="B78" s="79"/>
      <c r="C78" s="79"/>
      <c r="D78" s="78">
        <f>IF($B78="","",IF($C78="",$E78,IF($C78="","",IFERROR(IF(INDEX('PEOPLE + BUDGETS'!$C$6:$C$105,MATCH($C78,'PEOPLE + BUDGETS'!$B$6:$B$105,0))="","",INDEX('PEOPLE + BUDGETS'!$C$6:$C$105,MATCH($C78,'PEOPLE + BUDGETS'!$B$6:$B$105,0))),""))))</f>
      </c>
      <c r="E78" s="79"/>
      <c r="F78" s="79"/>
      <c r="G78" s="79"/>
      <c r="H78" s="79"/>
      <c r="I78" s="80"/>
      <c r="J78" s="80"/>
      <c r="K78" s="79"/>
      <c r="L78" s="82"/>
      <c r="M78" s="96"/>
      <c r="N78" s="82"/>
      <c r="O78" s="79"/>
      <c r="P78" s="80"/>
      <c r="Q78" s="79"/>
      <c r="R78" s="80"/>
      <c r="S78" s="78">
        <f>IF($B78="",0,IF(COUNTIF('HOSTING + GUESTS'!$B$6:$B$105,$B78)&gt;1,1,0))</f>
      </c>
      <c r="T78" s="78">
        <f>IF($C78="",0,IF(COUNTIF('PEOPLE + BUDGETS'!$B$6:$B$105,$C78)=0,1,0))</f>
      </c>
      <c r="U78" s="78">
        <f>IF($F78="",0,IF(COUNTIF('CHRISTMAS CALENDAR'!$B$6:$B$205,$F78)=0,1,0))</f>
      </c>
      <c r="V78" s="75"/>
    </row>
    <row r="79" ht="17" customHeight="1" spans="1:22" x14ac:dyDescent="0.25">
      <c r="A79" s="75"/>
      <c r="B79" s="79"/>
      <c r="C79" s="79"/>
      <c r="D79" s="78">
        <f>IF($B79="","",IF($C79="",$E79,IF($C79="","",IFERROR(IF(INDEX('PEOPLE + BUDGETS'!$C$6:$C$105,MATCH($C79,'PEOPLE + BUDGETS'!$B$6:$B$105,0))="","",INDEX('PEOPLE + BUDGETS'!$C$6:$C$105,MATCH($C79,'PEOPLE + BUDGETS'!$B$6:$B$105,0))),""))))</f>
      </c>
      <c r="E79" s="79"/>
      <c r="F79" s="79"/>
      <c r="G79" s="79"/>
      <c r="H79" s="79"/>
      <c r="I79" s="80"/>
      <c r="J79" s="80"/>
      <c r="K79" s="79"/>
      <c r="L79" s="82"/>
      <c r="M79" s="96"/>
      <c r="N79" s="82"/>
      <c r="O79" s="79"/>
      <c r="P79" s="80"/>
      <c r="Q79" s="79"/>
      <c r="R79" s="80"/>
      <c r="S79" s="78">
        <f>IF($B79="",0,IF(COUNTIF('HOSTING + GUESTS'!$B$6:$B$105,$B79)&gt;1,1,0))</f>
      </c>
      <c r="T79" s="78">
        <f>IF($C79="",0,IF(COUNTIF('PEOPLE + BUDGETS'!$B$6:$B$105,$C79)=0,1,0))</f>
      </c>
      <c r="U79" s="78">
        <f>IF($F79="",0,IF(COUNTIF('CHRISTMAS CALENDAR'!$B$6:$B$205,$F79)=0,1,0))</f>
      </c>
      <c r="V79" s="75"/>
    </row>
    <row r="80" ht="17" customHeight="1" spans="1:22" x14ac:dyDescent="0.25">
      <c r="A80" s="75"/>
      <c r="B80" s="79"/>
      <c r="C80" s="79"/>
      <c r="D80" s="78">
        <f>IF($B80="","",IF($C80="",$E80,IF($C80="","",IFERROR(IF(INDEX('PEOPLE + BUDGETS'!$C$6:$C$105,MATCH($C80,'PEOPLE + BUDGETS'!$B$6:$B$105,0))="","",INDEX('PEOPLE + BUDGETS'!$C$6:$C$105,MATCH($C80,'PEOPLE + BUDGETS'!$B$6:$B$105,0))),""))))</f>
      </c>
      <c r="E80" s="79"/>
      <c r="F80" s="79"/>
      <c r="G80" s="79"/>
      <c r="H80" s="79"/>
      <c r="I80" s="80"/>
      <c r="J80" s="80"/>
      <c r="K80" s="79"/>
      <c r="L80" s="82"/>
      <c r="M80" s="96"/>
      <c r="N80" s="82"/>
      <c r="O80" s="79"/>
      <c r="P80" s="80"/>
      <c r="Q80" s="79"/>
      <c r="R80" s="80"/>
      <c r="S80" s="78">
        <f>IF($B80="",0,IF(COUNTIF('HOSTING + GUESTS'!$B$6:$B$105,$B80)&gt;1,1,0))</f>
      </c>
      <c r="T80" s="78">
        <f>IF($C80="",0,IF(COUNTIF('PEOPLE + BUDGETS'!$B$6:$B$105,$C80)=0,1,0))</f>
      </c>
      <c r="U80" s="78">
        <f>IF($F80="",0,IF(COUNTIF('CHRISTMAS CALENDAR'!$B$6:$B$205,$F80)=0,1,0))</f>
      </c>
      <c r="V80" s="75"/>
    </row>
    <row r="81" ht="17" customHeight="1" spans="1:22" x14ac:dyDescent="0.25">
      <c r="A81" s="75"/>
      <c r="B81" s="79"/>
      <c r="C81" s="79"/>
      <c r="D81" s="78">
        <f>IF($B81="","",IF($C81="",$E81,IF($C81="","",IFERROR(IF(INDEX('PEOPLE + BUDGETS'!$C$6:$C$105,MATCH($C81,'PEOPLE + BUDGETS'!$B$6:$B$105,0))="","",INDEX('PEOPLE + BUDGETS'!$C$6:$C$105,MATCH($C81,'PEOPLE + BUDGETS'!$B$6:$B$105,0))),""))))</f>
      </c>
      <c r="E81" s="79"/>
      <c r="F81" s="79"/>
      <c r="G81" s="79"/>
      <c r="H81" s="79"/>
      <c r="I81" s="80"/>
      <c r="J81" s="80"/>
      <c r="K81" s="79"/>
      <c r="L81" s="82"/>
      <c r="M81" s="96"/>
      <c r="N81" s="82"/>
      <c r="O81" s="79"/>
      <c r="P81" s="80"/>
      <c r="Q81" s="79"/>
      <c r="R81" s="80"/>
      <c r="S81" s="78">
        <f>IF($B81="",0,IF(COUNTIF('HOSTING + GUESTS'!$B$6:$B$105,$B81)&gt;1,1,0))</f>
      </c>
      <c r="T81" s="78">
        <f>IF($C81="",0,IF(COUNTIF('PEOPLE + BUDGETS'!$B$6:$B$105,$C81)=0,1,0))</f>
      </c>
      <c r="U81" s="78">
        <f>IF($F81="",0,IF(COUNTIF('CHRISTMAS CALENDAR'!$B$6:$B$205,$F81)=0,1,0))</f>
      </c>
      <c r="V81" s="75"/>
    </row>
    <row r="82" ht="17" customHeight="1" spans="1:22" x14ac:dyDescent="0.25">
      <c r="A82" s="75"/>
      <c r="B82" s="79"/>
      <c r="C82" s="79"/>
      <c r="D82" s="78">
        <f>IF($B82="","",IF($C82="",$E82,IF($C82="","",IFERROR(IF(INDEX('PEOPLE + BUDGETS'!$C$6:$C$105,MATCH($C82,'PEOPLE + BUDGETS'!$B$6:$B$105,0))="","",INDEX('PEOPLE + BUDGETS'!$C$6:$C$105,MATCH($C82,'PEOPLE + BUDGETS'!$B$6:$B$105,0))),""))))</f>
      </c>
      <c r="E82" s="79"/>
      <c r="F82" s="79"/>
      <c r="G82" s="79"/>
      <c r="H82" s="79"/>
      <c r="I82" s="80"/>
      <c r="J82" s="80"/>
      <c r="K82" s="79"/>
      <c r="L82" s="82"/>
      <c r="M82" s="96"/>
      <c r="N82" s="82"/>
      <c r="O82" s="79"/>
      <c r="P82" s="80"/>
      <c r="Q82" s="79"/>
      <c r="R82" s="80"/>
      <c r="S82" s="78">
        <f>IF($B82="",0,IF(COUNTIF('HOSTING + GUESTS'!$B$6:$B$105,$B82)&gt;1,1,0))</f>
      </c>
      <c r="T82" s="78">
        <f>IF($C82="",0,IF(COUNTIF('PEOPLE + BUDGETS'!$B$6:$B$105,$C82)=0,1,0))</f>
      </c>
      <c r="U82" s="78">
        <f>IF($F82="",0,IF(COUNTIF('CHRISTMAS CALENDAR'!$B$6:$B$205,$F82)=0,1,0))</f>
      </c>
      <c r="V82" s="75"/>
    </row>
    <row r="83" ht="17" customHeight="1" spans="1:22" x14ac:dyDescent="0.25">
      <c r="A83" s="75"/>
      <c r="B83" s="79"/>
      <c r="C83" s="79"/>
      <c r="D83" s="78">
        <f>IF($B83="","",IF($C83="",$E83,IF($C83="","",IFERROR(IF(INDEX('PEOPLE + BUDGETS'!$C$6:$C$105,MATCH($C83,'PEOPLE + BUDGETS'!$B$6:$B$105,0))="","",INDEX('PEOPLE + BUDGETS'!$C$6:$C$105,MATCH($C83,'PEOPLE + BUDGETS'!$B$6:$B$105,0))),""))))</f>
      </c>
      <c r="E83" s="79"/>
      <c r="F83" s="79"/>
      <c r="G83" s="79"/>
      <c r="H83" s="79"/>
      <c r="I83" s="80"/>
      <c r="J83" s="80"/>
      <c r="K83" s="79"/>
      <c r="L83" s="82"/>
      <c r="M83" s="96"/>
      <c r="N83" s="82"/>
      <c r="O83" s="79"/>
      <c r="P83" s="80"/>
      <c r="Q83" s="79"/>
      <c r="R83" s="80"/>
      <c r="S83" s="78">
        <f>IF($B83="",0,IF(COUNTIF('HOSTING + GUESTS'!$B$6:$B$105,$B83)&gt;1,1,0))</f>
      </c>
      <c r="T83" s="78">
        <f>IF($C83="",0,IF(COUNTIF('PEOPLE + BUDGETS'!$B$6:$B$105,$C83)=0,1,0))</f>
      </c>
      <c r="U83" s="78">
        <f>IF($F83="",0,IF(COUNTIF('CHRISTMAS CALENDAR'!$B$6:$B$205,$F83)=0,1,0))</f>
      </c>
      <c r="V83" s="75"/>
    </row>
    <row r="84" ht="17" customHeight="1" spans="1:22" x14ac:dyDescent="0.25">
      <c r="A84" s="75"/>
      <c r="B84" s="79"/>
      <c r="C84" s="79"/>
      <c r="D84" s="78">
        <f>IF($B84="","",IF($C84="",$E84,IF($C84="","",IFERROR(IF(INDEX('PEOPLE + BUDGETS'!$C$6:$C$105,MATCH($C84,'PEOPLE + BUDGETS'!$B$6:$B$105,0))="","",INDEX('PEOPLE + BUDGETS'!$C$6:$C$105,MATCH($C84,'PEOPLE + BUDGETS'!$B$6:$B$105,0))),""))))</f>
      </c>
      <c r="E84" s="79"/>
      <c r="F84" s="79"/>
      <c r="G84" s="79"/>
      <c r="H84" s="79"/>
      <c r="I84" s="80"/>
      <c r="J84" s="80"/>
      <c r="K84" s="79"/>
      <c r="L84" s="82"/>
      <c r="M84" s="96"/>
      <c r="N84" s="82"/>
      <c r="O84" s="79"/>
      <c r="P84" s="80"/>
      <c r="Q84" s="79"/>
      <c r="R84" s="80"/>
      <c r="S84" s="78">
        <f>IF($B84="",0,IF(COUNTIF('HOSTING + GUESTS'!$B$6:$B$105,$B84)&gt;1,1,0))</f>
      </c>
      <c r="T84" s="78">
        <f>IF($C84="",0,IF(COUNTIF('PEOPLE + BUDGETS'!$B$6:$B$105,$C84)=0,1,0))</f>
      </c>
      <c r="U84" s="78">
        <f>IF($F84="",0,IF(COUNTIF('CHRISTMAS CALENDAR'!$B$6:$B$205,$F84)=0,1,0))</f>
      </c>
      <c r="V84" s="75"/>
    </row>
    <row r="85" ht="17" customHeight="1" spans="1:22" x14ac:dyDescent="0.25">
      <c r="A85" s="75"/>
      <c r="B85" s="79"/>
      <c r="C85" s="79"/>
      <c r="D85" s="78">
        <f>IF($B85="","",IF($C85="",$E85,IF($C85="","",IFERROR(IF(INDEX('PEOPLE + BUDGETS'!$C$6:$C$105,MATCH($C85,'PEOPLE + BUDGETS'!$B$6:$B$105,0))="","",INDEX('PEOPLE + BUDGETS'!$C$6:$C$105,MATCH($C85,'PEOPLE + BUDGETS'!$B$6:$B$105,0))),""))))</f>
      </c>
      <c r="E85" s="79"/>
      <c r="F85" s="79"/>
      <c r="G85" s="79"/>
      <c r="H85" s="79"/>
      <c r="I85" s="80"/>
      <c r="J85" s="80"/>
      <c r="K85" s="79"/>
      <c r="L85" s="82"/>
      <c r="M85" s="96"/>
      <c r="N85" s="82"/>
      <c r="O85" s="79"/>
      <c r="P85" s="80"/>
      <c r="Q85" s="79"/>
      <c r="R85" s="80"/>
      <c r="S85" s="78">
        <f>IF($B85="",0,IF(COUNTIF('HOSTING + GUESTS'!$B$6:$B$105,$B85)&gt;1,1,0))</f>
      </c>
      <c r="T85" s="78">
        <f>IF($C85="",0,IF(COUNTIF('PEOPLE + BUDGETS'!$B$6:$B$105,$C85)=0,1,0))</f>
      </c>
      <c r="U85" s="78">
        <f>IF($F85="",0,IF(COUNTIF('CHRISTMAS CALENDAR'!$B$6:$B$205,$F85)=0,1,0))</f>
      </c>
      <c r="V85" s="75"/>
    </row>
    <row r="86" ht="17" customHeight="1" spans="1:22" x14ac:dyDescent="0.25">
      <c r="A86" s="75"/>
      <c r="B86" s="79"/>
      <c r="C86" s="79"/>
      <c r="D86" s="78">
        <f>IF($B86="","",IF($C86="",$E86,IF($C86="","",IFERROR(IF(INDEX('PEOPLE + BUDGETS'!$C$6:$C$105,MATCH($C86,'PEOPLE + BUDGETS'!$B$6:$B$105,0))="","",INDEX('PEOPLE + BUDGETS'!$C$6:$C$105,MATCH($C86,'PEOPLE + BUDGETS'!$B$6:$B$105,0))),""))))</f>
      </c>
      <c r="E86" s="79"/>
      <c r="F86" s="79"/>
      <c r="G86" s="79"/>
      <c r="H86" s="79"/>
      <c r="I86" s="80"/>
      <c r="J86" s="80"/>
      <c r="K86" s="79"/>
      <c r="L86" s="82"/>
      <c r="M86" s="96"/>
      <c r="N86" s="82"/>
      <c r="O86" s="79"/>
      <c r="P86" s="80"/>
      <c r="Q86" s="79"/>
      <c r="R86" s="80"/>
      <c r="S86" s="78">
        <f>IF($B86="",0,IF(COUNTIF('HOSTING + GUESTS'!$B$6:$B$105,$B86)&gt;1,1,0))</f>
      </c>
      <c r="T86" s="78">
        <f>IF($C86="",0,IF(COUNTIF('PEOPLE + BUDGETS'!$B$6:$B$105,$C86)=0,1,0))</f>
      </c>
      <c r="U86" s="78">
        <f>IF($F86="",0,IF(COUNTIF('CHRISTMAS CALENDAR'!$B$6:$B$205,$F86)=0,1,0))</f>
      </c>
      <c r="V86" s="75"/>
    </row>
    <row r="87" ht="17" customHeight="1" spans="1:22" x14ac:dyDescent="0.25">
      <c r="A87" s="75"/>
      <c r="B87" s="79"/>
      <c r="C87" s="79"/>
      <c r="D87" s="78">
        <f>IF($B87="","",IF($C87="",$E87,IF($C87="","",IFERROR(IF(INDEX('PEOPLE + BUDGETS'!$C$6:$C$105,MATCH($C87,'PEOPLE + BUDGETS'!$B$6:$B$105,0))="","",INDEX('PEOPLE + BUDGETS'!$C$6:$C$105,MATCH($C87,'PEOPLE + BUDGETS'!$B$6:$B$105,0))),""))))</f>
      </c>
      <c r="E87" s="79"/>
      <c r="F87" s="79"/>
      <c r="G87" s="79"/>
      <c r="H87" s="79"/>
      <c r="I87" s="80"/>
      <c r="J87" s="80"/>
      <c r="K87" s="79"/>
      <c r="L87" s="82"/>
      <c r="M87" s="96"/>
      <c r="N87" s="82"/>
      <c r="O87" s="79"/>
      <c r="P87" s="80"/>
      <c r="Q87" s="79"/>
      <c r="R87" s="80"/>
      <c r="S87" s="78">
        <f>IF($B87="",0,IF(COUNTIF('HOSTING + GUESTS'!$B$6:$B$105,$B87)&gt;1,1,0))</f>
      </c>
      <c r="T87" s="78">
        <f>IF($C87="",0,IF(COUNTIF('PEOPLE + BUDGETS'!$B$6:$B$105,$C87)=0,1,0))</f>
      </c>
      <c r="U87" s="78">
        <f>IF($F87="",0,IF(COUNTIF('CHRISTMAS CALENDAR'!$B$6:$B$205,$F87)=0,1,0))</f>
      </c>
      <c r="V87" s="75"/>
    </row>
    <row r="88" ht="17" customHeight="1" spans="1:22" x14ac:dyDescent="0.25">
      <c r="A88" s="75"/>
      <c r="B88" s="79"/>
      <c r="C88" s="79"/>
      <c r="D88" s="78">
        <f>IF($B88="","",IF($C88="",$E88,IF($C88="","",IFERROR(IF(INDEX('PEOPLE + BUDGETS'!$C$6:$C$105,MATCH($C88,'PEOPLE + BUDGETS'!$B$6:$B$105,0))="","",INDEX('PEOPLE + BUDGETS'!$C$6:$C$105,MATCH($C88,'PEOPLE + BUDGETS'!$B$6:$B$105,0))),""))))</f>
      </c>
      <c r="E88" s="79"/>
      <c r="F88" s="79"/>
      <c r="G88" s="79"/>
      <c r="H88" s="79"/>
      <c r="I88" s="80"/>
      <c r="J88" s="80"/>
      <c r="K88" s="79"/>
      <c r="L88" s="82"/>
      <c r="M88" s="96"/>
      <c r="N88" s="82"/>
      <c r="O88" s="79"/>
      <c r="P88" s="80"/>
      <c r="Q88" s="79"/>
      <c r="R88" s="80"/>
      <c r="S88" s="78">
        <f>IF($B88="",0,IF(COUNTIF('HOSTING + GUESTS'!$B$6:$B$105,$B88)&gt;1,1,0))</f>
      </c>
      <c r="T88" s="78">
        <f>IF($C88="",0,IF(COUNTIF('PEOPLE + BUDGETS'!$B$6:$B$105,$C88)=0,1,0))</f>
      </c>
      <c r="U88" s="78">
        <f>IF($F88="",0,IF(COUNTIF('CHRISTMAS CALENDAR'!$B$6:$B$205,$F88)=0,1,0))</f>
      </c>
      <c r="V88" s="75"/>
    </row>
    <row r="89" ht="17" customHeight="1" spans="1:22" x14ac:dyDescent="0.25">
      <c r="A89" s="75"/>
      <c r="B89" s="79"/>
      <c r="C89" s="79"/>
      <c r="D89" s="78">
        <f>IF($B89="","",IF($C89="",$E89,IF($C89="","",IFERROR(IF(INDEX('PEOPLE + BUDGETS'!$C$6:$C$105,MATCH($C89,'PEOPLE + BUDGETS'!$B$6:$B$105,0))="","",INDEX('PEOPLE + BUDGETS'!$C$6:$C$105,MATCH($C89,'PEOPLE + BUDGETS'!$B$6:$B$105,0))),""))))</f>
      </c>
      <c r="E89" s="79"/>
      <c r="F89" s="79"/>
      <c r="G89" s="79"/>
      <c r="H89" s="79"/>
      <c r="I89" s="80"/>
      <c r="J89" s="80"/>
      <c r="K89" s="79"/>
      <c r="L89" s="82"/>
      <c r="M89" s="96"/>
      <c r="N89" s="82"/>
      <c r="O89" s="79"/>
      <c r="P89" s="80"/>
      <c r="Q89" s="79"/>
      <c r="R89" s="80"/>
      <c r="S89" s="78">
        <f>IF($B89="",0,IF(COUNTIF('HOSTING + GUESTS'!$B$6:$B$105,$B89)&gt;1,1,0))</f>
      </c>
      <c r="T89" s="78">
        <f>IF($C89="",0,IF(COUNTIF('PEOPLE + BUDGETS'!$B$6:$B$105,$C89)=0,1,0))</f>
      </c>
      <c r="U89" s="78">
        <f>IF($F89="",0,IF(COUNTIF('CHRISTMAS CALENDAR'!$B$6:$B$205,$F89)=0,1,0))</f>
      </c>
      <c r="V89" s="75"/>
    </row>
    <row r="90" ht="17" customHeight="1" spans="1:22" x14ac:dyDescent="0.25">
      <c r="A90" s="75"/>
      <c r="B90" s="79"/>
      <c r="C90" s="79"/>
      <c r="D90" s="78">
        <f>IF($B90="","",IF($C90="",$E90,IF($C90="","",IFERROR(IF(INDEX('PEOPLE + BUDGETS'!$C$6:$C$105,MATCH($C90,'PEOPLE + BUDGETS'!$B$6:$B$105,0))="","",INDEX('PEOPLE + BUDGETS'!$C$6:$C$105,MATCH($C90,'PEOPLE + BUDGETS'!$B$6:$B$105,0))),""))))</f>
      </c>
      <c r="E90" s="79"/>
      <c r="F90" s="79"/>
      <c r="G90" s="79"/>
      <c r="H90" s="79"/>
      <c r="I90" s="80"/>
      <c r="J90" s="80"/>
      <c r="K90" s="79"/>
      <c r="L90" s="82"/>
      <c r="M90" s="96"/>
      <c r="N90" s="82"/>
      <c r="O90" s="79"/>
      <c r="P90" s="80"/>
      <c r="Q90" s="79"/>
      <c r="R90" s="80"/>
      <c r="S90" s="78">
        <f>IF($B90="",0,IF(COUNTIF('HOSTING + GUESTS'!$B$6:$B$105,$B90)&gt;1,1,0))</f>
      </c>
      <c r="T90" s="78">
        <f>IF($C90="",0,IF(COUNTIF('PEOPLE + BUDGETS'!$B$6:$B$105,$C90)=0,1,0))</f>
      </c>
      <c r="U90" s="78">
        <f>IF($F90="",0,IF(COUNTIF('CHRISTMAS CALENDAR'!$B$6:$B$205,$F90)=0,1,0))</f>
      </c>
      <c r="V90" s="75"/>
    </row>
    <row r="91" ht="17" customHeight="1" spans="1:22" x14ac:dyDescent="0.25">
      <c r="A91" s="75"/>
      <c r="B91" s="79"/>
      <c r="C91" s="79"/>
      <c r="D91" s="78">
        <f>IF($B91="","",IF($C91="",$E91,IF($C91="","",IFERROR(IF(INDEX('PEOPLE + BUDGETS'!$C$6:$C$105,MATCH($C91,'PEOPLE + BUDGETS'!$B$6:$B$105,0))="","",INDEX('PEOPLE + BUDGETS'!$C$6:$C$105,MATCH($C91,'PEOPLE + BUDGETS'!$B$6:$B$105,0))),""))))</f>
      </c>
      <c r="E91" s="79"/>
      <c r="F91" s="79"/>
      <c r="G91" s="79"/>
      <c r="H91" s="79"/>
      <c r="I91" s="80"/>
      <c r="J91" s="80"/>
      <c r="K91" s="79"/>
      <c r="L91" s="82"/>
      <c r="M91" s="96"/>
      <c r="N91" s="82"/>
      <c r="O91" s="79"/>
      <c r="P91" s="80"/>
      <c r="Q91" s="79"/>
      <c r="R91" s="80"/>
      <c r="S91" s="78">
        <f>IF($B91="",0,IF(COUNTIF('HOSTING + GUESTS'!$B$6:$B$105,$B91)&gt;1,1,0))</f>
      </c>
      <c r="T91" s="78">
        <f>IF($C91="",0,IF(COUNTIF('PEOPLE + BUDGETS'!$B$6:$B$105,$C91)=0,1,0))</f>
      </c>
      <c r="U91" s="78">
        <f>IF($F91="",0,IF(COUNTIF('CHRISTMAS CALENDAR'!$B$6:$B$205,$F91)=0,1,0))</f>
      </c>
      <c r="V91" s="75"/>
    </row>
    <row r="92" ht="17" customHeight="1" spans="1:22" x14ac:dyDescent="0.25">
      <c r="A92" s="75"/>
      <c r="B92" s="79"/>
      <c r="C92" s="79"/>
      <c r="D92" s="78">
        <f>IF($B92="","",IF($C92="",$E92,IF($C92="","",IFERROR(IF(INDEX('PEOPLE + BUDGETS'!$C$6:$C$105,MATCH($C92,'PEOPLE + BUDGETS'!$B$6:$B$105,0))="","",INDEX('PEOPLE + BUDGETS'!$C$6:$C$105,MATCH($C92,'PEOPLE + BUDGETS'!$B$6:$B$105,0))),""))))</f>
      </c>
      <c r="E92" s="79"/>
      <c r="F92" s="79"/>
      <c r="G92" s="79"/>
      <c r="H92" s="79"/>
      <c r="I92" s="80"/>
      <c r="J92" s="80"/>
      <c r="K92" s="79"/>
      <c r="L92" s="82"/>
      <c r="M92" s="96"/>
      <c r="N92" s="82"/>
      <c r="O92" s="79"/>
      <c r="P92" s="80"/>
      <c r="Q92" s="79"/>
      <c r="R92" s="80"/>
      <c r="S92" s="78">
        <f>IF($B92="",0,IF(COUNTIF('HOSTING + GUESTS'!$B$6:$B$105,$B92)&gt;1,1,0))</f>
      </c>
      <c r="T92" s="78">
        <f>IF($C92="",0,IF(COUNTIF('PEOPLE + BUDGETS'!$B$6:$B$105,$C92)=0,1,0))</f>
      </c>
      <c r="U92" s="78">
        <f>IF($F92="",0,IF(COUNTIF('CHRISTMAS CALENDAR'!$B$6:$B$205,$F92)=0,1,0))</f>
      </c>
      <c r="V92" s="75"/>
    </row>
    <row r="93" ht="17" customHeight="1" spans="1:22" x14ac:dyDescent="0.25">
      <c r="A93" s="75"/>
      <c r="B93" s="79"/>
      <c r="C93" s="79"/>
      <c r="D93" s="78">
        <f>IF($B93="","",IF($C93="",$E93,IF($C93="","",IFERROR(IF(INDEX('PEOPLE + BUDGETS'!$C$6:$C$105,MATCH($C93,'PEOPLE + BUDGETS'!$B$6:$B$105,0))="","",INDEX('PEOPLE + BUDGETS'!$C$6:$C$105,MATCH($C93,'PEOPLE + BUDGETS'!$B$6:$B$105,0))),""))))</f>
      </c>
      <c r="E93" s="79"/>
      <c r="F93" s="79"/>
      <c r="G93" s="79"/>
      <c r="H93" s="79"/>
      <c r="I93" s="80"/>
      <c r="J93" s="80"/>
      <c r="K93" s="79"/>
      <c r="L93" s="82"/>
      <c r="M93" s="96"/>
      <c r="N93" s="82"/>
      <c r="O93" s="79"/>
      <c r="P93" s="80"/>
      <c r="Q93" s="79"/>
      <c r="R93" s="80"/>
      <c r="S93" s="78">
        <f>IF($B93="",0,IF(COUNTIF('HOSTING + GUESTS'!$B$6:$B$105,$B93)&gt;1,1,0))</f>
      </c>
      <c r="T93" s="78">
        <f>IF($C93="",0,IF(COUNTIF('PEOPLE + BUDGETS'!$B$6:$B$105,$C93)=0,1,0))</f>
      </c>
      <c r="U93" s="78">
        <f>IF($F93="",0,IF(COUNTIF('CHRISTMAS CALENDAR'!$B$6:$B$205,$F93)=0,1,0))</f>
      </c>
      <c r="V93" s="75"/>
    </row>
    <row r="94" ht="17" customHeight="1" spans="1:22" x14ac:dyDescent="0.25">
      <c r="A94" s="75"/>
      <c r="B94" s="79"/>
      <c r="C94" s="79"/>
      <c r="D94" s="78">
        <f>IF($B94="","",IF($C94="",$E94,IF($C94="","",IFERROR(IF(INDEX('PEOPLE + BUDGETS'!$C$6:$C$105,MATCH($C94,'PEOPLE + BUDGETS'!$B$6:$B$105,0))="","",INDEX('PEOPLE + BUDGETS'!$C$6:$C$105,MATCH($C94,'PEOPLE + BUDGETS'!$B$6:$B$105,0))),""))))</f>
      </c>
      <c r="E94" s="79"/>
      <c r="F94" s="79"/>
      <c r="G94" s="79"/>
      <c r="H94" s="79"/>
      <c r="I94" s="80"/>
      <c r="J94" s="80"/>
      <c r="K94" s="79"/>
      <c r="L94" s="82"/>
      <c r="M94" s="96"/>
      <c r="N94" s="82"/>
      <c r="O94" s="79"/>
      <c r="P94" s="80"/>
      <c r="Q94" s="79"/>
      <c r="R94" s="80"/>
      <c r="S94" s="78">
        <f>IF($B94="",0,IF(COUNTIF('HOSTING + GUESTS'!$B$6:$B$105,$B94)&gt;1,1,0))</f>
      </c>
      <c r="T94" s="78">
        <f>IF($C94="",0,IF(COUNTIF('PEOPLE + BUDGETS'!$B$6:$B$105,$C94)=0,1,0))</f>
      </c>
      <c r="U94" s="78">
        <f>IF($F94="",0,IF(COUNTIF('CHRISTMAS CALENDAR'!$B$6:$B$205,$F94)=0,1,0))</f>
      </c>
      <c r="V94" s="75"/>
    </row>
    <row r="95" ht="17" customHeight="1" spans="1:22" x14ac:dyDescent="0.25">
      <c r="A95" s="75"/>
      <c r="B95" s="79"/>
      <c r="C95" s="79"/>
      <c r="D95" s="78">
        <f>IF($B95="","",IF($C95="",$E95,IF($C95="","",IFERROR(IF(INDEX('PEOPLE + BUDGETS'!$C$6:$C$105,MATCH($C95,'PEOPLE + BUDGETS'!$B$6:$B$105,0))="","",INDEX('PEOPLE + BUDGETS'!$C$6:$C$105,MATCH($C95,'PEOPLE + BUDGETS'!$B$6:$B$105,0))),""))))</f>
      </c>
      <c r="E95" s="79"/>
      <c r="F95" s="79"/>
      <c r="G95" s="79"/>
      <c r="H95" s="79"/>
      <c r="I95" s="80"/>
      <c r="J95" s="80"/>
      <c r="K95" s="79"/>
      <c r="L95" s="82"/>
      <c r="M95" s="96"/>
      <c r="N95" s="82"/>
      <c r="O95" s="79"/>
      <c r="P95" s="80"/>
      <c r="Q95" s="79"/>
      <c r="R95" s="80"/>
      <c r="S95" s="78">
        <f>IF($B95="",0,IF(COUNTIF('HOSTING + GUESTS'!$B$6:$B$105,$B95)&gt;1,1,0))</f>
      </c>
      <c r="T95" s="78">
        <f>IF($C95="",0,IF(COUNTIF('PEOPLE + BUDGETS'!$B$6:$B$105,$C95)=0,1,0))</f>
      </c>
      <c r="U95" s="78">
        <f>IF($F95="",0,IF(COUNTIF('CHRISTMAS CALENDAR'!$B$6:$B$205,$F95)=0,1,0))</f>
      </c>
      <c r="V95" s="75"/>
    </row>
    <row r="96" ht="17" customHeight="1" spans="1:22" x14ac:dyDescent="0.25">
      <c r="A96" s="75"/>
      <c r="B96" s="79"/>
      <c r="C96" s="79"/>
      <c r="D96" s="78">
        <f>IF($B96="","",IF($C96="",$E96,IF($C96="","",IFERROR(IF(INDEX('PEOPLE + BUDGETS'!$C$6:$C$105,MATCH($C96,'PEOPLE + BUDGETS'!$B$6:$B$105,0))="","",INDEX('PEOPLE + BUDGETS'!$C$6:$C$105,MATCH($C96,'PEOPLE + BUDGETS'!$B$6:$B$105,0))),""))))</f>
      </c>
      <c r="E96" s="79"/>
      <c r="F96" s="79"/>
      <c r="G96" s="79"/>
      <c r="H96" s="79"/>
      <c r="I96" s="80"/>
      <c r="J96" s="80"/>
      <c r="K96" s="79"/>
      <c r="L96" s="82"/>
      <c r="M96" s="96"/>
      <c r="N96" s="82"/>
      <c r="O96" s="79"/>
      <c r="P96" s="80"/>
      <c r="Q96" s="79"/>
      <c r="R96" s="80"/>
      <c r="S96" s="78">
        <f>IF($B96="",0,IF(COUNTIF('HOSTING + GUESTS'!$B$6:$B$105,$B96)&gt;1,1,0))</f>
      </c>
      <c r="T96" s="78">
        <f>IF($C96="",0,IF(COUNTIF('PEOPLE + BUDGETS'!$B$6:$B$105,$C96)=0,1,0))</f>
      </c>
      <c r="U96" s="78">
        <f>IF($F96="",0,IF(COUNTIF('CHRISTMAS CALENDAR'!$B$6:$B$205,$F96)=0,1,0))</f>
      </c>
      <c r="V96" s="75"/>
    </row>
    <row r="97" ht="17" customHeight="1" spans="1:22" x14ac:dyDescent="0.25">
      <c r="A97" s="75"/>
      <c r="B97" s="79"/>
      <c r="C97" s="79"/>
      <c r="D97" s="78">
        <f>IF($B97="","",IF($C97="",$E97,IF($C97="","",IFERROR(IF(INDEX('PEOPLE + BUDGETS'!$C$6:$C$105,MATCH($C97,'PEOPLE + BUDGETS'!$B$6:$B$105,0))="","",INDEX('PEOPLE + BUDGETS'!$C$6:$C$105,MATCH($C97,'PEOPLE + BUDGETS'!$B$6:$B$105,0))),""))))</f>
      </c>
      <c r="E97" s="79"/>
      <c r="F97" s="79"/>
      <c r="G97" s="79"/>
      <c r="H97" s="79"/>
      <c r="I97" s="80"/>
      <c r="J97" s="80"/>
      <c r="K97" s="79"/>
      <c r="L97" s="82"/>
      <c r="M97" s="96"/>
      <c r="N97" s="82"/>
      <c r="O97" s="79"/>
      <c r="P97" s="80"/>
      <c r="Q97" s="79"/>
      <c r="R97" s="80"/>
      <c r="S97" s="78">
        <f>IF($B97="",0,IF(COUNTIF('HOSTING + GUESTS'!$B$6:$B$105,$B97)&gt;1,1,0))</f>
      </c>
      <c r="T97" s="78">
        <f>IF($C97="",0,IF(COUNTIF('PEOPLE + BUDGETS'!$B$6:$B$105,$C97)=0,1,0))</f>
      </c>
      <c r="U97" s="78">
        <f>IF($F97="",0,IF(COUNTIF('CHRISTMAS CALENDAR'!$B$6:$B$205,$F97)=0,1,0))</f>
      </c>
      <c r="V97" s="75"/>
    </row>
    <row r="98" ht="17" customHeight="1" spans="1:22" x14ac:dyDescent="0.25">
      <c r="A98" s="75"/>
      <c r="B98" s="79"/>
      <c r="C98" s="79"/>
      <c r="D98" s="78">
        <f>IF($B98="","",IF($C98="",$E98,IF($C98="","",IFERROR(IF(INDEX('PEOPLE + BUDGETS'!$C$6:$C$105,MATCH($C98,'PEOPLE + BUDGETS'!$B$6:$B$105,0))="","",INDEX('PEOPLE + BUDGETS'!$C$6:$C$105,MATCH($C98,'PEOPLE + BUDGETS'!$B$6:$B$105,0))),""))))</f>
      </c>
      <c r="E98" s="79"/>
      <c r="F98" s="79"/>
      <c r="G98" s="79"/>
      <c r="H98" s="79"/>
      <c r="I98" s="80"/>
      <c r="J98" s="80"/>
      <c r="K98" s="79"/>
      <c r="L98" s="82"/>
      <c r="M98" s="96"/>
      <c r="N98" s="82"/>
      <c r="O98" s="79"/>
      <c r="P98" s="80"/>
      <c r="Q98" s="79"/>
      <c r="R98" s="80"/>
      <c r="S98" s="78">
        <f>IF($B98="",0,IF(COUNTIF('HOSTING + GUESTS'!$B$6:$B$105,$B98)&gt;1,1,0))</f>
      </c>
      <c r="T98" s="78">
        <f>IF($C98="",0,IF(COUNTIF('PEOPLE + BUDGETS'!$B$6:$B$105,$C98)=0,1,0))</f>
      </c>
      <c r="U98" s="78">
        <f>IF($F98="",0,IF(COUNTIF('CHRISTMAS CALENDAR'!$B$6:$B$205,$F98)=0,1,0))</f>
      </c>
      <c r="V98" s="75"/>
    </row>
    <row r="99" ht="17" customHeight="1" spans="1:22" x14ac:dyDescent="0.25">
      <c r="A99" s="75"/>
      <c r="B99" s="79"/>
      <c r="C99" s="79"/>
      <c r="D99" s="78">
        <f>IF($B99="","",IF($C99="",$E99,IF($C99="","",IFERROR(IF(INDEX('PEOPLE + BUDGETS'!$C$6:$C$105,MATCH($C99,'PEOPLE + BUDGETS'!$B$6:$B$105,0))="","",INDEX('PEOPLE + BUDGETS'!$C$6:$C$105,MATCH($C99,'PEOPLE + BUDGETS'!$B$6:$B$105,0))),""))))</f>
      </c>
      <c r="E99" s="79"/>
      <c r="F99" s="79"/>
      <c r="G99" s="79"/>
      <c r="H99" s="79"/>
      <c r="I99" s="80"/>
      <c r="J99" s="80"/>
      <c r="K99" s="79"/>
      <c r="L99" s="82"/>
      <c r="M99" s="96"/>
      <c r="N99" s="82"/>
      <c r="O99" s="79"/>
      <c r="P99" s="80"/>
      <c r="Q99" s="79"/>
      <c r="R99" s="80"/>
      <c r="S99" s="78">
        <f>IF($B99="",0,IF(COUNTIF('HOSTING + GUESTS'!$B$6:$B$105,$B99)&gt;1,1,0))</f>
      </c>
      <c r="T99" s="78">
        <f>IF($C99="",0,IF(COUNTIF('PEOPLE + BUDGETS'!$B$6:$B$105,$C99)=0,1,0))</f>
      </c>
      <c r="U99" s="78">
        <f>IF($F99="",0,IF(COUNTIF('CHRISTMAS CALENDAR'!$B$6:$B$205,$F99)=0,1,0))</f>
      </c>
      <c r="V99" s="75"/>
    </row>
    <row r="100" ht="17" customHeight="1" spans="1:22" x14ac:dyDescent="0.25">
      <c r="A100" s="75"/>
      <c r="B100" s="79"/>
      <c r="C100" s="79"/>
      <c r="D100" s="78">
        <f>IF($B100="","",IF($C100="",$E100,IF($C100="","",IFERROR(IF(INDEX('PEOPLE + BUDGETS'!$C$6:$C$105,MATCH($C100,'PEOPLE + BUDGETS'!$B$6:$B$105,0))="","",INDEX('PEOPLE + BUDGETS'!$C$6:$C$105,MATCH($C100,'PEOPLE + BUDGETS'!$B$6:$B$105,0))),""))))</f>
      </c>
      <c r="E100" s="79"/>
      <c r="F100" s="79"/>
      <c r="G100" s="79"/>
      <c r="H100" s="79"/>
      <c r="I100" s="80"/>
      <c r="J100" s="80"/>
      <c r="K100" s="79"/>
      <c r="L100" s="82"/>
      <c r="M100" s="96"/>
      <c r="N100" s="82"/>
      <c r="O100" s="79"/>
      <c r="P100" s="80"/>
      <c r="Q100" s="79"/>
      <c r="R100" s="80"/>
      <c r="S100" s="78">
        <f>IF($B100="",0,IF(COUNTIF('HOSTING + GUESTS'!$B$6:$B$105,$B100)&gt;1,1,0))</f>
      </c>
      <c r="T100" s="78">
        <f>IF($C100="",0,IF(COUNTIF('PEOPLE + BUDGETS'!$B$6:$B$105,$C100)=0,1,0))</f>
      </c>
      <c r="U100" s="78">
        <f>IF($F100="",0,IF(COUNTIF('CHRISTMAS CALENDAR'!$B$6:$B$205,$F100)=0,1,0))</f>
      </c>
      <c r="V100" s="75"/>
    </row>
    <row r="101" ht="17" customHeight="1" spans="1:22" x14ac:dyDescent="0.25">
      <c r="A101" s="75"/>
      <c r="B101" s="79"/>
      <c r="C101" s="79"/>
      <c r="D101" s="78">
        <f>IF($B101="","",IF($C101="",$E101,IF($C101="","",IFERROR(IF(INDEX('PEOPLE + BUDGETS'!$C$6:$C$105,MATCH($C101,'PEOPLE + BUDGETS'!$B$6:$B$105,0))="","",INDEX('PEOPLE + BUDGETS'!$C$6:$C$105,MATCH($C101,'PEOPLE + BUDGETS'!$B$6:$B$105,0))),""))))</f>
      </c>
      <c r="E101" s="79"/>
      <c r="F101" s="79"/>
      <c r="G101" s="79"/>
      <c r="H101" s="79"/>
      <c r="I101" s="80"/>
      <c r="J101" s="80"/>
      <c r="K101" s="79"/>
      <c r="L101" s="82"/>
      <c r="M101" s="96"/>
      <c r="N101" s="82"/>
      <c r="O101" s="79"/>
      <c r="P101" s="80"/>
      <c r="Q101" s="79"/>
      <c r="R101" s="80"/>
      <c r="S101" s="78">
        <f>IF($B101="",0,IF(COUNTIF('HOSTING + GUESTS'!$B$6:$B$105,$B101)&gt;1,1,0))</f>
      </c>
      <c r="T101" s="78">
        <f>IF($C101="",0,IF(COUNTIF('PEOPLE + BUDGETS'!$B$6:$B$105,$C101)=0,1,0))</f>
      </c>
      <c r="U101" s="78">
        <f>IF($F101="",0,IF(COUNTIF('CHRISTMAS CALENDAR'!$B$6:$B$205,$F101)=0,1,0))</f>
      </c>
      <c r="V101" s="75"/>
    </row>
    <row r="102" ht="17" customHeight="1" spans="1:22" x14ac:dyDescent="0.25">
      <c r="A102" s="75"/>
      <c r="B102" s="79"/>
      <c r="C102" s="79"/>
      <c r="D102" s="78">
        <f>IF($B102="","",IF($C102="",$E102,IF($C102="","",IFERROR(IF(INDEX('PEOPLE + BUDGETS'!$C$6:$C$105,MATCH($C102,'PEOPLE + BUDGETS'!$B$6:$B$105,0))="","",INDEX('PEOPLE + BUDGETS'!$C$6:$C$105,MATCH($C102,'PEOPLE + BUDGETS'!$B$6:$B$105,0))),""))))</f>
      </c>
      <c r="E102" s="79"/>
      <c r="F102" s="79"/>
      <c r="G102" s="79"/>
      <c r="H102" s="79"/>
      <c r="I102" s="80"/>
      <c r="J102" s="80"/>
      <c r="K102" s="79"/>
      <c r="L102" s="82"/>
      <c r="M102" s="96"/>
      <c r="N102" s="82"/>
      <c r="O102" s="79"/>
      <c r="P102" s="80"/>
      <c r="Q102" s="79"/>
      <c r="R102" s="80"/>
      <c r="S102" s="78">
        <f>IF($B102="",0,IF(COUNTIF('HOSTING + GUESTS'!$B$6:$B$105,$B102)&gt;1,1,0))</f>
      </c>
      <c r="T102" s="78">
        <f>IF($C102="",0,IF(COUNTIF('PEOPLE + BUDGETS'!$B$6:$B$105,$C102)=0,1,0))</f>
      </c>
      <c r="U102" s="78">
        <f>IF($F102="",0,IF(COUNTIF('CHRISTMAS CALENDAR'!$B$6:$B$205,$F102)=0,1,0))</f>
      </c>
      <c r="V102" s="75"/>
    </row>
    <row r="103" ht="17" customHeight="1" spans="1:22" x14ac:dyDescent="0.25">
      <c r="A103" s="75"/>
      <c r="B103" s="79"/>
      <c r="C103" s="79"/>
      <c r="D103" s="78">
        <f>IF($B103="","",IF($C103="",$E103,IF($C103="","",IFERROR(IF(INDEX('PEOPLE + BUDGETS'!$C$6:$C$105,MATCH($C103,'PEOPLE + BUDGETS'!$B$6:$B$105,0))="","",INDEX('PEOPLE + BUDGETS'!$C$6:$C$105,MATCH($C103,'PEOPLE + BUDGETS'!$B$6:$B$105,0))),""))))</f>
      </c>
      <c r="E103" s="79"/>
      <c r="F103" s="79"/>
      <c r="G103" s="79"/>
      <c r="H103" s="79"/>
      <c r="I103" s="80"/>
      <c r="J103" s="80"/>
      <c r="K103" s="79"/>
      <c r="L103" s="82"/>
      <c r="M103" s="96"/>
      <c r="N103" s="82"/>
      <c r="O103" s="79"/>
      <c r="P103" s="80"/>
      <c r="Q103" s="79"/>
      <c r="R103" s="80"/>
      <c r="S103" s="78">
        <f>IF($B103="",0,IF(COUNTIF('HOSTING + GUESTS'!$B$6:$B$105,$B103)&gt;1,1,0))</f>
      </c>
      <c r="T103" s="78">
        <f>IF($C103="",0,IF(COUNTIF('PEOPLE + BUDGETS'!$B$6:$B$105,$C103)=0,1,0))</f>
      </c>
      <c r="U103" s="78">
        <f>IF($F103="",0,IF(COUNTIF('CHRISTMAS CALENDAR'!$B$6:$B$205,$F103)=0,1,0))</f>
      </c>
      <c r="V103" s="75"/>
    </row>
    <row r="104" ht="17" customHeight="1" spans="1:22" x14ac:dyDescent="0.25">
      <c r="A104" s="75"/>
      <c r="B104" s="79"/>
      <c r="C104" s="79"/>
      <c r="D104" s="78">
        <f>IF($B104="","",IF($C104="",$E104,IF($C104="","",IFERROR(IF(INDEX('PEOPLE + BUDGETS'!$C$6:$C$105,MATCH($C104,'PEOPLE + BUDGETS'!$B$6:$B$105,0))="","",INDEX('PEOPLE + BUDGETS'!$C$6:$C$105,MATCH($C104,'PEOPLE + BUDGETS'!$B$6:$B$105,0))),""))))</f>
      </c>
      <c r="E104" s="79"/>
      <c r="F104" s="79"/>
      <c r="G104" s="79"/>
      <c r="H104" s="79"/>
      <c r="I104" s="80"/>
      <c r="J104" s="80"/>
      <c r="K104" s="79"/>
      <c r="L104" s="82"/>
      <c r="M104" s="96"/>
      <c r="N104" s="82"/>
      <c r="O104" s="79"/>
      <c r="P104" s="80"/>
      <c r="Q104" s="79"/>
      <c r="R104" s="80"/>
      <c r="S104" s="78">
        <f>IF($B104="",0,IF(COUNTIF('HOSTING + GUESTS'!$B$6:$B$105,$B104)&gt;1,1,0))</f>
      </c>
      <c r="T104" s="78">
        <f>IF($C104="",0,IF(COUNTIF('PEOPLE + BUDGETS'!$B$6:$B$105,$C104)=0,1,0))</f>
      </c>
      <c r="U104" s="78">
        <f>IF($F104="",0,IF(COUNTIF('CHRISTMAS CALENDAR'!$B$6:$B$205,$F104)=0,1,0))</f>
      </c>
      <c r="V104" s="75"/>
    </row>
    <row r="105" ht="17" customHeight="1" spans="1:22" x14ac:dyDescent="0.25">
      <c r="A105" s="75"/>
      <c r="B105" s="79"/>
      <c r="C105" s="79"/>
      <c r="D105" s="78">
        <f>IF($B105="","",IF($C105="",$E105,IF($C105="","",IFERROR(IF(INDEX('PEOPLE + BUDGETS'!$C$6:$C$105,MATCH($C105,'PEOPLE + BUDGETS'!$B$6:$B$105,0))="","",INDEX('PEOPLE + BUDGETS'!$C$6:$C$105,MATCH($C105,'PEOPLE + BUDGETS'!$B$6:$B$105,0))),""))))</f>
      </c>
      <c r="E105" s="79"/>
      <c r="F105" s="79"/>
      <c r="G105" s="79"/>
      <c r="H105" s="79"/>
      <c r="I105" s="80"/>
      <c r="J105" s="80"/>
      <c r="K105" s="79"/>
      <c r="L105" s="82"/>
      <c r="M105" s="96"/>
      <c r="N105" s="82"/>
      <c r="O105" s="79"/>
      <c r="P105" s="80"/>
      <c r="Q105" s="79"/>
      <c r="R105" s="80"/>
      <c r="S105" s="78">
        <f>IF($B105="",0,IF(COUNTIF('HOSTING + GUESTS'!$B$6:$B$105,$B105)&gt;1,1,0))</f>
      </c>
      <c r="T105" s="78">
        <f>IF($C105="",0,IF(COUNTIF('PEOPLE + BUDGETS'!$B$6:$B$105,$C105)=0,1,0))</f>
      </c>
      <c r="U105" s="78">
        <f>IF($F105="",0,IF(COUNTIF('CHRISTMAS CALENDAR'!$B$6:$B$205,$F105)=0,1,0))</f>
      </c>
      <c r="V105" s="75"/>
    </row>
  </sheetData>
  <autoFilter ref="B5:U105"/>
  <mergeCells count="1">
    <mergeCell ref="B1:C1"/>
  </mergeCells>
  <dataValidations count="7">
    <dataValidation type="list" allowBlank="1" showErrorMessage="1" errorStyle="warning" errorTitle="Not one of the usual values" error="This column normally uses a value from the GuestStatus list on LISTS. You can keep what you typed, or add it to the list so it appears in the dropdown." sqref="G6:G105">
      <formula1>=List_GuestStatus</formula1>
    </dataValidation>
    <dataValidation type="list" allowBlank="1" showErrorMessage="1" errorStyle="warning" errorTitle="Not one of the usual values" error="This column normally uses a value from the DietaryTag list on LISTS. You can keep what you typed, or add it to the list so it appears in the dropdown." sqref="H6:H105">
      <formula1>=List_DietaryTag</formula1>
    </dataValidation>
    <dataValidation type="list" allowBlank="1" showErrorMessage="1" errorStyle="warning" errorTitle="Not one of the usual values" error="This column normally uses a value from the Sleeping list on LISTS. You can keep what you typed, or add it to the list so it appears in the dropdown." sqref="K6:K105">
      <formula1>=List_Sleeping</formula1>
    </dataValidation>
    <dataValidation type="custom" allowBlank="1" showErrorMessage="1" errorStyle="warning" errorTitle="That is not a date yet" error="Type a real date, so the workbook can count days with it. &quot;Before Christmas&quot; cannot be sorted." sqref="L6:L105">
      <formula1>=OR(L6="",ISNUMBER(L6))</formula1>
    </dataValidation>
    <dataValidation type="custom" allowBlank="1" showErrorMessage="1" errorStyle="warning" errorTitle="That is not a date yet" error="Type a real date, so the workbook can count days with it. &quot;Before Christmas&quot; cannot be sorted." sqref="M6:M105">
      <formula1>=OR(M6="",ISNUMBER(M6))</formula1>
    </dataValidation>
    <dataValidation type="custom" allowBlank="1" showErrorMessage="1" errorStyle="warning" errorTitle="That is not a date yet" error="Type a real date, so the workbook can count days with it. &quot;Before Christmas&quot; cannot be sorted." sqref="N6:N105">
      <formula1>=OR(N6="",ISNUMBER(N6))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Q6:Q10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&amp;LHOSTING + GUESTS&amp;C&amp;P of &amp;N&amp;RThe Christmas Season Master Command Center™</oddFooter>
  </headerFooter>
  <legacyDrawing r:id="rId7"/>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T8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34" customWidth="1"/>
    <col min="4" max="6" width="13" customWidth="1"/>
    <col min="7" max="7" width="22" customWidth="1"/>
    <col min="8" max="8" width="17" customWidth="1"/>
    <col min="9" max="10" width="13" customWidth="1"/>
    <col min="11" max="13" width="11" customWidth="1"/>
    <col min="14" max="14" width="34" customWidth="1"/>
    <col min="15" max="16" width="18" hidden="1" customWidth="1"/>
    <col min="17" max="17" width="14" customWidth="1"/>
    <col min="18" max="19" width="18" hidden="1" customWidth="1"/>
    <col min="20" max="20" width="2" customWidth="1"/>
  </cols>
  <sheetData>
    <row r="1" ht="21" customHeight="1" spans="1:20" x14ac:dyDescent="0.25">
      <c r="A1" s="62"/>
      <c r="B1" s="63" t="s">
        <v>8</v>
      </c>
      <c r="C1" s="63"/>
      <c r="D1" s="63" t="s">
        <v>9</v>
      </c>
      <c r="E1" s="63" t="s">
        <v>10</v>
      </c>
      <c r="F1" s="63" t="s">
        <v>11</v>
      </c>
      <c r="G1" s="63" t="s">
        <v>12</v>
      </c>
      <c r="H1" s="62"/>
      <c r="I1" s="62"/>
      <c r="J1" s="62"/>
      <c r="K1" s="62"/>
      <c r="L1" s="62"/>
      <c r="M1" s="62"/>
      <c r="N1" s="62"/>
      <c r="O1" s="62"/>
      <c r="P1" s="62"/>
      <c r="Q1" s="62"/>
      <c r="R1" s="62"/>
      <c r="S1" s="62"/>
      <c r="T1" s="62"/>
    </row>
    <row r="2" ht="34" customHeight="1" spans="1:20" x14ac:dyDescent="0.25">
      <c r="A2" s="64"/>
      <c r="B2" s="65" t="s">
        <v>697</v>
      </c>
      <c r="C2" s="64"/>
      <c r="D2" s="64"/>
      <c r="E2" s="64"/>
      <c r="F2" s="64"/>
      <c r="G2" s="64"/>
      <c r="H2" s="64"/>
      <c r="I2" s="64"/>
      <c r="J2" s="64"/>
      <c r="K2" s="64"/>
      <c r="L2" s="64"/>
      <c r="M2" s="64"/>
      <c r="N2" s="64"/>
      <c r="O2" s="64"/>
      <c r="P2" s="64"/>
      <c r="Q2" s="64"/>
      <c r="R2" s="64"/>
      <c r="S2" s="64"/>
      <c r="T2" s="64"/>
    </row>
    <row r="3" ht="18" customHeight="1" spans="1:20" x14ac:dyDescent="0.25">
      <c r="A3" s="64"/>
      <c r="B3" s="66" t="s">
        <v>698</v>
      </c>
      <c r="C3" s="64"/>
      <c r="D3" s="64"/>
      <c r="E3" s="64"/>
      <c r="F3" s="64"/>
      <c r="G3" s="64"/>
      <c r="H3" s="64"/>
      <c r="I3" s="64"/>
      <c r="J3" s="64"/>
      <c r="K3" s="64"/>
      <c r="L3" s="64"/>
      <c r="M3" s="64"/>
      <c r="N3" s="64"/>
      <c r="O3" s="64"/>
      <c r="P3" s="64"/>
      <c r="Q3" s="64"/>
      <c r="R3" s="64"/>
      <c r="S3" s="64"/>
      <c r="T3" s="64"/>
    </row>
    <row r="4" ht="17" customHeight="1" spans="1:20" x14ac:dyDescent="0.25">
      <c r="A4" s="64"/>
      <c r="B4" s="67" t="s">
        <v>160</v>
      </c>
      <c r="C4" s="64"/>
      <c r="D4" s="64"/>
      <c r="E4" s="64"/>
      <c r="F4" s="64"/>
      <c r="G4" s="64"/>
      <c r="H4" s="64"/>
      <c r="I4" s="64"/>
      <c r="J4" s="64"/>
      <c r="K4" s="64"/>
      <c r="L4" s="64"/>
      <c r="M4" s="64"/>
      <c r="N4" s="64"/>
      <c r="O4" s="64"/>
      <c r="P4" s="64"/>
      <c r="Q4" s="64"/>
      <c r="R4" s="64"/>
      <c r="S4" s="64"/>
      <c r="T4" s="64"/>
    </row>
    <row r="5" ht="32" customHeight="1" spans="1:20" x14ac:dyDescent="0.25">
      <c r="A5" s="73"/>
      <c r="B5" s="74" t="s">
        <v>699</v>
      </c>
      <c r="C5" s="74" t="s">
        <v>700</v>
      </c>
      <c r="D5" s="74" t="s">
        <v>701</v>
      </c>
      <c r="E5" s="74" t="s">
        <v>702</v>
      </c>
      <c r="F5" s="74" t="s">
        <v>467</v>
      </c>
      <c r="G5" s="74" t="s">
        <v>703</v>
      </c>
      <c r="H5" s="74" t="s">
        <v>300</v>
      </c>
      <c r="I5" s="74" t="s">
        <v>309</v>
      </c>
      <c r="J5" s="74" t="s">
        <v>310</v>
      </c>
      <c r="K5" s="74" t="s">
        <v>531</v>
      </c>
      <c r="L5" s="74" t="s">
        <v>174</v>
      </c>
      <c r="M5" s="74" t="s">
        <v>704</v>
      </c>
      <c r="N5" s="74" t="s">
        <v>705</v>
      </c>
      <c r="O5" s="74" t="s">
        <v>706</v>
      </c>
      <c r="P5" s="74" t="s">
        <v>707</v>
      </c>
      <c r="Q5" s="74" t="s">
        <v>422</v>
      </c>
      <c r="R5" s="74" t="s">
        <v>180</v>
      </c>
      <c r="S5" s="74" t="s">
        <v>323</v>
      </c>
      <c r="T5" s="73"/>
    </row>
    <row r="6" ht="17" customHeight="1" spans="1:20" x14ac:dyDescent="0.25">
      <c r="A6" s="75"/>
      <c r="B6" s="76" t="s">
        <v>708</v>
      </c>
      <c r="C6" s="77" t="s">
        <v>709</v>
      </c>
      <c r="D6" s="76" t="s">
        <v>710</v>
      </c>
      <c r="E6" s="81">
        <v>46380</v>
      </c>
      <c r="F6" s="81">
        <v>46380</v>
      </c>
      <c r="G6" s="76" t="s">
        <v>711</v>
      </c>
      <c r="H6" s="76" t="s">
        <v>283</v>
      </c>
      <c r="I6" s="84">
        <v>0</v>
      </c>
      <c r="J6" s="84"/>
      <c r="K6" s="76" t="s">
        <v>194</v>
      </c>
      <c r="L6" s="76" t="s">
        <v>328</v>
      </c>
      <c r="M6" s="76"/>
      <c r="N6" s="77" t="s">
        <v>186</v>
      </c>
      <c r="O6" s="93">
        <f>IF($F6&lt;&gt;"",$F6,IF($E6="","",$E6))</f>
      </c>
      <c r="P6" s="93">
        <f>IF(OR($K6="Yes",$O6="",N($O6)&lt;TODAY()),"",$O6)</f>
      </c>
      <c r="Q6" s="78">
        <f>IF($B6="","",IF($K6="Yes","DONE",IF(FALSE,"COMPLETE",IF(IF($F6&lt;&gt;"",$F6,$E6)="","NO DATE",IF(IF($F6&lt;&gt;"",$F6,$E6)&lt;TODAY(),"OVERDUE",IF(IF($F6&lt;&gt;"",$F6,$E6)-TODAY()&lt;=7,"THIS WEEK","SCHEDULED"))))))</f>
      </c>
      <c r="R6" s="78">
        <f>IF($B6="",0,IF(COUNTIF('TRADITIONS + BUCKET LIST'!$B$6:$B$85,$B6)&gt;1,1,0))</f>
      </c>
      <c r="S6" s="78">
        <f>IF(OR(N($I6)&gt;0,N($J6)&gt;0),IF($H6="",1,IF(COUNTIF('MASTER BUDGET'!$D$6:$D$25,$H6)=0,1,0)),0)</f>
      </c>
      <c r="T6" s="75"/>
    </row>
    <row r="7" ht="17" customHeight="1" spans="1:20" x14ac:dyDescent="0.25">
      <c r="A7" s="75"/>
      <c r="B7" s="76" t="s">
        <v>712</v>
      </c>
      <c r="C7" s="77" t="s">
        <v>713</v>
      </c>
      <c r="D7" s="76" t="s">
        <v>714</v>
      </c>
      <c r="E7" s="81">
        <v>46362</v>
      </c>
      <c r="F7" s="81"/>
      <c r="G7" s="76" t="s">
        <v>715</v>
      </c>
      <c r="H7" s="76" t="s">
        <v>277</v>
      </c>
      <c r="I7" s="84">
        <v>0</v>
      </c>
      <c r="J7" s="84"/>
      <c r="K7" s="76" t="s">
        <v>185</v>
      </c>
      <c r="L7" s="76" t="s">
        <v>337</v>
      </c>
      <c r="M7" s="76" t="s">
        <v>28</v>
      </c>
      <c r="N7" s="77" t="s">
        <v>186</v>
      </c>
      <c r="O7" s="93">
        <f>IF($F7&lt;&gt;"",$F7,IF($E7="","",$E7))</f>
      </c>
      <c r="P7" s="93">
        <f>IF(OR($K7="Yes",$O7="",N($O7)&lt;TODAY()),"",$O7)</f>
      </c>
      <c r="Q7" s="78">
        <f>IF($B7="","",IF($K7="Yes","DONE",IF(FALSE,"COMPLETE",IF(IF($F7&lt;&gt;"",$F7,$E7)="","NO DATE",IF(IF($F7&lt;&gt;"",$F7,$E7)&lt;TODAY(),"OVERDUE",IF(IF($F7&lt;&gt;"",$F7,$E7)-TODAY()&lt;=7,"THIS WEEK","SCHEDULED"))))))</f>
      </c>
      <c r="R7" s="78">
        <f>IF($B7="",0,IF(COUNTIF('TRADITIONS + BUCKET LIST'!$B$6:$B$85,$B7)&gt;1,1,0))</f>
      </c>
      <c r="S7" s="78">
        <f>IF(OR(N($I7)&gt;0,N($J7)&gt;0),IF($H7="",1,IF(COUNTIF('MASTER BUDGET'!$D$6:$D$25,$H7)=0,1,0)),0)</f>
      </c>
      <c r="T7" s="75"/>
    </row>
    <row r="8" ht="17" customHeight="1" spans="1:20" x14ac:dyDescent="0.25">
      <c r="A8" s="75"/>
      <c r="B8" s="76" t="s">
        <v>716</v>
      </c>
      <c r="C8" s="77" t="s">
        <v>717</v>
      </c>
      <c r="D8" s="76" t="s">
        <v>718</v>
      </c>
      <c r="E8" s="81">
        <v>46375</v>
      </c>
      <c r="F8" s="81"/>
      <c r="G8" s="76" t="s">
        <v>719</v>
      </c>
      <c r="H8" s="76" t="s">
        <v>283</v>
      </c>
      <c r="I8" s="84">
        <v>320</v>
      </c>
      <c r="J8" s="84"/>
      <c r="K8" s="76" t="s">
        <v>194</v>
      </c>
      <c r="L8" s="76" t="s">
        <v>344</v>
      </c>
      <c r="M8" s="76"/>
      <c r="N8" s="77" t="s">
        <v>186</v>
      </c>
      <c r="O8" s="93">
        <f>IF($F8&lt;&gt;"",$F8,IF($E8="","",$E8))</f>
      </c>
      <c r="P8" s="93">
        <f>IF(OR($K8="Yes",$O8="",N($O8)&lt;TODAY()),"",$O8)</f>
      </c>
      <c r="Q8" s="78">
        <f>IF($B8="","",IF($K8="Yes","DONE",IF(FALSE,"COMPLETE",IF(IF($F8&lt;&gt;"",$F8,$E8)="","NO DATE",IF(IF($F8&lt;&gt;"",$F8,$E8)&lt;TODAY(),"OVERDUE",IF(IF($F8&lt;&gt;"",$F8,$E8)-TODAY()&lt;=7,"THIS WEEK","SCHEDULED"))))))</f>
      </c>
      <c r="R8" s="78">
        <f>IF($B8="",0,IF(COUNTIF('TRADITIONS + BUCKET LIST'!$B$6:$B$85,$B8)&gt;1,1,0))</f>
      </c>
      <c r="S8" s="78">
        <f>IF(OR(N($I8)&gt;0,N($J8)&gt;0),IF($H8="",1,IF(COUNTIF('MASTER BUDGET'!$D$6:$D$25,$H8)=0,1,0)),0)</f>
      </c>
      <c r="T8" s="75"/>
    </row>
    <row r="9" ht="17" customHeight="1" spans="1:20" x14ac:dyDescent="0.25">
      <c r="A9" s="75"/>
      <c r="B9" s="79"/>
      <c r="C9" s="80"/>
      <c r="D9" s="79"/>
      <c r="E9" s="82"/>
      <c r="F9" s="82"/>
      <c r="G9" s="79"/>
      <c r="H9" s="79"/>
      <c r="I9" s="86"/>
      <c r="J9" s="86"/>
      <c r="K9" s="79"/>
      <c r="L9" s="79"/>
      <c r="M9" s="79"/>
      <c r="N9" s="80"/>
      <c r="O9" s="93">
        <f>IF($F9&lt;&gt;"",$F9,IF($E9="","",$E9))</f>
      </c>
      <c r="P9" s="93">
        <f>IF(OR($K9="Yes",$O9="",N($O9)&lt;TODAY()),"",$O9)</f>
      </c>
      <c r="Q9" s="78">
        <f>IF($B9="","",IF($K9="Yes","DONE",IF(FALSE,"COMPLETE",IF(IF($F9&lt;&gt;"",$F9,$E9)="","NO DATE",IF(IF($F9&lt;&gt;"",$F9,$E9)&lt;TODAY(),"OVERDUE",IF(IF($F9&lt;&gt;"",$F9,$E9)-TODAY()&lt;=7,"THIS WEEK","SCHEDULED"))))))</f>
      </c>
      <c r="R9" s="78">
        <f>IF($B9="",0,IF(COUNTIF('TRADITIONS + BUCKET LIST'!$B$6:$B$85,$B9)&gt;1,1,0))</f>
      </c>
      <c r="S9" s="78">
        <f>IF(OR(N($I9)&gt;0,N($J9)&gt;0),IF($H9="",1,IF(COUNTIF('MASTER BUDGET'!$D$6:$D$25,$H9)=0,1,0)),0)</f>
      </c>
      <c r="T9" s="75"/>
    </row>
    <row r="10" ht="17" customHeight="1" spans="1:20" x14ac:dyDescent="0.25">
      <c r="A10" s="75"/>
      <c r="B10" s="79"/>
      <c r="C10" s="80"/>
      <c r="D10" s="79"/>
      <c r="E10" s="82"/>
      <c r="F10" s="82"/>
      <c r="G10" s="79"/>
      <c r="H10" s="79"/>
      <c r="I10" s="86"/>
      <c r="J10" s="86"/>
      <c r="K10" s="79"/>
      <c r="L10" s="79"/>
      <c r="M10" s="79"/>
      <c r="N10" s="80"/>
      <c r="O10" s="93">
        <f>IF($F10&lt;&gt;"",$F10,IF($E10="","",$E10))</f>
      </c>
      <c r="P10" s="93">
        <f>IF(OR($K10="Yes",$O10="",N($O10)&lt;TODAY()),"",$O10)</f>
      </c>
      <c r="Q10" s="78">
        <f>IF($B10="","",IF($K10="Yes","DONE",IF(FALSE,"COMPLETE",IF(IF($F10&lt;&gt;"",$F10,$E10)="","NO DATE",IF(IF($F10&lt;&gt;"",$F10,$E10)&lt;TODAY(),"OVERDUE",IF(IF($F10&lt;&gt;"",$F10,$E10)-TODAY()&lt;=7,"THIS WEEK","SCHEDULED"))))))</f>
      </c>
      <c r="R10" s="78">
        <f>IF($B10="",0,IF(COUNTIF('TRADITIONS + BUCKET LIST'!$B$6:$B$85,$B10)&gt;1,1,0))</f>
      </c>
      <c r="S10" s="78">
        <f>IF(OR(N($I10)&gt;0,N($J10)&gt;0),IF($H10="",1,IF(COUNTIF('MASTER BUDGET'!$D$6:$D$25,$H10)=0,1,0)),0)</f>
      </c>
      <c r="T10" s="75"/>
    </row>
    <row r="11" ht="17" customHeight="1" spans="1:20" x14ac:dyDescent="0.25">
      <c r="A11" s="75"/>
      <c r="B11" s="79"/>
      <c r="C11" s="80"/>
      <c r="D11" s="79"/>
      <c r="E11" s="82"/>
      <c r="F11" s="82"/>
      <c r="G11" s="79"/>
      <c r="H11" s="79"/>
      <c r="I11" s="86"/>
      <c r="J11" s="86"/>
      <c r="K11" s="79"/>
      <c r="L11" s="79"/>
      <c r="M11" s="79"/>
      <c r="N11" s="80"/>
      <c r="O11" s="93">
        <f>IF($F11&lt;&gt;"",$F11,IF($E11="","",$E11))</f>
      </c>
      <c r="P11" s="93">
        <f>IF(OR($K11="Yes",$O11="",N($O11)&lt;TODAY()),"",$O11)</f>
      </c>
      <c r="Q11" s="78">
        <f>IF($B11="","",IF($K11="Yes","DONE",IF(FALSE,"COMPLETE",IF(IF($F11&lt;&gt;"",$F11,$E11)="","NO DATE",IF(IF($F11&lt;&gt;"",$F11,$E11)&lt;TODAY(),"OVERDUE",IF(IF($F11&lt;&gt;"",$F11,$E11)-TODAY()&lt;=7,"THIS WEEK","SCHEDULED"))))))</f>
      </c>
      <c r="R11" s="78">
        <f>IF($B11="",0,IF(COUNTIF('TRADITIONS + BUCKET LIST'!$B$6:$B$85,$B11)&gt;1,1,0))</f>
      </c>
      <c r="S11" s="78">
        <f>IF(OR(N($I11)&gt;0,N($J11)&gt;0),IF($H11="",1,IF(COUNTIF('MASTER BUDGET'!$D$6:$D$25,$H11)=0,1,0)),0)</f>
      </c>
      <c r="T11" s="75"/>
    </row>
    <row r="12" ht="17" customHeight="1" spans="1:20" x14ac:dyDescent="0.25">
      <c r="A12" s="75"/>
      <c r="B12" s="79"/>
      <c r="C12" s="80"/>
      <c r="D12" s="79"/>
      <c r="E12" s="82"/>
      <c r="F12" s="82"/>
      <c r="G12" s="79"/>
      <c r="H12" s="79"/>
      <c r="I12" s="86"/>
      <c r="J12" s="86"/>
      <c r="K12" s="79"/>
      <c r="L12" s="79"/>
      <c r="M12" s="79"/>
      <c r="N12" s="80"/>
      <c r="O12" s="93">
        <f>IF($F12&lt;&gt;"",$F12,IF($E12="","",$E12))</f>
      </c>
      <c r="P12" s="93">
        <f>IF(OR($K12="Yes",$O12="",N($O12)&lt;TODAY()),"",$O12)</f>
      </c>
      <c r="Q12" s="78">
        <f>IF($B12="","",IF($K12="Yes","DONE",IF(FALSE,"COMPLETE",IF(IF($F12&lt;&gt;"",$F12,$E12)="","NO DATE",IF(IF($F12&lt;&gt;"",$F12,$E12)&lt;TODAY(),"OVERDUE",IF(IF($F12&lt;&gt;"",$F12,$E12)-TODAY()&lt;=7,"THIS WEEK","SCHEDULED"))))))</f>
      </c>
      <c r="R12" s="78">
        <f>IF($B12="",0,IF(COUNTIF('TRADITIONS + BUCKET LIST'!$B$6:$B$85,$B12)&gt;1,1,0))</f>
      </c>
      <c r="S12" s="78">
        <f>IF(OR(N($I12)&gt;0,N($J12)&gt;0),IF($H12="",1,IF(COUNTIF('MASTER BUDGET'!$D$6:$D$25,$H12)=0,1,0)),0)</f>
      </c>
      <c r="T12" s="75"/>
    </row>
    <row r="13" ht="17" customHeight="1" spans="1:20" x14ac:dyDescent="0.25">
      <c r="A13" s="75"/>
      <c r="B13" s="79"/>
      <c r="C13" s="80"/>
      <c r="D13" s="79"/>
      <c r="E13" s="82"/>
      <c r="F13" s="82"/>
      <c r="G13" s="79"/>
      <c r="H13" s="79"/>
      <c r="I13" s="86"/>
      <c r="J13" s="86"/>
      <c r="K13" s="79"/>
      <c r="L13" s="79"/>
      <c r="M13" s="79"/>
      <c r="N13" s="80"/>
      <c r="O13" s="93">
        <f>IF($F13&lt;&gt;"",$F13,IF($E13="","",$E13))</f>
      </c>
      <c r="P13" s="93">
        <f>IF(OR($K13="Yes",$O13="",N($O13)&lt;TODAY()),"",$O13)</f>
      </c>
      <c r="Q13" s="78">
        <f>IF($B13="","",IF($K13="Yes","DONE",IF(FALSE,"COMPLETE",IF(IF($F13&lt;&gt;"",$F13,$E13)="","NO DATE",IF(IF($F13&lt;&gt;"",$F13,$E13)&lt;TODAY(),"OVERDUE",IF(IF($F13&lt;&gt;"",$F13,$E13)-TODAY()&lt;=7,"THIS WEEK","SCHEDULED"))))))</f>
      </c>
      <c r="R13" s="78">
        <f>IF($B13="",0,IF(COUNTIF('TRADITIONS + BUCKET LIST'!$B$6:$B$85,$B13)&gt;1,1,0))</f>
      </c>
      <c r="S13" s="78">
        <f>IF(OR(N($I13)&gt;0,N($J13)&gt;0),IF($H13="",1,IF(COUNTIF('MASTER BUDGET'!$D$6:$D$25,$H13)=0,1,0)),0)</f>
      </c>
      <c r="T13" s="75"/>
    </row>
    <row r="14" ht="17" customHeight="1" spans="1:20" x14ac:dyDescent="0.25">
      <c r="A14" s="75"/>
      <c r="B14" s="79"/>
      <c r="C14" s="80"/>
      <c r="D14" s="79"/>
      <c r="E14" s="82"/>
      <c r="F14" s="82"/>
      <c r="G14" s="79"/>
      <c r="H14" s="79"/>
      <c r="I14" s="86"/>
      <c r="J14" s="86"/>
      <c r="K14" s="79"/>
      <c r="L14" s="79"/>
      <c r="M14" s="79"/>
      <c r="N14" s="80"/>
      <c r="O14" s="93">
        <f>IF($F14&lt;&gt;"",$F14,IF($E14="","",$E14))</f>
      </c>
      <c r="P14" s="93">
        <f>IF(OR($K14="Yes",$O14="",N($O14)&lt;TODAY()),"",$O14)</f>
      </c>
      <c r="Q14" s="78">
        <f>IF($B14="","",IF($K14="Yes","DONE",IF(FALSE,"COMPLETE",IF(IF($F14&lt;&gt;"",$F14,$E14)="","NO DATE",IF(IF($F14&lt;&gt;"",$F14,$E14)&lt;TODAY(),"OVERDUE",IF(IF($F14&lt;&gt;"",$F14,$E14)-TODAY()&lt;=7,"THIS WEEK","SCHEDULED"))))))</f>
      </c>
      <c r="R14" s="78">
        <f>IF($B14="",0,IF(COUNTIF('TRADITIONS + BUCKET LIST'!$B$6:$B$85,$B14)&gt;1,1,0))</f>
      </c>
      <c r="S14" s="78">
        <f>IF(OR(N($I14)&gt;0,N($J14)&gt;0),IF($H14="",1,IF(COUNTIF('MASTER BUDGET'!$D$6:$D$25,$H14)=0,1,0)),0)</f>
      </c>
      <c r="T14" s="75"/>
    </row>
    <row r="15" ht="17" customHeight="1" spans="1:20" x14ac:dyDescent="0.25">
      <c r="A15" s="75"/>
      <c r="B15" s="79"/>
      <c r="C15" s="80"/>
      <c r="D15" s="79"/>
      <c r="E15" s="82"/>
      <c r="F15" s="82"/>
      <c r="G15" s="79"/>
      <c r="H15" s="79"/>
      <c r="I15" s="86"/>
      <c r="J15" s="86"/>
      <c r="K15" s="79"/>
      <c r="L15" s="79"/>
      <c r="M15" s="79"/>
      <c r="N15" s="80"/>
      <c r="O15" s="93">
        <f>IF($F15&lt;&gt;"",$F15,IF($E15="","",$E15))</f>
      </c>
      <c r="P15" s="93">
        <f>IF(OR($K15="Yes",$O15="",N($O15)&lt;TODAY()),"",$O15)</f>
      </c>
      <c r="Q15" s="78">
        <f>IF($B15="","",IF($K15="Yes","DONE",IF(FALSE,"COMPLETE",IF(IF($F15&lt;&gt;"",$F15,$E15)="","NO DATE",IF(IF($F15&lt;&gt;"",$F15,$E15)&lt;TODAY(),"OVERDUE",IF(IF($F15&lt;&gt;"",$F15,$E15)-TODAY()&lt;=7,"THIS WEEK","SCHEDULED"))))))</f>
      </c>
      <c r="R15" s="78">
        <f>IF($B15="",0,IF(COUNTIF('TRADITIONS + BUCKET LIST'!$B$6:$B$85,$B15)&gt;1,1,0))</f>
      </c>
      <c r="S15" s="78">
        <f>IF(OR(N($I15)&gt;0,N($J15)&gt;0),IF($H15="",1,IF(COUNTIF('MASTER BUDGET'!$D$6:$D$25,$H15)=0,1,0)),0)</f>
      </c>
      <c r="T15" s="75"/>
    </row>
    <row r="16" ht="17" customHeight="1" spans="1:20" x14ac:dyDescent="0.25">
      <c r="A16" s="75"/>
      <c r="B16" s="79"/>
      <c r="C16" s="80"/>
      <c r="D16" s="79"/>
      <c r="E16" s="82"/>
      <c r="F16" s="82"/>
      <c r="G16" s="79"/>
      <c r="H16" s="79"/>
      <c r="I16" s="86"/>
      <c r="J16" s="86"/>
      <c r="K16" s="79"/>
      <c r="L16" s="79"/>
      <c r="M16" s="79"/>
      <c r="N16" s="80"/>
      <c r="O16" s="93">
        <f>IF($F16&lt;&gt;"",$F16,IF($E16="","",$E16))</f>
      </c>
      <c r="P16" s="93">
        <f>IF(OR($K16="Yes",$O16="",N($O16)&lt;TODAY()),"",$O16)</f>
      </c>
      <c r="Q16" s="78">
        <f>IF($B16="","",IF($K16="Yes","DONE",IF(FALSE,"COMPLETE",IF(IF($F16&lt;&gt;"",$F16,$E16)="","NO DATE",IF(IF($F16&lt;&gt;"",$F16,$E16)&lt;TODAY(),"OVERDUE",IF(IF($F16&lt;&gt;"",$F16,$E16)-TODAY()&lt;=7,"THIS WEEK","SCHEDULED"))))))</f>
      </c>
      <c r="R16" s="78">
        <f>IF($B16="",0,IF(COUNTIF('TRADITIONS + BUCKET LIST'!$B$6:$B$85,$B16)&gt;1,1,0))</f>
      </c>
      <c r="S16" s="78">
        <f>IF(OR(N($I16)&gt;0,N($J16)&gt;0),IF($H16="",1,IF(COUNTIF('MASTER BUDGET'!$D$6:$D$25,$H16)=0,1,0)),0)</f>
      </c>
      <c r="T16" s="75"/>
    </row>
    <row r="17" ht="17" customHeight="1" spans="1:20" x14ac:dyDescent="0.25">
      <c r="A17" s="75"/>
      <c r="B17" s="79"/>
      <c r="C17" s="80"/>
      <c r="D17" s="79"/>
      <c r="E17" s="82"/>
      <c r="F17" s="82"/>
      <c r="G17" s="79"/>
      <c r="H17" s="79"/>
      <c r="I17" s="86"/>
      <c r="J17" s="86"/>
      <c r="K17" s="79"/>
      <c r="L17" s="79"/>
      <c r="M17" s="79"/>
      <c r="N17" s="80"/>
      <c r="O17" s="93">
        <f>IF($F17&lt;&gt;"",$F17,IF($E17="","",$E17))</f>
      </c>
      <c r="P17" s="93">
        <f>IF(OR($K17="Yes",$O17="",N($O17)&lt;TODAY()),"",$O17)</f>
      </c>
      <c r="Q17" s="78">
        <f>IF($B17="","",IF($K17="Yes","DONE",IF(FALSE,"COMPLETE",IF(IF($F17&lt;&gt;"",$F17,$E17)="","NO DATE",IF(IF($F17&lt;&gt;"",$F17,$E17)&lt;TODAY(),"OVERDUE",IF(IF($F17&lt;&gt;"",$F17,$E17)-TODAY()&lt;=7,"THIS WEEK","SCHEDULED"))))))</f>
      </c>
      <c r="R17" s="78">
        <f>IF($B17="",0,IF(COUNTIF('TRADITIONS + BUCKET LIST'!$B$6:$B$85,$B17)&gt;1,1,0))</f>
      </c>
      <c r="S17" s="78">
        <f>IF(OR(N($I17)&gt;0,N($J17)&gt;0),IF($H17="",1,IF(COUNTIF('MASTER BUDGET'!$D$6:$D$25,$H17)=0,1,0)),0)</f>
      </c>
      <c r="T17" s="75"/>
    </row>
    <row r="18" ht="17" customHeight="1" spans="1:20" x14ac:dyDescent="0.25">
      <c r="A18" s="75"/>
      <c r="B18" s="79"/>
      <c r="C18" s="80"/>
      <c r="D18" s="79"/>
      <c r="E18" s="82"/>
      <c r="F18" s="82"/>
      <c r="G18" s="79"/>
      <c r="H18" s="79"/>
      <c r="I18" s="86"/>
      <c r="J18" s="86"/>
      <c r="K18" s="79"/>
      <c r="L18" s="79"/>
      <c r="M18" s="79"/>
      <c r="N18" s="80"/>
      <c r="O18" s="93">
        <f>IF($F18&lt;&gt;"",$F18,IF($E18="","",$E18))</f>
      </c>
      <c r="P18" s="93">
        <f>IF(OR($K18="Yes",$O18="",N($O18)&lt;TODAY()),"",$O18)</f>
      </c>
      <c r="Q18" s="78">
        <f>IF($B18="","",IF($K18="Yes","DONE",IF(FALSE,"COMPLETE",IF(IF($F18&lt;&gt;"",$F18,$E18)="","NO DATE",IF(IF($F18&lt;&gt;"",$F18,$E18)&lt;TODAY(),"OVERDUE",IF(IF($F18&lt;&gt;"",$F18,$E18)-TODAY()&lt;=7,"THIS WEEK","SCHEDULED"))))))</f>
      </c>
      <c r="R18" s="78">
        <f>IF($B18="",0,IF(COUNTIF('TRADITIONS + BUCKET LIST'!$B$6:$B$85,$B18)&gt;1,1,0))</f>
      </c>
      <c r="S18" s="78">
        <f>IF(OR(N($I18)&gt;0,N($J18)&gt;0),IF($H18="",1,IF(COUNTIF('MASTER BUDGET'!$D$6:$D$25,$H18)=0,1,0)),0)</f>
      </c>
      <c r="T18" s="75"/>
    </row>
    <row r="19" ht="17" customHeight="1" spans="1:20" x14ac:dyDescent="0.25">
      <c r="A19" s="75"/>
      <c r="B19" s="79"/>
      <c r="C19" s="80"/>
      <c r="D19" s="79"/>
      <c r="E19" s="82"/>
      <c r="F19" s="82"/>
      <c r="G19" s="79"/>
      <c r="H19" s="79"/>
      <c r="I19" s="86"/>
      <c r="J19" s="86"/>
      <c r="K19" s="79"/>
      <c r="L19" s="79"/>
      <c r="M19" s="79"/>
      <c r="N19" s="80"/>
      <c r="O19" s="93">
        <f>IF($F19&lt;&gt;"",$F19,IF($E19="","",$E19))</f>
      </c>
      <c r="P19" s="93">
        <f>IF(OR($K19="Yes",$O19="",N($O19)&lt;TODAY()),"",$O19)</f>
      </c>
      <c r="Q19" s="78">
        <f>IF($B19="","",IF($K19="Yes","DONE",IF(FALSE,"COMPLETE",IF(IF($F19&lt;&gt;"",$F19,$E19)="","NO DATE",IF(IF($F19&lt;&gt;"",$F19,$E19)&lt;TODAY(),"OVERDUE",IF(IF($F19&lt;&gt;"",$F19,$E19)-TODAY()&lt;=7,"THIS WEEK","SCHEDULED"))))))</f>
      </c>
      <c r="R19" s="78">
        <f>IF($B19="",0,IF(COUNTIF('TRADITIONS + BUCKET LIST'!$B$6:$B$85,$B19)&gt;1,1,0))</f>
      </c>
      <c r="S19" s="78">
        <f>IF(OR(N($I19)&gt;0,N($J19)&gt;0),IF($H19="",1,IF(COUNTIF('MASTER BUDGET'!$D$6:$D$25,$H19)=0,1,0)),0)</f>
      </c>
      <c r="T19" s="75"/>
    </row>
    <row r="20" ht="17" customHeight="1" spans="1:20" x14ac:dyDescent="0.25">
      <c r="A20" s="75"/>
      <c r="B20" s="79"/>
      <c r="C20" s="80"/>
      <c r="D20" s="79"/>
      <c r="E20" s="82"/>
      <c r="F20" s="82"/>
      <c r="G20" s="79"/>
      <c r="H20" s="79"/>
      <c r="I20" s="86"/>
      <c r="J20" s="86"/>
      <c r="K20" s="79"/>
      <c r="L20" s="79"/>
      <c r="M20" s="79"/>
      <c r="N20" s="80"/>
      <c r="O20" s="93">
        <f>IF($F20&lt;&gt;"",$F20,IF($E20="","",$E20))</f>
      </c>
      <c r="P20" s="93">
        <f>IF(OR($K20="Yes",$O20="",N($O20)&lt;TODAY()),"",$O20)</f>
      </c>
      <c r="Q20" s="78">
        <f>IF($B20="","",IF($K20="Yes","DONE",IF(FALSE,"COMPLETE",IF(IF($F20&lt;&gt;"",$F20,$E20)="","NO DATE",IF(IF($F20&lt;&gt;"",$F20,$E20)&lt;TODAY(),"OVERDUE",IF(IF($F20&lt;&gt;"",$F20,$E20)-TODAY()&lt;=7,"THIS WEEK","SCHEDULED"))))))</f>
      </c>
      <c r="R20" s="78">
        <f>IF($B20="",0,IF(COUNTIF('TRADITIONS + BUCKET LIST'!$B$6:$B$85,$B20)&gt;1,1,0))</f>
      </c>
      <c r="S20" s="78">
        <f>IF(OR(N($I20)&gt;0,N($J20)&gt;0),IF($H20="",1,IF(COUNTIF('MASTER BUDGET'!$D$6:$D$25,$H20)=0,1,0)),0)</f>
      </c>
      <c r="T20" s="75"/>
    </row>
    <row r="21" ht="17" customHeight="1" spans="1:20" x14ac:dyDescent="0.25">
      <c r="A21" s="75"/>
      <c r="B21" s="79"/>
      <c r="C21" s="80"/>
      <c r="D21" s="79"/>
      <c r="E21" s="82"/>
      <c r="F21" s="82"/>
      <c r="G21" s="79"/>
      <c r="H21" s="79"/>
      <c r="I21" s="86"/>
      <c r="J21" s="86"/>
      <c r="K21" s="79"/>
      <c r="L21" s="79"/>
      <c r="M21" s="79"/>
      <c r="N21" s="80"/>
      <c r="O21" s="93">
        <f>IF($F21&lt;&gt;"",$F21,IF($E21="","",$E21))</f>
      </c>
      <c r="P21" s="93">
        <f>IF(OR($K21="Yes",$O21="",N($O21)&lt;TODAY()),"",$O21)</f>
      </c>
      <c r="Q21" s="78">
        <f>IF($B21="","",IF($K21="Yes","DONE",IF(FALSE,"COMPLETE",IF(IF($F21&lt;&gt;"",$F21,$E21)="","NO DATE",IF(IF($F21&lt;&gt;"",$F21,$E21)&lt;TODAY(),"OVERDUE",IF(IF($F21&lt;&gt;"",$F21,$E21)-TODAY()&lt;=7,"THIS WEEK","SCHEDULED"))))))</f>
      </c>
      <c r="R21" s="78">
        <f>IF($B21="",0,IF(COUNTIF('TRADITIONS + BUCKET LIST'!$B$6:$B$85,$B21)&gt;1,1,0))</f>
      </c>
      <c r="S21" s="78">
        <f>IF(OR(N($I21)&gt;0,N($J21)&gt;0),IF($H21="",1,IF(COUNTIF('MASTER BUDGET'!$D$6:$D$25,$H21)=0,1,0)),0)</f>
      </c>
      <c r="T21" s="75"/>
    </row>
    <row r="22" ht="17" customHeight="1" spans="1:20" x14ac:dyDescent="0.25">
      <c r="A22" s="75"/>
      <c r="B22" s="79"/>
      <c r="C22" s="80"/>
      <c r="D22" s="79"/>
      <c r="E22" s="82"/>
      <c r="F22" s="82"/>
      <c r="G22" s="79"/>
      <c r="H22" s="79"/>
      <c r="I22" s="86"/>
      <c r="J22" s="86"/>
      <c r="K22" s="79"/>
      <c r="L22" s="79"/>
      <c r="M22" s="79"/>
      <c r="N22" s="80"/>
      <c r="O22" s="93">
        <f>IF($F22&lt;&gt;"",$F22,IF($E22="","",$E22))</f>
      </c>
      <c r="P22" s="93">
        <f>IF(OR($K22="Yes",$O22="",N($O22)&lt;TODAY()),"",$O22)</f>
      </c>
      <c r="Q22" s="78">
        <f>IF($B22="","",IF($K22="Yes","DONE",IF(FALSE,"COMPLETE",IF(IF($F22&lt;&gt;"",$F22,$E22)="","NO DATE",IF(IF($F22&lt;&gt;"",$F22,$E22)&lt;TODAY(),"OVERDUE",IF(IF($F22&lt;&gt;"",$F22,$E22)-TODAY()&lt;=7,"THIS WEEK","SCHEDULED"))))))</f>
      </c>
      <c r="R22" s="78">
        <f>IF($B22="",0,IF(COUNTIF('TRADITIONS + BUCKET LIST'!$B$6:$B$85,$B22)&gt;1,1,0))</f>
      </c>
      <c r="S22" s="78">
        <f>IF(OR(N($I22)&gt;0,N($J22)&gt;0),IF($H22="",1,IF(COUNTIF('MASTER BUDGET'!$D$6:$D$25,$H22)=0,1,0)),0)</f>
      </c>
      <c r="T22" s="75"/>
    </row>
    <row r="23" ht="17" customHeight="1" spans="1:20" x14ac:dyDescent="0.25">
      <c r="A23" s="75"/>
      <c r="B23" s="79"/>
      <c r="C23" s="80"/>
      <c r="D23" s="79"/>
      <c r="E23" s="82"/>
      <c r="F23" s="82"/>
      <c r="G23" s="79"/>
      <c r="H23" s="79"/>
      <c r="I23" s="86"/>
      <c r="J23" s="86"/>
      <c r="K23" s="79"/>
      <c r="L23" s="79"/>
      <c r="M23" s="79"/>
      <c r="N23" s="80"/>
      <c r="O23" s="93">
        <f>IF($F23&lt;&gt;"",$F23,IF($E23="","",$E23))</f>
      </c>
      <c r="P23" s="93">
        <f>IF(OR($K23="Yes",$O23="",N($O23)&lt;TODAY()),"",$O23)</f>
      </c>
      <c r="Q23" s="78">
        <f>IF($B23="","",IF($K23="Yes","DONE",IF(FALSE,"COMPLETE",IF(IF($F23&lt;&gt;"",$F23,$E23)="","NO DATE",IF(IF($F23&lt;&gt;"",$F23,$E23)&lt;TODAY(),"OVERDUE",IF(IF($F23&lt;&gt;"",$F23,$E23)-TODAY()&lt;=7,"THIS WEEK","SCHEDULED"))))))</f>
      </c>
      <c r="R23" s="78">
        <f>IF($B23="",0,IF(COUNTIF('TRADITIONS + BUCKET LIST'!$B$6:$B$85,$B23)&gt;1,1,0))</f>
      </c>
      <c r="S23" s="78">
        <f>IF(OR(N($I23)&gt;0,N($J23)&gt;0),IF($H23="",1,IF(COUNTIF('MASTER BUDGET'!$D$6:$D$25,$H23)=0,1,0)),0)</f>
      </c>
      <c r="T23" s="75"/>
    </row>
    <row r="24" ht="17" customHeight="1" spans="1:20" x14ac:dyDescent="0.25">
      <c r="A24" s="75"/>
      <c r="B24" s="79"/>
      <c r="C24" s="80"/>
      <c r="D24" s="79"/>
      <c r="E24" s="82"/>
      <c r="F24" s="82"/>
      <c r="G24" s="79"/>
      <c r="H24" s="79"/>
      <c r="I24" s="86"/>
      <c r="J24" s="86"/>
      <c r="K24" s="79"/>
      <c r="L24" s="79"/>
      <c r="M24" s="79"/>
      <c r="N24" s="80"/>
      <c r="O24" s="93">
        <f>IF($F24&lt;&gt;"",$F24,IF($E24="","",$E24))</f>
      </c>
      <c r="P24" s="93">
        <f>IF(OR($K24="Yes",$O24="",N($O24)&lt;TODAY()),"",$O24)</f>
      </c>
      <c r="Q24" s="78">
        <f>IF($B24="","",IF($K24="Yes","DONE",IF(FALSE,"COMPLETE",IF(IF($F24&lt;&gt;"",$F24,$E24)="","NO DATE",IF(IF($F24&lt;&gt;"",$F24,$E24)&lt;TODAY(),"OVERDUE",IF(IF($F24&lt;&gt;"",$F24,$E24)-TODAY()&lt;=7,"THIS WEEK","SCHEDULED"))))))</f>
      </c>
      <c r="R24" s="78">
        <f>IF($B24="",0,IF(COUNTIF('TRADITIONS + BUCKET LIST'!$B$6:$B$85,$B24)&gt;1,1,0))</f>
      </c>
      <c r="S24" s="78">
        <f>IF(OR(N($I24)&gt;0,N($J24)&gt;0),IF($H24="",1,IF(COUNTIF('MASTER BUDGET'!$D$6:$D$25,$H24)=0,1,0)),0)</f>
      </c>
      <c r="T24" s="75"/>
    </row>
    <row r="25" ht="17" customHeight="1" spans="1:20" x14ac:dyDescent="0.25">
      <c r="A25" s="75"/>
      <c r="B25" s="79"/>
      <c r="C25" s="80"/>
      <c r="D25" s="79"/>
      <c r="E25" s="82"/>
      <c r="F25" s="82"/>
      <c r="G25" s="79"/>
      <c r="H25" s="79"/>
      <c r="I25" s="86"/>
      <c r="J25" s="86"/>
      <c r="K25" s="79"/>
      <c r="L25" s="79"/>
      <c r="M25" s="79"/>
      <c r="N25" s="80"/>
      <c r="O25" s="93">
        <f>IF($F25&lt;&gt;"",$F25,IF($E25="","",$E25))</f>
      </c>
      <c r="P25" s="93">
        <f>IF(OR($K25="Yes",$O25="",N($O25)&lt;TODAY()),"",$O25)</f>
      </c>
      <c r="Q25" s="78">
        <f>IF($B25="","",IF($K25="Yes","DONE",IF(FALSE,"COMPLETE",IF(IF($F25&lt;&gt;"",$F25,$E25)="","NO DATE",IF(IF($F25&lt;&gt;"",$F25,$E25)&lt;TODAY(),"OVERDUE",IF(IF($F25&lt;&gt;"",$F25,$E25)-TODAY()&lt;=7,"THIS WEEK","SCHEDULED"))))))</f>
      </c>
      <c r="R25" s="78">
        <f>IF($B25="",0,IF(COUNTIF('TRADITIONS + BUCKET LIST'!$B$6:$B$85,$B25)&gt;1,1,0))</f>
      </c>
      <c r="S25" s="78">
        <f>IF(OR(N($I25)&gt;0,N($J25)&gt;0),IF($H25="",1,IF(COUNTIF('MASTER BUDGET'!$D$6:$D$25,$H25)=0,1,0)),0)</f>
      </c>
      <c r="T25" s="75"/>
    </row>
    <row r="26" ht="17" customHeight="1" spans="1:20" x14ac:dyDescent="0.25">
      <c r="A26" s="75"/>
      <c r="B26" s="79"/>
      <c r="C26" s="80"/>
      <c r="D26" s="79"/>
      <c r="E26" s="82"/>
      <c r="F26" s="82"/>
      <c r="G26" s="79"/>
      <c r="H26" s="79"/>
      <c r="I26" s="86"/>
      <c r="J26" s="86"/>
      <c r="K26" s="79"/>
      <c r="L26" s="79"/>
      <c r="M26" s="79"/>
      <c r="N26" s="80"/>
      <c r="O26" s="93">
        <f>IF($F26&lt;&gt;"",$F26,IF($E26="","",$E26))</f>
      </c>
      <c r="P26" s="93">
        <f>IF(OR($K26="Yes",$O26="",N($O26)&lt;TODAY()),"",$O26)</f>
      </c>
      <c r="Q26" s="78">
        <f>IF($B26="","",IF($K26="Yes","DONE",IF(FALSE,"COMPLETE",IF(IF($F26&lt;&gt;"",$F26,$E26)="","NO DATE",IF(IF($F26&lt;&gt;"",$F26,$E26)&lt;TODAY(),"OVERDUE",IF(IF($F26&lt;&gt;"",$F26,$E26)-TODAY()&lt;=7,"THIS WEEK","SCHEDULED"))))))</f>
      </c>
      <c r="R26" s="78">
        <f>IF($B26="",0,IF(COUNTIF('TRADITIONS + BUCKET LIST'!$B$6:$B$85,$B26)&gt;1,1,0))</f>
      </c>
      <c r="S26" s="78">
        <f>IF(OR(N($I26)&gt;0,N($J26)&gt;0),IF($H26="",1,IF(COUNTIF('MASTER BUDGET'!$D$6:$D$25,$H26)=0,1,0)),0)</f>
      </c>
      <c r="T26" s="75"/>
    </row>
    <row r="27" ht="17" customHeight="1" spans="1:20" x14ac:dyDescent="0.25">
      <c r="A27" s="75"/>
      <c r="B27" s="79"/>
      <c r="C27" s="80"/>
      <c r="D27" s="79"/>
      <c r="E27" s="82"/>
      <c r="F27" s="82"/>
      <c r="G27" s="79"/>
      <c r="H27" s="79"/>
      <c r="I27" s="86"/>
      <c r="J27" s="86"/>
      <c r="K27" s="79"/>
      <c r="L27" s="79"/>
      <c r="M27" s="79"/>
      <c r="N27" s="80"/>
      <c r="O27" s="93">
        <f>IF($F27&lt;&gt;"",$F27,IF($E27="","",$E27))</f>
      </c>
      <c r="P27" s="93">
        <f>IF(OR($K27="Yes",$O27="",N($O27)&lt;TODAY()),"",$O27)</f>
      </c>
      <c r="Q27" s="78">
        <f>IF($B27="","",IF($K27="Yes","DONE",IF(FALSE,"COMPLETE",IF(IF($F27&lt;&gt;"",$F27,$E27)="","NO DATE",IF(IF($F27&lt;&gt;"",$F27,$E27)&lt;TODAY(),"OVERDUE",IF(IF($F27&lt;&gt;"",$F27,$E27)-TODAY()&lt;=7,"THIS WEEK","SCHEDULED"))))))</f>
      </c>
      <c r="R27" s="78">
        <f>IF($B27="",0,IF(COUNTIF('TRADITIONS + BUCKET LIST'!$B$6:$B$85,$B27)&gt;1,1,0))</f>
      </c>
      <c r="S27" s="78">
        <f>IF(OR(N($I27)&gt;0,N($J27)&gt;0),IF($H27="",1,IF(COUNTIF('MASTER BUDGET'!$D$6:$D$25,$H27)=0,1,0)),0)</f>
      </c>
      <c r="T27" s="75"/>
    </row>
    <row r="28" ht="17" customHeight="1" spans="1:20" x14ac:dyDescent="0.25">
      <c r="A28" s="75"/>
      <c r="B28" s="79"/>
      <c r="C28" s="80"/>
      <c r="D28" s="79"/>
      <c r="E28" s="82"/>
      <c r="F28" s="82"/>
      <c r="G28" s="79"/>
      <c r="H28" s="79"/>
      <c r="I28" s="86"/>
      <c r="J28" s="86"/>
      <c r="K28" s="79"/>
      <c r="L28" s="79"/>
      <c r="M28" s="79"/>
      <c r="N28" s="80"/>
      <c r="O28" s="93">
        <f>IF($F28&lt;&gt;"",$F28,IF($E28="","",$E28))</f>
      </c>
      <c r="P28" s="93">
        <f>IF(OR($K28="Yes",$O28="",N($O28)&lt;TODAY()),"",$O28)</f>
      </c>
      <c r="Q28" s="78">
        <f>IF($B28="","",IF($K28="Yes","DONE",IF(FALSE,"COMPLETE",IF(IF($F28&lt;&gt;"",$F28,$E28)="","NO DATE",IF(IF($F28&lt;&gt;"",$F28,$E28)&lt;TODAY(),"OVERDUE",IF(IF($F28&lt;&gt;"",$F28,$E28)-TODAY()&lt;=7,"THIS WEEK","SCHEDULED"))))))</f>
      </c>
      <c r="R28" s="78">
        <f>IF($B28="",0,IF(COUNTIF('TRADITIONS + BUCKET LIST'!$B$6:$B$85,$B28)&gt;1,1,0))</f>
      </c>
      <c r="S28" s="78">
        <f>IF(OR(N($I28)&gt;0,N($J28)&gt;0),IF($H28="",1,IF(COUNTIF('MASTER BUDGET'!$D$6:$D$25,$H28)=0,1,0)),0)</f>
      </c>
      <c r="T28" s="75"/>
    </row>
    <row r="29" ht="17" customHeight="1" spans="1:20" x14ac:dyDescent="0.25">
      <c r="A29" s="75"/>
      <c r="B29" s="79"/>
      <c r="C29" s="80"/>
      <c r="D29" s="79"/>
      <c r="E29" s="82"/>
      <c r="F29" s="82"/>
      <c r="G29" s="79"/>
      <c r="H29" s="79"/>
      <c r="I29" s="86"/>
      <c r="J29" s="86"/>
      <c r="K29" s="79"/>
      <c r="L29" s="79"/>
      <c r="M29" s="79"/>
      <c r="N29" s="80"/>
      <c r="O29" s="93">
        <f>IF($F29&lt;&gt;"",$F29,IF($E29="","",$E29))</f>
      </c>
      <c r="P29" s="93">
        <f>IF(OR($K29="Yes",$O29="",N($O29)&lt;TODAY()),"",$O29)</f>
      </c>
      <c r="Q29" s="78">
        <f>IF($B29="","",IF($K29="Yes","DONE",IF(FALSE,"COMPLETE",IF(IF($F29&lt;&gt;"",$F29,$E29)="","NO DATE",IF(IF($F29&lt;&gt;"",$F29,$E29)&lt;TODAY(),"OVERDUE",IF(IF($F29&lt;&gt;"",$F29,$E29)-TODAY()&lt;=7,"THIS WEEK","SCHEDULED"))))))</f>
      </c>
      <c r="R29" s="78">
        <f>IF($B29="",0,IF(COUNTIF('TRADITIONS + BUCKET LIST'!$B$6:$B$85,$B29)&gt;1,1,0))</f>
      </c>
      <c r="S29" s="78">
        <f>IF(OR(N($I29)&gt;0,N($J29)&gt;0),IF($H29="",1,IF(COUNTIF('MASTER BUDGET'!$D$6:$D$25,$H29)=0,1,0)),0)</f>
      </c>
      <c r="T29" s="75"/>
    </row>
    <row r="30" ht="17" customHeight="1" spans="1:20" x14ac:dyDescent="0.25">
      <c r="A30" s="75"/>
      <c r="B30" s="79"/>
      <c r="C30" s="80"/>
      <c r="D30" s="79"/>
      <c r="E30" s="82"/>
      <c r="F30" s="82"/>
      <c r="G30" s="79"/>
      <c r="H30" s="79"/>
      <c r="I30" s="86"/>
      <c r="J30" s="86"/>
      <c r="K30" s="79"/>
      <c r="L30" s="79"/>
      <c r="M30" s="79"/>
      <c r="N30" s="80"/>
      <c r="O30" s="93">
        <f>IF($F30&lt;&gt;"",$F30,IF($E30="","",$E30))</f>
      </c>
      <c r="P30" s="93">
        <f>IF(OR($K30="Yes",$O30="",N($O30)&lt;TODAY()),"",$O30)</f>
      </c>
      <c r="Q30" s="78">
        <f>IF($B30="","",IF($K30="Yes","DONE",IF(FALSE,"COMPLETE",IF(IF($F30&lt;&gt;"",$F30,$E30)="","NO DATE",IF(IF($F30&lt;&gt;"",$F30,$E30)&lt;TODAY(),"OVERDUE",IF(IF($F30&lt;&gt;"",$F30,$E30)-TODAY()&lt;=7,"THIS WEEK","SCHEDULED"))))))</f>
      </c>
      <c r="R30" s="78">
        <f>IF($B30="",0,IF(COUNTIF('TRADITIONS + BUCKET LIST'!$B$6:$B$85,$B30)&gt;1,1,0))</f>
      </c>
      <c r="S30" s="78">
        <f>IF(OR(N($I30)&gt;0,N($J30)&gt;0),IF($H30="",1,IF(COUNTIF('MASTER BUDGET'!$D$6:$D$25,$H30)=0,1,0)),0)</f>
      </c>
      <c r="T30" s="75"/>
    </row>
    <row r="31" ht="17" customHeight="1" spans="1:20" x14ac:dyDescent="0.25">
      <c r="A31" s="75"/>
      <c r="B31" s="79"/>
      <c r="C31" s="80"/>
      <c r="D31" s="79"/>
      <c r="E31" s="82"/>
      <c r="F31" s="82"/>
      <c r="G31" s="79"/>
      <c r="H31" s="79"/>
      <c r="I31" s="86"/>
      <c r="J31" s="86"/>
      <c r="K31" s="79"/>
      <c r="L31" s="79"/>
      <c r="M31" s="79"/>
      <c r="N31" s="80"/>
      <c r="O31" s="93">
        <f>IF($F31&lt;&gt;"",$F31,IF($E31="","",$E31))</f>
      </c>
      <c r="P31" s="93">
        <f>IF(OR($K31="Yes",$O31="",N($O31)&lt;TODAY()),"",$O31)</f>
      </c>
      <c r="Q31" s="78">
        <f>IF($B31="","",IF($K31="Yes","DONE",IF(FALSE,"COMPLETE",IF(IF($F31&lt;&gt;"",$F31,$E31)="","NO DATE",IF(IF($F31&lt;&gt;"",$F31,$E31)&lt;TODAY(),"OVERDUE",IF(IF($F31&lt;&gt;"",$F31,$E31)-TODAY()&lt;=7,"THIS WEEK","SCHEDULED"))))))</f>
      </c>
      <c r="R31" s="78">
        <f>IF($B31="",0,IF(COUNTIF('TRADITIONS + BUCKET LIST'!$B$6:$B$85,$B31)&gt;1,1,0))</f>
      </c>
      <c r="S31" s="78">
        <f>IF(OR(N($I31)&gt;0,N($J31)&gt;0),IF($H31="",1,IF(COUNTIF('MASTER BUDGET'!$D$6:$D$25,$H31)=0,1,0)),0)</f>
      </c>
      <c r="T31" s="75"/>
    </row>
    <row r="32" ht="17" customHeight="1" spans="1:20" x14ac:dyDescent="0.25">
      <c r="A32" s="75"/>
      <c r="B32" s="79"/>
      <c r="C32" s="80"/>
      <c r="D32" s="79"/>
      <c r="E32" s="82"/>
      <c r="F32" s="82"/>
      <c r="G32" s="79"/>
      <c r="H32" s="79"/>
      <c r="I32" s="86"/>
      <c r="J32" s="86"/>
      <c r="K32" s="79"/>
      <c r="L32" s="79"/>
      <c r="M32" s="79"/>
      <c r="N32" s="80"/>
      <c r="O32" s="93">
        <f>IF($F32&lt;&gt;"",$F32,IF($E32="","",$E32))</f>
      </c>
      <c r="P32" s="93">
        <f>IF(OR($K32="Yes",$O32="",N($O32)&lt;TODAY()),"",$O32)</f>
      </c>
      <c r="Q32" s="78">
        <f>IF($B32="","",IF($K32="Yes","DONE",IF(FALSE,"COMPLETE",IF(IF($F32&lt;&gt;"",$F32,$E32)="","NO DATE",IF(IF($F32&lt;&gt;"",$F32,$E32)&lt;TODAY(),"OVERDUE",IF(IF($F32&lt;&gt;"",$F32,$E32)-TODAY()&lt;=7,"THIS WEEK","SCHEDULED"))))))</f>
      </c>
      <c r="R32" s="78">
        <f>IF($B32="",0,IF(COUNTIF('TRADITIONS + BUCKET LIST'!$B$6:$B$85,$B32)&gt;1,1,0))</f>
      </c>
      <c r="S32" s="78">
        <f>IF(OR(N($I32)&gt;0,N($J32)&gt;0),IF($H32="",1,IF(COUNTIF('MASTER BUDGET'!$D$6:$D$25,$H32)=0,1,0)),0)</f>
      </c>
      <c r="T32" s="75"/>
    </row>
    <row r="33" ht="17" customHeight="1" spans="1:20" x14ac:dyDescent="0.25">
      <c r="A33" s="75"/>
      <c r="B33" s="79"/>
      <c r="C33" s="80"/>
      <c r="D33" s="79"/>
      <c r="E33" s="82"/>
      <c r="F33" s="82"/>
      <c r="G33" s="79"/>
      <c r="H33" s="79"/>
      <c r="I33" s="86"/>
      <c r="J33" s="86"/>
      <c r="K33" s="79"/>
      <c r="L33" s="79"/>
      <c r="M33" s="79"/>
      <c r="N33" s="80"/>
      <c r="O33" s="93">
        <f>IF($F33&lt;&gt;"",$F33,IF($E33="","",$E33))</f>
      </c>
      <c r="P33" s="93">
        <f>IF(OR($K33="Yes",$O33="",N($O33)&lt;TODAY()),"",$O33)</f>
      </c>
      <c r="Q33" s="78">
        <f>IF($B33="","",IF($K33="Yes","DONE",IF(FALSE,"COMPLETE",IF(IF($F33&lt;&gt;"",$F33,$E33)="","NO DATE",IF(IF($F33&lt;&gt;"",$F33,$E33)&lt;TODAY(),"OVERDUE",IF(IF($F33&lt;&gt;"",$F33,$E33)-TODAY()&lt;=7,"THIS WEEK","SCHEDULED"))))))</f>
      </c>
      <c r="R33" s="78">
        <f>IF($B33="",0,IF(COUNTIF('TRADITIONS + BUCKET LIST'!$B$6:$B$85,$B33)&gt;1,1,0))</f>
      </c>
      <c r="S33" s="78">
        <f>IF(OR(N($I33)&gt;0,N($J33)&gt;0),IF($H33="",1,IF(COUNTIF('MASTER BUDGET'!$D$6:$D$25,$H33)=0,1,0)),0)</f>
      </c>
      <c r="T33" s="75"/>
    </row>
    <row r="34" ht="17" customHeight="1" spans="1:20" x14ac:dyDescent="0.25">
      <c r="A34" s="75"/>
      <c r="B34" s="79"/>
      <c r="C34" s="80"/>
      <c r="D34" s="79"/>
      <c r="E34" s="82"/>
      <c r="F34" s="82"/>
      <c r="G34" s="79"/>
      <c r="H34" s="79"/>
      <c r="I34" s="86"/>
      <c r="J34" s="86"/>
      <c r="K34" s="79"/>
      <c r="L34" s="79"/>
      <c r="M34" s="79"/>
      <c r="N34" s="80"/>
      <c r="O34" s="93">
        <f>IF($F34&lt;&gt;"",$F34,IF($E34="","",$E34))</f>
      </c>
      <c r="P34" s="93">
        <f>IF(OR($K34="Yes",$O34="",N($O34)&lt;TODAY()),"",$O34)</f>
      </c>
      <c r="Q34" s="78">
        <f>IF($B34="","",IF($K34="Yes","DONE",IF(FALSE,"COMPLETE",IF(IF($F34&lt;&gt;"",$F34,$E34)="","NO DATE",IF(IF($F34&lt;&gt;"",$F34,$E34)&lt;TODAY(),"OVERDUE",IF(IF($F34&lt;&gt;"",$F34,$E34)-TODAY()&lt;=7,"THIS WEEK","SCHEDULED"))))))</f>
      </c>
      <c r="R34" s="78">
        <f>IF($B34="",0,IF(COUNTIF('TRADITIONS + BUCKET LIST'!$B$6:$B$85,$B34)&gt;1,1,0))</f>
      </c>
      <c r="S34" s="78">
        <f>IF(OR(N($I34)&gt;0,N($J34)&gt;0),IF($H34="",1,IF(COUNTIF('MASTER BUDGET'!$D$6:$D$25,$H34)=0,1,0)),0)</f>
      </c>
      <c r="T34" s="75"/>
    </row>
    <row r="35" ht="17" customHeight="1" spans="1:20" x14ac:dyDescent="0.25">
      <c r="A35" s="75"/>
      <c r="B35" s="79"/>
      <c r="C35" s="80"/>
      <c r="D35" s="79"/>
      <c r="E35" s="82"/>
      <c r="F35" s="82"/>
      <c r="G35" s="79"/>
      <c r="H35" s="79"/>
      <c r="I35" s="86"/>
      <c r="J35" s="86"/>
      <c r="K35" s="79"/>
      <c r="L35" s="79"/>
      <c r="M35" s="79"/>
      <c r="N35" s="80"/>
      <c r="O35" s="93">
        <f>IF($F35&lt;&gt;"",$F35,IF($E35="","",$E35))</f>
      </c>
      <c r="P35" s="93">
        <f>IF(OR($K35="Yes",$O35="",N($O35)&lt;TODAY()),"",$O35)</f>
      </c>
      <c r="Q35" s="78">
        <f>IF($B35="","",IF($K35="Yes","DONE",IF(FALSE,"COMPLETE",IF(IF($F35&lt;&gt;"",$F35,$E35)="","NO DATE",IF(IF($F35&lt;&gt;"",$F35,$E35)&lt;TODAY(),"OVERDUE",IF(IF($F35&lt;&gt;"",$F35,$E35)-TODAY()&lt;=7,"THIS WEEK","SCHEDULED"))))))</f>
      </c>
      <c r="R35" s="78">
        <f>IF($B35="",0,IF(COUNTIF('TRADITIONS + BUCKET LIST'!$B$6:$B$85,$B35)&gt;1,1,0))</f>
      </c>
      <c r="S35" s="78">
        <f>IF(OR(N($I35)&gt;0,N($J35)&gt;0),IF($H35="",1,IF(COUNTIF('MASTER BUDGET'!$D$6:$D$25,$H35)=0,1,0)),0)</f>
      </c>
      <c r="T35" s="75"/>
    </row>
    <row r="36" ht="17" customHeight="1" spans="1:20" x14ac:dyDescent="0.25">
      <c r="A36" s="75"/>
      <c r="B36" s="79"/>
      <c r="C36" s="80"/>
      <c r="D36" s="79"/>
      <c r="E36" s="82"/>
      <c r="F36" s="82"/>
      <c r="G36" s="79"/>
      <c r="H36" s="79"/>
      <c r="I36" s="86"/>
      <c r="J36" s="86"/>
      <c r="K36" s="79"/>
      <c r="L36" s="79"/>
      <c r="M36" s="79"/>
      <c r="N36" s="80"/>
      <c r="O36" s="93">
        <f>IF($F36&lt;&gt;"",$F36,IF($E36="","",$E36))</f>
      </c>
      <c r="P36" s="93">
        <f>IF(OR($K36="Yes",$O36="",N($O36)&lt;TODAY()),"",$O36)</f>
      </c>
      <c r="Q36" s="78">
        <f>IF($B36="","",IF($K36="Yes","DONE",IF(FALSE,"COMPLETE",IF(IF($F36&lt;&gt;"",$F36,$E36)="","NO DATE",IF(IF($F36&lt;&gt;"",$F36,$E36)&lt;TODAY(),"OVERDUE",IF(IF($F36&lt;&gt;"",$F36,$E36)-TODAY()&lt;=7,"THIS WEEK","SCHEDULED"))))))</f>
      </c>
      <c r="R36" s="78">
        <f>IF($B36="",0,IF(COUNTIF('TRADITIONS + BUCKET LIST'!$B$6:$B$85,$B36)&gt;1,1,0))</f>
      </c>
      <c r="S36" s="78">
        <f>IF(OR(N($I36)&gt;0,N($J36)&gt;0),IF($H36="",1,IF(COUNTIF('MASTER BUDGET'!$D$6:$D$25,$H36)=0,1,0)),0)</f>
      </c>
      <c r="T36" s="75"/>
    </row>
    <row r="37" ht="17" customHeight="1" spans="1:20" x14ac:dyDescent="0.25">
      <c r="A37" s="75"/>
      <c r="B37" s="79"/>
      <c r="C37" s="80"/>
      <c r="D37" s="79"/>
      <c r="E37" s="82"/>
      <c r="F37" s="82"/>
      <c r="G37" s="79"/>
      <c r="H37" s="79"/>
      <c r="I37" s="86"/>
      <c r="J37" s="86"/>
      <c r="K37" s="79"/>
      <c r="L37" s="79"/>
      <c r="M37" s="79"/>
      <c r="N37" s="80"/>
      <c r="O37" s="93">
        <f>IF($F37&lt;&gt;"",$F37,IF($E37="","",$E37))</f>
      </c>
      <c r="P37" s="93">
        <f>IF(OR($K37="Yes",$O37="",N($O37)&lt;TODAY()),"",$O37)</f>
      </c>
      <c r="Q37" s="78">
        <f>IF($B37="","",IF($K37="Yes","DONE",IF(FALSE,"COMPLETE",IF(IF($F37&lt;&gt;"",$F37,$E37)="","NO DATE",IF(IF($F37&lt;&gt;"",$F37,$E37)&lt;TODAY(),"OVERDUE",IF(IF($F37&lt;&gt;"",$F37,$E37)-TODAY()&lt;=7,"THIS WEEK","SCHEDULED"))))))</f>
      </c>
      <c r="R37" s="78">
        <f>IF($B37="",0,IF(COUNTIF('TRADITIONS + BUCKET LIST'!$B$6:$B$85,$B37)&gt;1,1,0))</f>
      </c>
      <c r="S37" s="78">
        <f>IF(OR(N($I37)&gt;0,N($J37)&gt;0),IF($H37="",1,IF(COUNTIF('MASTER BUDGET'!$D$6:$D$25,$H37)=0,1,0)),0)</f>
      </c>
      <c r="T37" s="75"/>
    </row>
    <row r="38" ht="17" customHeight="1" spans="1:20" x14ac:dyDescent="0.25">
      <c r="A38" s="75"/>
      <c r="B38" s="79"/>
      <c r="C38" s="80"/>
      <c r="D38" s="79"/>
      <c r="E38" s="82"/>
      <c r="F38" s="82"/>
      <c r="G38" s="79"/>
      <c r="H38" s="79"/>
      <c r="I38" s="86"/>
      <c r="J38" s="86"/>
      <c r="K38" s="79"/>
      <c r="L38" s="79"/>
      <c r="M38" s="79"/>
      <c r="N38" s="80"/>
      <c r="O38" s="93">
        <f>IF($F38&lt;&gt;"",$F38,IF($E38="","",$E38))</f>
      </c>
      <c r="P38" s="93">
        <f>IF(OR($K38="Yes",$O38="",N($O38)&lt;TODAY()),"",$O38)</f>
      </c>
      <c r="Q38" s="78">
        <f>IF($B38="","",IF($K38="Yes","DONE",IF(FALSE,"COMPLETE",IF(IF($F38&lt;&gt;"",$F38,$E38)="","NO DATE",IF(IF($F38&lt;&gt;"",$F38,$E38)&lt;TODAY(),"OVERDUE",IF(IF($F38&lt;&gt;"",$F38,$E38)-TODAY()&lt;=7,"THIS WEEK","SCHEDULED"))))))</f>
      </c>
      <c r="R38" s="78">
        <f>IF($B38="",0,IF(COUNTIF('TRADITIONS + BUCKET LIST'!$B$6:$B$85,$B38)&gt;1,1,0))</f>
      </c>
      <c r="S38" s="78">
        <f>IF(OR(N($I38)&gt;0,N($J38)&gt;0),IF($H38="",1,IF(COUNTIF('MASTER BUDGET'!$D$6:$D$25,$H38)=0,1,0)),0)</f>
      </c>
      <c r="T38" s="75"/>
    </row>
    <row r="39" ht="17" customHeight="1" spans="1:20" x14ac:dyDescent="0.25">
      <c r="A39" s="75"/>
      <c r="B39" s="79"/>
      <c r="C39" s="80"/>
      <c r="D39" s="79"/>
      <c r="E39" s="82"/>
      <c r="F39" s="82"/>
      <c r="G39" s="79"/>
      <c r="H39" s="79"/>
      <c r="I39" s="86"/>
      <c r="J39" s="86"/>
      <c r="K39" s="79"/>
      <c r="L39" s="79"/>
      <c r="M39" s="79"/>
      <c r="N39" s="80"/>
      <c r="O39" s="93">
        <f>IF($F39&lt;&gt;"",$F39,IF($E39="","",$E39))</f>
      </c>
      <c r="P39" s="93">
        <f>IF(OR($K39="Yes",$O39="",N($O39)&lt;TODAY()),"",$O39)</f>
      </c>
      <c r="Q39" s="78">
        <f>IF($B39="","",IF($K39="Yes","DONE",IF(FALSE,"COMPLETE",IF(IF($F39&lt;&gt;"",$F39,$E39)="","NO DATE",IF(IF($F39&lt;&gt;"",$F39,$E39)&lt;TODAY(),"OVERDUE",IF(IF($F39&lt;&gt;"",$F39,$E39)-TODAY()&lt;=7,"THIS WEEK","SCHEDULED"))))))</f>
      </c>
      <c r="R39" s="78">
        <f>IF($B39="",0,IF(COUNTIF('TRADITIONS + BUCKET LIST'!$B$6:$B$85,$B39)&gt;1,1,0))</f>
      </c>
      <c r="S39" s="78">
        <f>IF(OR(N($I39)&gt;0,N($J39)&gt;0),IF($H39="",1,IF(COUNTIF('MASTER BUDGET'!$D$6:$D$25,$H39)=0,1,0)),0)</f>
      </c>
      <c r="T39" s="75"/>
    </row>
    <row r="40" ht="17" customHeight="1" spans="1:20" x14ac:dyDescent="0.25">
      <c r="A40" s="75"/>
      <c r="B40" s="79"/>
      <c r="C40" s="80"/>
      <c r="D40" s="79"/>
      <c r="E40" s="82"/>
      <c r="F40" s="82"/>
      <c r="G40" s="79"/>
      <c r="H40" s="79"/>
      <c r="I40" s="86"/>
      <c r="J40" s="86"/>
      <c r="K40" s="79"/>
      <c r="L40" s="79"/>
      <c r="M40" s="79"/>
      <c r="N40" s="80"/>
      <c r="O40" s="93">
        <f>IF($F40&lt;&gt;"",$F40,IF($E40="","",$E40))</f>
      </c>
      <c r="P40" s="93">
        <f>IF(OR($K40="Yes",$O40="",N($O40)&lt;TODAY()),"",$O40)</f>
      </c>
      <c r="Q40" s="78">
        <f>IF($B40="","",IF($K40="Yes","DONE",IF(FALSE,"COMPLETE",IF(IF($F40&lt;&gt;"",$F40,$E40)="","NO DATE",IF(IF($F40&lt;&gt;"",$F40,$E40)&lt;TODAY(),"OVERDUE",IF(IF($F40&lt;&gt;"",$F40,$E40)-TODAY()&lt;=7,"THIS WEEK","SCHEDULED"))))))</f>
      </c>
      <c r="R40" s="78">
        <f>IF($B40="",0,IF(COUNTIF('TRADITIONS + BUCKET LIST'!$B$6:$B$85,$B40)&gt;1,1,0))</f>
      </c>
      <c r="S40" s="78">
        <f>IF(OR(N($I40)&gt;0,N($J40)&gt;0),IF($H40="",1,IF(COUNTIF('MASTER BUDGET'!$D$6:$D$25,$H40)=0,1,0)),0)</f>
      </c>
      <c r="T40" s="75"/>
    </row>
    <row r="41" ht="17" customHeight="1" spans="1:20" x14ac:dyDescent="0.25">
      <c r="A41" s="75"/>
      <c r="B41" s="79"/>
      <c r="C41" s="80"/>
      <c r="D41" s="79"/>
      <c r="E41" s="82"/>
      <c r="F41" s="82"/>
      <c r="G41" s="79"/>
      <c r="H41" s="79"/>
      <c r="I41" s="86"/>
      <c r="J41" s="86"/>
      <c r="K41" s="79"/>
      <c r="L41" s="79"/>
      <c r="M41" s="79"/>
      <c r="N41" s="80"/>
      <c r="O41" s="93">
        <f>IF($F41&lt;&gt;"",$F41,IF($E41="","",$E41))</f>
      </c>
      <c r="P41" s="93">
        <f>IF(OR($K41="Yes",$O41="",N($O41)&lt;TODAY()),"",$O41)</f>
      </c>
      <c r="Q41" s="78">
        <f>IF($B41="","",IF($K41="Yes","DONE",IF(FALSE,"COMPLETE",IF(IF($F41&lt;&gt;"",$F41,$E41)="","NO DATE",IF(IF($F41&lt;&gt;"",$F41,$E41)&lt;TODAY(),"OVERDUE",IF(IF($F41&lt;&gt;"",$F41,$E41)-TODAY()&lt;=7,"THIS WEEK","SCHEDULED"))))))</f>
      </c>
      <c r="R41" s="78">
        <f>IF($B41="",0,IF(COUNTIF('TRADITIONS + BUCKET LIST'!$B$6:$B$85,$B41)&gt;1,1,0))</f>
      </c>
      <c r="S41" s="78">
        <f>IF(OR(N($I41)&gt;0,N($J41)&gt;0),IF($H41="",1,IF(COUNTIF('MASTER BUDGET'!$D$6:$D$25,$H41)=0,1,0)),0)</f>
      </c>
      <c r="T41" s="75"/>
    </row>
    <row r="42" ht="17" customHeight="1" spans="1:20" x14ac:dyDescent="0.25">
      <c r="A42" s="75"/>
      <c r="B42" s="79"/>
      <c r="C42" s="80"/>
      <c r="D42" s="79"/>
      <c r="E42" s="82"/>
      <c r="F42" s="82"/>
      <c r="G42" s="79"/>
      <c r="H42" s="79"/>
      <c r="I42" s="86"/>
      <c r="J42" s="86"/>
      <c r="K42" s="79"/>
      <c r="L42" s="79"/>
      <c r="M42" s="79"/>
      <c r="N42" s="80"/>
      <c r="O42" s="93">
        <f>IF($F42&lt;&gt;"",$F42,IF($E42="","",$E42))</f>
      </c>
      <c r="P42" s="93">
        <f>IF(OR($K42="Yes",$O42="",N($O42)&lt;TODAY()),"",$O42)</f>
      </c>
      <c r="Q42" s="78">
        <f>IF($B42="","",IF($K42="Yes","DONE",IF(FALSE,"COMPLETE",IF(IF($F42&lt;&gt;"",$F42,$E42)="","NO DATE",IF(IF($F42&lt;&gt;"",$F42,$E42)&lt;TODAY(),"OVERDUE",IF(IF($F42&lt;&gt;"",$F42,$E42)-TODAY()&lt;=7,"THIS WEEK","SCHEDULED"))))))</f>
      </c>
      <c r="R42" s="78">
        <f>IF($B42="",0,IF(COUNTIF('TRADITIONS + BUCKET LIST'!$B$6:$B$85,$B42)&gt;1,1,0))</f>
      </c>
      <c r="S42" s="78">
        <f>IF(OR(N($I42)&gt;0,N($J42)&gt;0),IF($H42="",1,IF(COUNTIF('MASTER BUDGET'!$D$6:$D$25,$H42)=0,1,0)),0)</f>
      </c>
      <c r="T42" s="75"/>
    </row>
    <row r="43" ht="17" customHeight="1" spans="1:20" x14ac:dyDescent="0.25">
      <c r="A43" s="75"/>
      <c r="B43" s="79"/>
      <c r="C43" s="80"/>
      <c r="D43" s="79"/>
      <c r="E43" s="82"/>
      <c r="F43" s="82"/>
      <c r="G43" s="79"/>
      <c r="H43" s="79"/>
      <c r="I43" s="86"/>
      <c r="J43" s="86"/>
      <c r="K43" s="79"/>
      <c r="L43" s="79"/>
      <c r="M43" s="79"/>
      <c r="N43" s="80"/>
      <c r="O43" s="93">
        <f>IF($F43&lt;&gt;"",$F43,IF($E43="","",$E43))</f>
      </c>
      <c r="P43" s="93">
        <f>IF(OR($K43="Yes",$O43="",N($O43)&lt;TODAY()),"",$O43)</f>
      </c>
      <c r="Q43" s="78">
        <f>IF($B43="","",IF($K43="Yes","DONE",IF(FALSE,"COMPLETE",IF(IF($F43&lt;&gt;"",$F43,$E43)="","NO DATE",IF(IF($F43&lt;&gt;"",$F43,$E43)&lt;TODAY(),"OVERDUE",IF(IF($F43&lt;&gt;"",$F43,$E43)-TODAY()&lt;=7,"THIS WEEK","SCHEDULED"))))))</f>
      </c>
      <c r="R43" s="78">
        <f>IF($B43="",0,IF(COUNTIF('TRADITIONS + BUCKET LIST'!$B$6:$B$85,$B43)&gt;1,1,0))</f>
      </c>
      <c r="S43" s="78">
        <f>IF(OR(N($I43)&gt;0,N($J43)&gt;0),IF($H43="",1,IF(COUNTIF('MASTER BUDGET'!$D$6:$D$25,$H43)=0,1,0)),0)</f>
      </c>
      <c r="T43" s="75"/>
    </row>
    <row r="44" ht="17" customHeight="1" spans="1:20" x14ac:dyDescent="0.25">
      <c r="A44" s="75"/>
      <c r="B44" s="79"/>
      <c r="C44" s="80"/>
      <c r="D44" s="79"/>
      <c r="E44" s="82"/>
      <c r="F44" s="82"/>
      <c r="G44" s="79"/>
      <c r="H44" s="79"/>
      <c r="I44" s="86"/>
      <c r="J44" s="86"/>
      <c r="K44" s="79"/>
      <c r="L44" s="79"/>
      <c r="M44" s="79"/>
      <c r="N44" s="80"/>
      <c r="O44" s="93">
        <f>IF($F44&lt;&gt;"",$F44,IF($E44="","",$E44))</f>
      </c>
      <c r="P44" s="93">
        <f>IF(OR($K44="Yes",$O44="",N($O44)&lt;TODAY()),"",$O44)</f>
      </c>
      <c r="Q44" s="78">
        <f>IF($B44="","",IF($K44="Yes","DONE",IF(FALSE,"COMPLETE",IF(IF($F44&lt;&gt;"",$F44,$E44)="","NO DATE",IF(IF($F44&lt;&gt;"",$F44,$E44)&lt;TODAY(),"OVERDUE",IF(IF($F44&lt;&gt;"",$F44,$E44)-TODAY()&lt;=7,"THIS WEEK","SCHEDULED"))))))</f>
      </c>
      <c r="R44" s="78">
        <f>IF($B44="",0,IF(COUNTIF('TRADITIONS + BUCKET LIST'!$B$6:$B$85,$B44)&gt;1,1,0))</f>
      </c>
      <c r="S44" s="78">
        <f>IF(OR(N($I44)&gt;0,N($J44)&gt;0),IF($H44="",1,IF(COUNTIF('MASTER BUDGET'!$D$6:$D$25,$H44)=0,1,0)),0)</f>
      </c>
      <c r="T44" s="75"/>
    </row>
    <row r="45" ht="17" customHeight="1" spans="1:20" x14ac:dyDescent="0.25">
      <c r="A45" s="75"/>
      <c r="B45" s="79"/>
      <c r="C45" s="80"/>
      <c r="D45" s="79"/>
      <c r="E45" s="82"/>
      <c r="F45" s="82"/>
      <c r="G45" s="79"/>
      <c r="H45" s="79"/>
      <c r="I45" s="86"/>
      <c r="J45" s="86"/>
      <c r="K45" s="79"/>
      <c r="L45" s="79"/>
      <c r="M45" s="79"/>
      <c r="N45" s="80"/>
      <c r="O45" s="93">
        <f>IF($F45&lt;&gt;"",$F45,IF($E45="","",$E45))</f>
      </c>
      <c r="P45" s="93">
        <f>IF(OR($K45="Yes",$O45="",N($O45)&lt;TODAY()),"",$O45)</f>
      </c>
      <c r="Q45" s="78">
        <f>IF($B45="","",IF($K45="Yes","DONE",IF(FALSE,"COMPLETE",IF(IF($F45&lt;&gt;"",$F45,$E45)="","NO DATE",IF(IF($F45&lt;&gt;"",$F45,$E45)&lt;TODAY(),"OVERDUE",IF(IF($F45&lt;&gt;"",$F45,$E45)-TODAY()&lt;=7,"THIS WEEK","SCHEDULED"))))))</f>
      </c>
      <c r="R45" s="78">
        <f>IF($B45="",0,IF(COUNTIF('TRADITIONS + BUCKET LIST'!$B$6:$B$85,$B45)&gt;1,1,0))</f>
      </c>
      <c r="S45" s="78">
        <f>IF(OR(N($I45)&gt;0,N($J45)&gt;0),IF($H45="",1,IF(COUNTIF('MASTER BUDGET'!$D$6:$D$25,$H45)=0,1,0)),0)</f>
      </c>
      <c r="T45" s="75"/>
    </row>
    <row r="46" ht="17" customHeight="1" spans="1:20" x14ac:dyDescent="0.25">
      <c r="A46" s="75"/>
      <c r="B46" s="79"/>
      <c r="C46" s="80"/>
      <c r="D46" s="79"/>
      <c r="E46" s="82"/>
      <c r="F46" s="82"/>
      <c r="G46" s="79"/>
      <c r="H46" s="79"/>
      <c r="I46" s="86"/>
      <c r="J46" s="86"/>
      <c r="K46" s="79"/>
      <c r="L46" s="79"/>
      <c r="M46" s="79"/>
      <c r="N46" s="80"/>
      <c r="O46" s="93">
        <f>IF($F46&lt;&gt;"",$F46,IF($E46="","",$E46))</f>
      </c>
      <c r="P46" s="93">
        <f>IF(OR($K46="Yes",$O46="",N($O46)&lt;TODAY()),"",$O46)</f>
      </c>
      <c r="Q46" s="78">
        <f>IF($B46="","",IF($K46="Yes","DONE",IF(FALSE,"COMPLETE",IF(IF($F46&lt;&gt;"",$F46,$E46)="","NO DATE",IF(IF($F46&lt;&gt;"",$F46,$E46)&lt;TODAY(),"OVERDUE",IF(IF($F46&lt;&gt;"",$F46,$E46)-TODAY()&lt;=7,"THIS WEEK","SCHEDULED"))))))</f>
      </c>
      <c r="R46" s="78">
        <f>IF($B46="",0,IF(COUNTIF('TRADITIONS + BUCKET LIST'!$B$6:$B$85,$B46)&gt;1,1,0))</f>
      </c>
      <c r="S46" s="78">
        <f>IF(OR(N($I46)&gt;0,N($J46)&gt;0),IF($H46="",1,IF(COUNTIF('MASTER BUDGET'!$D$6:$D$25,$H46)=0,1,0)),0)</f>
      </c>
      <c r="T46" s="75"/>
    </row>
    <row r="47" ht="17" customHeight="1" spans="1:20" x14ac:dyDescent="0.25">
      <c r="A47" s="75"/>
      <c r="B47" s="79"/>
      <c r="C47" s="80"/>
      <c r="D47" s="79"/>
      <c r="E47" s="82"/>
      <c r="F47" s="82"/>
      <c r="G47" s="79"/>
      <c r="H47" s="79"/>
      <c r="I47" s="86"/>
      <c r="J47" s="86"/>
      <c r="K47" s="79"/>
      <c r="L47" s="79"/>
      <c r="M47" s="79"/>
      <c r="N47" s="80"/>
      <c r="O47" s="93">
        <f>IF($F47&lt;&gt;"",$F47,IF($E47="","",$E47))</f>
      </c>
      <c r="P47" s="93">
        <f>IF(OR($K47="Yes",$O47="",N($O47)&lt;TODAY()),"",$O47)</f>
      </c>
      <c r="Q47" s="78">
        <f>IF($B47="","",IF($K47="Yes","DONE",IF(FALSE,"COMPLETE",IF(IF($F47&lt;&gt;"",$F47,$E47)="","NO DATE",IF(IF($F47&lt;&gt;"",$F47,$E47)&lt;TODAY(),"OVERDUE",IF(IF($F47&lt;&gt;"",$F47,$E47)-TODAY()&lt;=7,"THIS WEEK","SCHEDULED"))))))</f>
      </c>
      <c r="R47" s="78">
        <f>IF($B47="",0,IF(COUNTIF('TRADITIONS + BUCKET LIST'!$B$6:$B$85,$B47)&gt;1,1,0))</f>
      </c>
      <c r="S47" s="78">
        <f>IF(OR(N($I47)&gt;0,N($J47)&gt;0),IF($H47="",1,IF(COUNTIF('MASTER BUDGET'!$D$6:$D$25,$H47)=0,1,0)),0)</f>
      </c>
      <c r="T47" s="75"/>
    </row>
    <row r="48" ht="17" customHeight="1" spans="1:20" x14ac:dyDescent="0.25">
      <c r="A48" s="75"/>
      <c r="B48" s="79"/>
      <c r="C48" s="80"/>
      <c r="D48" s="79"/>
      <c r="E48" s="82"/>
      <c r="F48" s="82"/>
      <c r="G48" s="79"/>
      <c r="H48" s="79"/>
      <c r="I48" s="86"/>
      <c r="J48" s="86"/>
      <c r="K48" s="79"/>
      <c r="L48" s="79"/>
      <c r="M48" s="79"/>
      <c r="N48" s="80"/>
      <c r="O48" s="93">
        <f>IF($F48&lt;&gt;"",$F48,IF($E48="","",$E48))</f>
      </c>
      <c r="P48" s="93">
        <f>IF(OR($K48="Yes",$O48="",N($O48)&lt;TODAY()),"",$O48)</f>
      </c>
      <c r="Q48" s="78">
        <f>IF($B48="","",IF($K48="Yes","DONE",IF(FALSE,"COMPLETE",IF(IF($F48&lt;&gt;"",$F48,$E48)="","NO DATE",IF(IF($F48&lt;&gt;"",$F48,$E48)&lt;TODAY(),"OVERDUE",IF(IF($F48&lt;&gt;"",$F48,$E48)-TODAY()&lt;=7,"THIS WEEK","SCHEDULED"))))))</f>
      </c>
      <c r="R48" s="78">
        <f>IF($B48="",0,IF(COUNTIF('TRADITIONS + BUCKET LIST'!$B$6:$B$85,$B48)&gt;1,1,0))</f>
      </c>
      <c r="S48" s="78">
        <f>IF(OR(N($I48)&gt;0,N($J48)&gt;0),IF($H48="",1,IF(COUNTIF('MASTER BUDGET'!$D$6:$D$25,$H48)=0,1,0)),0)</f>
      </c>
      <c r="T48" s="75"/>
    </row>
    <row r="49" ht="17" customHeight="1" spans="1:20" x14ac:dyDescent="0.25">
      <c r="A49" s="75"/>
      <c r="B49" s="79"/>
      <c r="C49" s="80"/>
      <c r="D49" s="79"/>
      <c r="E49" s="82"/>
      <c r="F49" s="82"/>
      <c r="G49" s="79"/>
      <c r="H49" s="79"/>
      <c r="I49" s="86"/>
      <c r="J49" s="86"/>
      <c r="K49" s="79"/>
      <c r="L49" s="79"/>
      <c r="M49" s="79"/>
      <c r="N49" s="80"/>
      <c r="O49" s="93">
        <f>IF($F49&lt;&gt;"",$F49,IF($E49="","",$E49))</f>
      </c>
      <c r="P49" s="93">
        <f>IF(OR($K49="Yes",$O49="",N($O49)&lt;TODAY()),"",$O49)</f>
      </c>
      <c r="Q49" s="78">
        <f>IF($B49="","",IF($K49="Yes","DONE",IF(FALSE,"COMPLETE",IF(IF($F49&lt;&gt;"",$F49,$E49)="","NO DATE",IF(IF($F49&lt;&gt;"",$F49,$E49)&lt;TODAY(),"OVERDUE",IF(IF($F49&lt;&gt;"",$F49,$E49)-TODAY()&lt;=7,"THIS WEEK","SCHEDULED"))))))</f>
      </c>
      <c r="R49" s="78">
        <f>IF($B49="",0,IF(COUNTIF('TRADITIONS + BUCKET LIST'!$B$6:$B$85,$B49)&gt;1,1,0))</f>
      </c>
      <c r="S49" s="78">
        <f>IF(OR(N($I49)&gt;0,N($J49)&gt;0),IF($H49="",1,IF(COUNTIF('MASTER BUDGET'!$D$6:$D$25,$H49)=0,1,0)),0)</f>
      </c>
      <c r="T49" s="75"/>
    </row>
    <row r="50" ht="17" customHeight="1" spans="1:20" x14ac:dyDescent="0.25">
      <c r="A50" s="75"/>
      <c r="B50" s="79"/>
      <c r="C50" s="80"/>
      <c r="D50" s="79"/>
      <c r="E50" s="82"/>
      <c r="F50" s="82"/>
      <c r="G50" s="79"/>
      <c r="H50" s="79"/>
      <c r="I50" s="86"/>
      <c r="J50" s="86"/>
      <c r="K50" s="79"/>
      <c r="L50" s="79"/>
      <c r="M50" s="79"/>
      <c r="N50" s="80"/>
      <c r="O50" s="93">
        <f>IF($F50&lt;&gt;"",$F50,IF($E50="","",$E50))</f>
      </c>
      <c r="P50" s="93">
        <f>IF(OR($K50="Yes",$O50="",N($O50)&lt;TODAY()),"",$O50)</f>
      </c>
      <c r="Q50" s="78">
        <f>IF($B50="","",IF($K50="Yes","DONE",IF(FALSE,"COMPLETE",IF(IF($F50&lt;&gt;"",$F50,$E50)="","NO DATE",IF(IF($F50&lt;&gt;"",$F50,$E50)&lt;TODAY(),"OVERDUE",IF(IF($F50&lt;&gt;"",$F50,$E50)-TODAY()&lt;=7,"THIS WEEK","SCHEDULED"))))))</f>
      </c>
      <c r="R50" s="78">
        <f>IF($B50="",0,IF(COUNTIF('TRADITIONS + BUCKET LIST'!$B$6:$B$85,$B50)&gt;1,1,0))</f>
      </c>
      <c r="S50" s="78">
        <f>IF(OR(N($I50)&gt;0,N($J50)&gt;0),IF($H50="",1,IF(COUNTIF('MASTER BUDGET'!$D$6:$D$25,$H50)=0,1,0)),0)</f>
      </c>
      <c r="T50" s="75"/>
    </row>
    <row r="51" ht="17" customHeight="1" spans="1:20" x14ac:dyDescent="0.25">
      <c r="A51" s="75"/>
      <c r="B51" s="79"/>
      <c r="C51" s="80"/>
      <c r="D51" s="79"/>
      <c r="E51" s="82"/>
      <c r="F51" s="82"/>
      <c r="G51" s="79"/>
      <c r="H51" s="79"/>
      <c r="I51" s="86"/>
      <c r="J51" s="86"/>
      <c r="K51" s="79"/>
      <c r="L51" s="79"/>
      <c r="M51" s="79"/>
      <c r="N51" s="80"/>
      <c r="O51" s="93">
        <f>IF($F51&lt;&gt;"",$F51,IF($E51="","",$E51))</f>
      </c>
      <c r="P51" s="93">
        <f>IF(OR($K51="Yes",$O51="",N($O51)&lt;TODAY()),"",$O51)</f>
      </c>
      <c r="Q51" s="78">
        <f>IF($B51="","",IF($K51="Yes","DONE",IF(FALSE,"COMPLETE",IF(IF($F51&lt;&gt;"",$F51,$E51)="","NO DATE",IF(IF($F51&lt;&gt;"",$F51,$E51)&lt;TODAY(),"OVERDUE",IF(IF($F51&lt;&gt;"",$F51,$E51)-TODAY()&lt;=7,"THIS WEEK","SCHEDULED"))))))</f>
      </c>
      <c r="R51" s="78">
        <f>IF($B51="",0,IF(COUNTIF('TRADITIONS + BUCKET LIST'!$B$6:$B$85,$B51)&gt;1,1,0))</f>
      </c>
      <c r="S51" s="78">
        <f>IF(OR(N($I51)&gt;0,N($J51)&gt;0),IF($H51="",1,IF(COUNTIF('MASTER BUDGET'!$D$6:$D$25,$H51)=0,1,0)),0)</f>
      </c>
      <c r="T51" s="75"/>
    </row>
    <row r="52" ht="17" customHeight="1" spans="1:20" x14ac:dyDescent="0.25">
      <c r="A52" s="75"/>
      <c r="B52" s="79"/>
      <c r="C52" s="80"/>
      <c r="D52" s="79"/>
      <c r="E52" s="82"/>
      <c r="F52" s="82"/>
      <c r="G52" s="79"/>
      <c r="H52" s="79"/>
      <c r="I52" s="86"/>
      <c r="J52" s="86"/>
      <c r="K52" s="79"/>
      <c r="L52" s="79"/>
      <c r="M52" s="79"/>
      <c r="N52" s="80"/>
      <c r="O52" s="93">
        <f>IF($F52&lt;&gt;"",$F52,IF($E52="","",$E52))</f>
      </c>
      <c r="P52" s="93">
        <f>IF(OR($K52="Yes",$O52="",N($O52)&lt;TODAY()),"",$O52)</f>
      </c>
      <c r="Q52" s="78">
        <f>IF($B52="","",IF($K52="Yes","DONE",IF(FALSE,"COMPLETE",IF(IF($F52&lt;&gt;"",$F52,$E52)="","NO DATE",IF(IF($F52&lt;&gt;"",$F52,$E52)&lt;TODAY(),"OVERDUE",IF(IF($F52&lt;&gt;"",$F52,$E52)-TODAY()&lt;=7,"THIS WEEK","SCHEDULED"))))))</f>
      </c>
      <c r="R52" s="78">
        <f>IF($B52="",0,IF(COUNTIF('TRADITIONS + BUCKET LIST'!$B$6:$B$85,$B52)&gt;1,1,0))</f>
      </c>
      <c r="S52" s="78">
        <f>IF(OR(N($I52)&gt;0,N($J52)&gt;0),IF($H52="",1,IF(COUNTIF('MASTER BUDGET'!$D$6:$D$25,$H52)=0,1,0)),0)</f>
      </c>
      <c r="T52" s="75"/>
    </row>
    <row r="53" ht="17" customHeight="1" spans="1:20" x14ac:dyDescent="0.25">
      <c r="A53" s="75"/>
      <c r="B53" s="79"/>
      <c r="C53" s="80"/>
      <c r="D53" s="79"/>
      <c r="E53" s="82"/>
      <c r="F53" s="82"/>
      <c r="G53" s="79"/>
      <c r="H53" s="79"/>
      <c r="I53" s="86"/>
      <c r="J53" s="86"/>
      <c r="K53" s="79"/>
      <c r="L53" s="79"/>
      <c r="M53" s="79"/>
      <c r="N53" s="80"/>
      <c r="O53" s="93">
        <f>IF($F53&lt;&gt;"",$F53,IF($E53="","",$E53))</f>
      </c>
      <c r="P53" s="93">
        <f>IF(OR($K53="Yes",$O53="",N($O53)&lt;TODAY()),"",$O53)</f>
      </c>
      <c r="Q53" s="78">
        <f>IF($B53="","",IF($K53="Yes","DONE",IF(FALSE,"COMPLETE",IF(IF($F53&lt;&gt;"",$F53,$E53)="","NO DATE",IF(IF($F53&lt;&gt;"",$F53,$E53)&lt;TODAY(),"OVERDUE",IF(IF($F53&lt;&gt;"",$F53,$E53)-TODAY()&lt;=7,"THIS WEEK","SCHEDULED"))))))</f>
      </c>
      <c r="R53" s="78">
        <f>IF($B53="",0,IF(COUNTIF('TRADITIONS + BUCKET LIST'!$B$6:$B$85,$B53)&gt;1,1,0))</f>
      </c>
      <c r="S53" s="78">
        <f>IF(OR(N($I53)&gt;0,N($J53)&gt;0),IF($H53="",1,IF(COUNTIF('MASTER BUDGET'!$D$6:$D$25,$H53)=0,1,0)),0)</f>
      </c>
      <c r="T53" s="75"/>
    </row>
    <row r="54" ht="17" customHeight="1" spans="1:20" x14ac:dyDescent="0.25">
      <c r="A54" s="75"/>
      <c r="B54" s="79"/>
      <c r="C54" s="80"/>
      <c r="D54" s="79"/>
      <c r="E54" s="82"/>
      <c r="F54" s="82"/>
      <c r="G54" s="79"/>
      <c r="H54" s="79"/>
      <c r="I54" s="86"/>
      <c r="J54" s="86"/>
      <c r="K54" s="79"/>
      <c r="L54" s="79"/>
      <c r="M54" s="79"/>
      <c r="N54" s="80"/>
      <c r="O54" s="93">
        <f>IF($F54&lt;&gt;"",$F54,IF($E54="","",$E54))</f>
      </c>
      <c r="P54" s="93">
        <f>IF(OR($K54="Yes",$O54="",N($O54)&lt;TODAY()),"",$O54)</f>
      </c>
      <c r="Q54" s="78">
        <f>IF($B54="","",IF($K54="Yes","DONE",IF(FALSE,"COMPLETE",IF(IF($F54&lt;&gt;"",$F54,$E54)="","NO DATE",IF(IF($F54&lt;&gt;"",$F54,$E54)&lt;TODAY(),"OVERDUE",IF(IF($F54&lt;&gt;"",$F54,$E54)-TODAY()&lt;=7,"THIS WEEK","SCHEDULED"))))))</f>
      </c>
      <c r="R54" s="78">
        <f>IF($B54="",0,IF(COUNTIF('TRADITIONS + BUCKET LIST'!$B$6:$B$85,$B54)&gt;1,1,0))</f>
      </c>
      <c r="S54" s="78">
        <f>IF(OR(N($I54)&gt;0,N($J54)&gt;0),IF($H54="",1,IF(COUNTIF('MASTER BUDGET'!$D$6:$D$25,$H54)=0,1,0)),0)</f>
      </c>
      <c r="T54" s="75"/>
    </row>
    <row r="55" ht="17" customHeight="1" spans="1:20" x14ac:dyDescent="0.25">
      <c r="A55" s="75"/>
      <c r="B55" s="79"/>
      <c r="C55" s="80"/>
      <c r="D55" s="79"/>
      <c r="E55" s="82"/>
      <c r="F55" s="82"/>
      <c r="G55" s="79"/>
      <c r="H55" s="79"/>
      <c r="I55" s="86"/>
      <c r="J55" s="86"/>
      <c r="K55" s="79"/>
      <c r="L55" s="79"/>
      <c r="M55" s="79"/>
      <c r="N55" s="80"/>
      <c r="O55" s="93">
        <f>IF($F55&lt;&gt;"",$F55,IF($E55="","",$E55))</f>
      </c>
      <c r="P55" s="93">
        <f>IF(OR($K55="Yes",$O55="",N($O55)&lt;TODAY()),"",$O55)</f>
      </c>
      <c r="Q55" s="78">
        <f>IF($B55="","",IF($K55="Yes","DONE",IF(FALSE,"COMPLETE",IF(IF($F55&lt;&gt;"",$F55,$E55)="","NO DATE",IF(IF($F55&lt;&gt;"",$F55,$E55)&lt;TODAY(),"OVERDUE",IF(IF($F55&lt;&gt;"",$F55,$E55)-TODAY()&lt;=7,"THIS WEEK","SCHEDULED"))))))</f>
      </c>
      <c r="R55" s="78">
        <f>IF($B55="",0,IF(COUNTIF('TRADITIONS + BUCKET LIST'!$B$6:$B$85,$B55)&gt;1,1,0))</f>
      </c>
      <c r="S55" s="78">
        <f>IF(OR(N($I55)&gt;0,N($J55)&gt;0),IF($H55="",1,IF(COUNTIF('MASTER BUDGET'!$D$6:$D$25,$H55)=0,1,0)),0)</f>
      </c>
      <c r="T55" s="75"/>
    </row>
    <row r="56" ht="17" customHeight="1" spans="1:20" x14ac:dyDescent="0.25">
      <c r="A56" s="75"/>
      <c r="B56" s="79"/>
      <c r="C56" s="80"/>
      <c r="D56" s="79"/>
      <c r="E56" s="82"/>
      <c r="F56" s="82"/>
      <c r="G56" s="79"/>
      <c r="H56" s="79"/>
      <c r="I56" s="86"/>
      <c r="J56" s="86"/>
      <c r="K56" s="79"/>
      <c r="L56" s="79"/>
      <c r="M56" s="79"/>
      <c r="N56" s="80"/>
      <c r="O56" s="93">
        <f>IF($F56&lt;&gt;"",$F56,IF($E56="","",$E56))</f>
      </c>
      <c r="P56" s="93">
        <f>IF(OR($K56="Yes",$O56="",N($O56)&lt;TODAY()),"",$O56)</f>
      </c>
      <c r="Q56" s="78">
        <f>IF($B56="","",IF($K56="Yes","DONE",IF(FALSE,"COMPLETE",IF(IF($F56&lt;&gt;"",$F56,$E56)="","NO DATE",IF(IF($F56&lt;&gt;"",$F56,$E56)&lt;TODAY(),"OVERDUE",IF(IF($F56&lt;&gt;"",$F56,$E56)-TODAY()&lt;=7,"THIS WEEK","SCHEDULED"))))))</f>
      </c>
      <c r="R56" s="78">
        <f>IF($B56="",0,IF(COUNTIF('TRADITIONS + BUCKET LIST'!$B$6:$B$85,$B56)&gt;1,1,0))</f>
      </c>
      <c r="S56" s="78">
        <f>IF(OR(N($I56)&gt;0,N($J56)&gt;0),IF($H56="",1,IF(COUNTIF('MASTER BUDGET'!$D$6:$D$25,$H56)=0,1,0)),0)</f>
      </c>
      <c r="T56" s="75"/>
    </row>
    <row r="57" ht="17" customHeight="1" spans="1:20" x14ac:dyDescent="0.25">
      <c r="A57" s="75"/>
      <c r="B57" s="79"/>
      <c r="C57" s="80"/>
      <c r="D57" s="79"/>
      <c r="E57" s="82"/>
      <c r="F57" s="82"/>
      <c r="G57" s="79"/>
      <c r="H57" s="79"/>
      <c r="I57" s="86"/>
      <c r="J57" s="86"/>
      <c r="K57" s="79"/>
      <c r="L57" s="79"/>
      <c r="M57" s="79"/>
      <c r="N57" s="80"/>
      <c r="O57" s="93">
        <f>IF($F57&lt;&gt;"",$F57,IF($E57="","",$E57))</f>
      </c>
      <c r="P57" s="93">
        <f>IF(OR($K57="Yes",$O57="",N($O57)&lt;TODAY()),"",$O57)</f>
      </c>
      <c r="Q57" s="78">
        <f>IF($B57="","",IF($K57="Yes","DONE",IF(FALSE,"COMPLETE",IF(IF($F57&lt;&gt;"",$F57,$E57)="","NO DATE",IF(IF($F57&lt;&gt;"",$F57,$E57)&lt;TODAY(),"OVERDUE",IF(IF($F57&lt;&gt;"",$F57,$E57)-TODAY()&lt;=7,"THIS WEEK","SCHEDULED"))))))</f>
      </c>
      <c r="R57" s="78">
        <f>IF($B57="",0,IF(COUNTIF('TRADITIONS + BUCKET LIST'!$B$6:$B$85,$B57)&gt;1,1,0))</f>
      </c>
      <c r="S57" s="78">
        <f>IF(OR(N($I57)&gt;0,N($J57)&gt;0),IF($H57="",1,IF(COUNTIF('MASTER BUDGET'!$D$6:$D$25,$H57)=0,1,0)),0)</f>
      </c>
      <c r="T57" s="75"/>
    </row>
    <row r="58" ht="17" customHeight="1" spans="1:20" x14ac:dyDescent="0.25">
      <c r="A58" s="75"/>
      <c r="B58" s="79"/>
      <c r="C58" s="80"/>
      <c r="D58" s="79"/>
      <c r="E58" s="82"/>
      <c r="F58" s="82"/>
      <c r="G58" s="79"/>
      <c r="H58" s="79"/>
      <c r="I58" s="86"/>
      <c r="J58" s="86"/>
      <c r="K58" s="79"/>
      <c r="L58" s="79"/>
      <c r="M58" s="79"/>
      <c r="N58" s="80"/>
      <c r="O58" s="93">
        <f>IF($F58&lt;&gt;"",$F58,IF($E58="","",$E58))</f>
      </c>
      <c r="P58" s="93">
        <f>IF(OR($K58="Yes",$O58="",N($O58)&lt;TODAY()),"",$O58)</f>
      </c>
      <c r="Q58" s="78">
        <f>IF($B58="","",IF($K58="Yes","DONE",IF(FALSE,"COMPLETE",IF(IF($F58&lt;&gt;"",$F58,$E58)="","NO DATE",IF(IF($F58&lt;&gt;"",$F58,$E58)&lt;TODAY(),"OVERDUE",IF(IF($F58&lt;&gt;"",$F58,$E58)-TODAY()&lt;=7,"THIS WEEK","SCHEDULED"))))))</f>
      </c>
      <c r="R58" s="78">
        <f>IF($B58="",0,IF(COUNTIF('TRADITIONS + BUCKET LIST'!$B$6:$B$85,$B58)&gt;1,1,0))</f>
      </c>
      <c r="S58" s="78">
        <f>IF(OR(N($I58)&gt;0,N($J58)&gt;0),IF($H58="",1,IF(COUNTIF('MASTER BUDGET'!$D$6:$D$25,$H58)=0,1,0)),0)</f>
      </c>
      <c r="T58" s="75"/>
    </row>
    <row r="59" ht="17" customHeight="1" spans="1:20" x14ac:dyDescent="0.25">
      <c r="A59" s="75"/>
      <c r="B59" s="79"/>
      <c r="C59" s="80"/>
      <c r="D59" s="79"/>
      <c r="E59" s="82"/>
      <c r="F59" s="82"/>
      <c r="G59" s="79"/>
      <c r="H59" s="79"/>
      <c r="I59" s="86"/>
      <c r="J59" s="86"/>
      <c r="K59" s="79"/>
      <c r="L59" s="79"/>
      <c r="M59" s="79"/>
      <c r="N59" s="80"/>
      <c r="O59" s="93">
        <f>IF($F59&lt;&gt;"",$F59,IF($E59="","",$E59))</f>
      </c>
      <c r="P59" s="93">
        <f>IF(OR($K59="Yes",$O59="",N($O59)&lt;TODAY()),"",$O59)</f>
      </c>
      <c r="Q59" s="78">
        <f>IF($B59="","",IF($K59="Yes","DONE",IF(FALSE,"COMPLETE",IF(IF($F59&lt;&gt;"",$F59,$E59)="","NO DATE",IF(IF($F59&lt;&gt;"",$F59,$E59)&lt;TODAY(),"OVERDUE",IF(IF($F59&lt;&gt;"",$F59,$E59)-TODAY()&lt;=7,"THIS WEEK","SCHEDULED"))))))</f>
      </c>
      <c r="R59" s="78">
        <f>IF($B59="",0,IF(COUNTIF('TRADITIONS + BUCKET LIST'!$B$6:$B$85,$B59)&gt;1,1,0))</f>
      </c>
      <c r="S59" s="78">
        <f>IF(OR(N($I59)&gt;0,N($J59)&gt;0),IF($H59="",1,IF(COUNTIF('MASTER BUDGET'!$D$6:$D$25,$H59)=0,1,0)),0)</f>
      </c>
      <c r="T59" s="75"/>
    </row>
    <row r="60" ht="17" customHeight="1" spans="1:20" x14ac:dyDescent="0.25">
      <c r="A60" s="75"/>
      <c r="B60" s="79"/>
      <c r="C60" s="80"/>
      <c r="D60" s="79"/>
      <c r="E60" s="82"/>
      <c r="F60" s="82"/>
      <c r="G60" s="79"/>
      <c r="H60" s="79"/>
      <c r="I60" s="86"/>
      <c r="J60" s="86"/>
      <c r="K60" s="79"/>
      <c r="L60" s="79"/>
      <c r="M60" s="79"/>
      <c r="N60" s="80"/>
      <c r="O60" s="93">
        <f>IF($F60&lt;&gt;"",$F60,IF($E60="","",$E60))</f>
      </c>
      <c r="P60" s="93">
        <f>IF(OR($K60="Yes",$O60="",N($O60)&lt;TODAY()),"",$O60)</f>
      </c>
      <c r="Q60" s="78">
        <f>IF($B60="","",IF($K60="Yes","DONE",IF(FALSE,"COMPLETE",IF(IF($F60&lt;&gt;"",$F60,$E60)="","NO DATE",IF(IF($F60&lt;&gt;"",$F60,$E60)&lt;TODAY(),"OVERDUE",IF(IF($F60&lt;&gt;"",$F60,$E60)-TODAY()&lt;=7,"THIS WEEK","SCHEDULED"))))))</f>
      </c>
      <c r="R60" s="78">
        <f>IF($B60="",0,IF(COUNTIF('TRADITIONS + BUCKET LIST'!$B$6:$B$85,$B60)&gt;1,1,0))</f>
      </c>
      <c r="S60" s="78">
        <f>IF(OR(N($I60)&gt;0,N($J60)&gt;0),IF($H60="",1,IF(COUNTIF('MASTER BUDGET'!$D$6:$D$25,$H60)=0,1,0)),0)</f>
      </c>
      <c r="T60" s="75"/>
    </row>
    <row r="61" ht="17" customHeight="1" spans="1:20" x14ac:dyDescent="0.25">
      <c r="A61" s="75"/>
      <c r="B61" s="79"/>
      <c r="C61" s="80"/>
      <c r="D61" s="79"/>
      <c r="E61" s="82"/>
      <c r="F61" s="82"/>
      <c r="G61" s="79"/>
      <c r="H61" s="79"/>
      <c r="I61" s="86"/>
      <c r="J61" s="86"/>
      <c r="K61" s="79"/>
      <c r="L61" s="79"/>
      <c r="M61" s="79"/>
      <c r="N61" s="80"/>
      <c r="O61" s="93">
        <f>IF($F61&lt;&gt;"",$F61,IF($E61="","",$E61))</f>
      </c>
      <c r="P61" s="93">
        <f>IF(OR($K61="Yes",$O61="",N($O61)&lt;TODAY()),"",$O61)</f>
      </c>
      <c r="Q61" s="78">
        <f>IF($B61="","",IF($K61="Yes","DONE",IF(FALSE,"COMPLETE",IF(IF($F61&lt;&gt;"",$F61,$E61)="","NO DATE",IF(IF($F61&lt;&gt;"",$F61,$E61)&lt;TODAY(),"OVERDUE",IF(IF($F61&lt;&gt;"",$F61,$E61)-TODAY()&lt;=7,"THIS WEEK","SCHEDULED"))))))</f>
      </c>
      <c r="R61" s="78">
        <f>IF($B61="",0,IF(COUNTIF('TRADITIONS + BUCKET LIST'!$B$6:$B$85,$B61)&gt;1,1,0))</f>
      </c>
      <c r="S61" s="78">
        <f>IF(OR(N($I61)&gt;0,N($J61)&gt;0),IF($H61="",1,IF(COUNTIF('MASTER BUDGET'!$D$6:$D$25,$H61)=0,1,0)),0)</f>
      </c>
      <c r="T61" s="75"/>
    </row>
    <row r="62" ht="17" customHeight="1" spans="1:20" x14ac:dyDescent="0.25">
      <c r="A62" s="75"/>
      <c r="B62" s="79"/>
      <c r="C62" s="80"/>
      <c r="D62" s="79"/>
      <c r="E62" s="82"/>
      <c r="F62" s="82"/>
      <c r="G62" s="79"/>
      <c r="H62" s="79"/>
      <c r="I62" s="86"/>
      <c r="J62" s="86"/>
      <c r="K62" s="79"/>
      <c r="L62" s="79"/>
      <c r="M62" s="79"/>
      <c r="N62" s="80"/>
      <c r="O62" s="93">
        <f>IF($F62&lt;&gt;"",$F62,IF($E62="","",$E62))</f>
      </c>
      <c r="P62" s="93">
        <f>IF(OR($K62="Yes",$O62="",N($O62)&lt;TODAY()),"",$O62)</f>
      </c>
      <c r="Q62" s="78">
        <f>IF($B62="","",IF($K62="Yes","DONE",IF(FALSE,"COMPLETE",IF(IF($F62&lt;&gt;"",$F62,$E62)="","NO DATE",IF(IF($F62&lt;&gt;"",$F62,$E62)&lt;TODAY(),"OVERDUE",IF(IF($F62&lt;&gt;"",$F62,$E62)-TODAY()&lt;=7,"THIS WEEK","SCHEDULED"))))))</f>
      </c>
      <c r="R62" s="78">
        <f>IF($B62="",0,IF(COUNTIF('TRADITIONS + BUCKET LIST'!$B$6:$B$85,$B62)&gt;1,1,0))</f>
      </c>
      <c r="S62" s="78">
        <f>IF(OR(N($I62)&gt;0,N($J62)&gt;0),IF($H62="",1,IF(COUNTIF('MASTER BUDGET'!$D$6:$D$25,$H62)=0,1,0)),0)</f>
      </c>
      <c r="T62" s="75"/>
    </row>
    <row r="63" ht="17" customHeight="1" spans="1:20" x14ac:dyDescent="0.25">
      <c r="A63" s="75"/>
      <c r="B63" s="79"/>
      <c r="C63" s="80"/>
      <c r="D63" s="79"/>
      <c r="E63" s="82"/>
      <c r="F63" s="82"/>
      <c r="G63" s="79"/>
      <c r="H63" s="79"/>
      <c r="I63" s="86"/>
      <c r="J63" s="86"/>
      <c r="K63" s="79"/>
      <c r="L63" s="79"/>
      <c r="M63" s="79"/>
      <c r="N63" s="80"/>
      <c r="O63" s="93">
        <f>IF($F63&lt;&gt;"",$F63,IF($E63="","",$E63))</f>
      </c>
      <c r="P63" s="93">
        <f>IF(OR($K63="Yes",$O63="",N($O63)&lt;TODAY()),"",$O63)</f>
      </c>
      <c r="Q63" s="78">
        <f>IF($B63="","",IF($K63="Yes","DONE",IF(FALSE,"COMPLETE",IF(IF($F63&lt;&gt;"",$F63,$E63)="","NO DATE",IF(IF($F63&lt;&gt;"",$F63,$E63)&lt;TODAY(),"OVERDUE",IF(IF($F63&lt;&gt;"",$F63,$E63)-TODAY()&lt;=7,"THIS WEEK","SCHEDULED"))))))</f>
      </c>
      <c r="R63" s="78">
        <f>IF($B63="",0,IF(COUNTIF('TRADITIONS + BUCKET LIST'!$B$6:$B$85,$B63)&gt;1,1,0))</f>
      </c>
      <c r="S63" s="78">
        <f>IF(OR(N($I63)&gt;0,N($J63)&gt;0),IF($H63="",1,IF(COUNTIF('MASTER BUDGET'!$D$6:$D$25,$H63)=0,1,0)),0)</f>
      </c>
      <c r="T63" s="75"/>
    </row>
    <row r="64" ht="17" customHeight="1" spans="1:20" x14ac:dyDescent="0.25">
      <c r="A64" s="75"/>
      <c r="B64" s="79"/>
      <c r="C64" s="80"/>
      <c r="D64" s="79"/>
      <c r="E64" s="82"/>
      <c r="F64" s="82"/>
      <c r="G64" s="79"/>
      <c r="H64" s="79"/>
      <c r="I64" s="86"/>
      <c r="J64" s="86"/>
      <c r="K64" s="79"/>
      <c r="L64" s="79"/>
      <c r="M64" s="79"/>
      <c r="N64" s="80"/>
      <c r="O64" s="93">
        <f>IF($F64&lt;&gt;"",$F64,IF($E64="","",$E64))</f>
      </c>
      <c r="P64" s="93">
        <f>IF(OR($K64="Yes",$O64="",N($O64)&lt;TODAY()),"",$O64)</f>
      </c>
      <c r="Q64" s="78">
        <f>IF($B64="","",IF($K64="Yes","DONE",IF(FALSE,"COMPLETE",IF(IF($F64&lt;&gt;"",$F64,$E64)="","NO DATE",IF(IF($F64&lt;&gt;"",$F64,$E64)&lt;TODAY(),"OVERDUE",IF(IF($F64&lt;&gt;"",$F64,$E64)-TODAY()&lt;=7,"THIS WEEK","SCHEDULED"))))))</f>
      </c>
      <c r="R64" s="78">
        <f>IF($B64="",0,IF(COUNTIF('TRADITIONS + BUCKET LIST'!$B$6:$B$85,$B64)&gt;1,1,0))</f>
      </c>
      <c r="S64" s="78">
        <f>IF(OR(N($I64)&gt;0,N($J64)&gt;0),IF($H64="",1,IF(COUNTIF('MASTER BUDGET'!$D$6:$D$25,$H64)=0,1,0)),0)</f>
      </c>
      <c r="T64" s="75"/>
    </row>
    <row r="65" ht="17" customHeight="1" spans="1:20" x14ac:dyDescent="0.25">
      <c r="A65" s="75"/>
      <c r="B65" s="79"/>
      <c r="C65" s="80"/>
      <c r="D65" s="79"/>
      <c r="E65" s="82"/>
      <c r="F65" s="82"/>
      <c r="G65" s="79"/>
      <c r="H65" s="79"/>
      <c r="I65" s="86"/>
      <c r="J65" s="86"/>
      <c r="K65" s="79"/>
      <c r="L65" s="79"/>
      <c r="M65" s="79"/>
      <c r="N65" s="80"/>
      <c r="O65" s="93">
        <f>IF($F65&lt;&gt;"",$F65,IF($E65="","",$E65))</f>
      </c>
      <c r="P65" s="93">
        <f>IF(OR($K65="Yes",$O65="",N($O65)&lt;TODAY()),"",$O65)</f>
      </c>
      <c r="Q65" s="78">
        <f>IF($B65="","",IF($K65="Yes","DONE",IF(FALSE,"COMPLETE",IF(IF($F65&lt;&gt;"",$F65,$E65)="","NO DATE",IF(IF($F65&lt;&gt;"",$F65,$E65)&lt;TODAY(),"OVERDUE",IF(IF($F65&lt;&gt;"",$F65,$E65)-TODAY()&lt;=7,"THIS WEEK","SCHEDULED"))))))</f>
      </c>
      <c r="R65" s="78">
        <f>IF($B65="",0,IF(COUNTIF('TRADITIONS + BUCKET LIST'!$B$6:$B$85,$B65)&gt;1,1,0))</f>
      </c>
      <c r="S65" s="78">
        <f>IF(OR(N($I65)&gt;0,N($J65)&gt;0),IF($H65="",1,IF(COUNTIF('MASTER BUDGET'!$D$6:$D$25,$H65)=0,1,0)),0)</f>
      </c>
      <c r="T65" s="75"/>
    </row>
    <row r="66" ht="17" customHeight="1" spans="1:20" x14ac:dyDescent="0.25">
      <c r="A66" s="75"/>
      <c r="B66" s="79"/>
      <c r="C66" s="80"/>
      <c r="D66" s="79"/>
      <c r="E66" s="82"/>
      <c r="F66" s="82"/>
      <c r="G66" s="79"/>
      <c r="H66" s="79"/>
      <c r="I66" s="86"/>
      <c r="J66" s="86"/>
      <c r="K66" s="79"/>
      <c r="L66" s="79"/>
      <c r="M66" s="79"/>
      <c r="N66" s="80"/>
      <c r="O66" s="93">
        <f>IF($F66&lt;&gt;"",$F66,IF($E66="","",$E66))</f>
      </c>
      <c r="P66" s="93">
        <f>IF(OR($K66="Yes",$O66="",N($O66)&lt;TODAY()),"",$O66)</f>
      </c>
      <c r="Q66" s="78">
        <f>IF($B66="","",IF($K66="Yes","DONE",IF(FALSE,"COMPLETE",IF(IF($F66&lt;&gt;"",$F66,$E66)="","NO DATE",IF(IF($F66&lt;&gt;"",$F66,$E66)&lt;TODAY(),"OVERDUE",IF(IF($F66&lt;&gt;"",$F66,$E66)-TODAY()&lt;=7,"THIS WEEK","SCHEDULED"))))))</f>
      </c>
      <c r="R66" s="78">
        <f>IF($B66="",0,IF(COUNTIF('TRADITIONS + BUCKET LIST'!$B$6:$B$85,$B66)&gt;1,1,0))</f>
      </c>
      <c r="S66" s="78">
        <f>IF(OR(N($I66)&gt;0,N($J66)&gt;0),IF($H66="",1,IF(COUNTIF('MASTER BUDGET'!$D$6:$D$25,$H66)=0,1,0)),0)</f>
      </c>
      <c r="T66" s="75"/>
    </row>
    <row r="67" ht="17" customHeight="1" spans="1:20" x14ac:dyDescent="0.25">
      <c r="A67" s="75"/>
      <c r="B67" s="79"/>
      <c r="C67" s="80"/>
      <c r="D67" s="79"/>
      <c r="E67" s="82"/>
      <c r="F67" s="82"/>
      <c r="G67" s="79"/>
      <c r="H67" s="79"/>
      <c r="I67" s="86"/>
      <c r="J67" s="86"/>
      <c r="K67" s="79"/>
      <c r="L67" s="79"/>
      <c r="M67" s="79"/>
      <c r="N67" s="80"/>
      <c r="O67" s="93">
        <f>IF($F67&lt;&gt;"",$F67,IF($E67="","",$E67))</f>
      </c>
      <c r="P67" s="93">
        <f>IF(OR($K67="Yes",$O67="",N($O67)&lt;TODAY()),"",$O67)</f>
      </c>
      <c r="Q67" s="78">
        <f>IF($B67="","",IF($K67="Yes","DONE",IF(FALSE,"COMPLETE",IF(IF($F67&lt;&gt;"",$F67,$E67)="","NO DATE",IF(IF($F67&lt;&gt;"",$F67,$E67)&lt;TODAY(),"OVERDUE",IF(IF($F67&lt;&gt;"",$F67,$E67)-TODAY()&lt;=7,"THIS WEEK","SCHEDULED"))))))</f>
      </c>
      <c r="R67" s="78">
        <f>IF($B67="",0,IF(COUNTIF('TRADITIONS + BUCKET LIST'!$B$6:$B$85,$B67)&gt;1,1,0))</f>
      </c>
      <c r="S67" s="78">
        <f>IF(OR(N($I67)&gt;0,N($J67)&gt;0),IF($H67="",1,IF(COUNTIF('MASTER BUDGET'!$D$6:$D$25,$H67)=0,1,0)),0)</f>
      </c>
      <c r="T67" s="75"/>
    </row>
    <row r="68" ht="17" customHeight="1" spans="1:20" x14ac:dyDescent="0.25">
      <c r="A68" s="75"/>
      <c r="B68" s="79"/>
      <c r="C68" s="80"/>
      <c r="D68" s="79"/>
      <c r="E68" s="82"/>
      <c r="F68" s="82"/>
      <c r="G68" s="79"/>
      <c r="H68" s="79"/>
      <c r="I68" s="86"/>
      <c r="J68" s="86"/>
      <c r="K68" s="79"/>
      <c r="L68" s="79"/>
      <c r="M68" s="79"/>
      <c r="N68" s="80"/>
      <c r="O68" s="93">
        <f>IF($F68&lt;&gt;"",$F68,IF($E68="","",$E68))</f>
      </c>
      <c r="P68" s="93">
        <f>IF(OR($K68="Yes",$O68="",N($O68)&lt;TODAY()),"",$O68)</f>
      </c>
      <c r="Q68" s="78">
        <f>IF($B68="","",IF($K68="Yes","DONE",IF(FALSE,"COMPLETE",IF(IF($F68&lt;&gt;"",$F68,$E68)="","NO DATE",IF(IF($F68&lt;&gt;"",$F68,$E68)&lt;TODAY(),"OVERDUE",IF(IF($F68&lt;&gt;"",$F68,$E68)-TODAY()&lt;=7,"THIS WEEK","SCHEDULED"))))))</f>
      </c>
      <c r="R68" s="78">
        <f>IF($B68="",0,IF(COUNTIF('TRADITIONS + BUCKET LIST'!$B$6:$B$85,$B68)&gt;1,1,0))</f>
      </c>
      <c r="S68" s="78">
        <f>IF(OR(N($I68)&gt;0,N($J68)&gt;0),IF($H68="",1,IF(COUNTIF('MASTER BUDGET'!$D$6:$D$25,$H68)=0,1,0)),0)</f>
      </c>
      <c r="T68" s="75"/>
    </row>
    <row r="69" ht="17" customHeight="1" spans="1:20" x14ac:dyDescent="0.25">
      <c r="A69" s="75"/>
      <c r="B69" s="79"/>
      <c r="C69" s="80"/>
      <c r="D69" s="79"/>
      <c r="E69" s="82"/>
      <c r="F69" s="82"/>
      <c r="G69" s="79"/>
      <c r="H69" s="79"/>
      <c r="I69" s="86"/>
      <c r="J69" s="86"/>
      <c r="K69" s="79"/>
      <c r="L69" s="79"/>
      <c r="M69" s="79"/>
      <c r="N69" s="80"/>
      <c r="O69" s="93">
        <f>IF($F69&lt;&gt;"",$F69,IF($E69="","",$E69))</f>
      </c>
      <c r="P69" s="93">
        <f>IF(OR($K69="Yes",$O69="",N($O69)&lt;TODAY()),"",$O69)</f>
      </c>
      <c r="Q69" s="78">
        <f>IF($B69="","",IF($K69="Yes","DONE",IF(FALSE,"COMPLETE",IF(IF($F69&lt;&gt;"",$F69,$E69)="","NO DATE",IF(IF($F69&lt;&gt;"",$F69,$E69)&lt;TODAY(),"OVERDUE",IF(IF($F69&lt;&gt;"",$F69,$E69)-TODAY()&lt;=7,"THIS WEEK","SCHEDULED"))))))</f>
      </c>
      <c r="R69" s="78">
        <f>IF($B69="",0,IF(COUNTIF('TRADITIONS + BUCKET LIST'!$B$6:$B$85,$B69)&gt;1,1,0))</f>
      </c>
      <c r="S69" s="78">
        <f>IF(OR(N($I69)&gt;0,N($J69)&gt;0),IF($H69="",1,IF(COUNTIF('MASTER BUDGET'!$D$6:$D$25,$H69)=0,1,0)),0)</f>
      </c>
      <c r="T69" s="75"/>
    </row>
    <row r="70" ht="17" customHeight="1" spans="1:20" x14ac:dyDescent="0.25">
      <c r="A70" s="75"/>
      <c r="B70" s="79"/>
      <c r="C70" s="80"/>
      <c r="D70" s="79"/>
      <c r="E70" s="82"/>
      <c r="F70" s="82"/>
      <c r="G70" s="79"/>
      <c r="H70" s="79"/>
      <c r="I70" s="86"/>
      <c r="J70" s="86"/>
      <c r="K70" s="79"/>
      <c r="L70" s="79"/>
      <c r="M70" s="79"/>
      <c r="N70" s="80"/>
      <c r="O70" s="93">
        <f>IF($F70&lt;&gt;"",$F70,IF($E70="","",$E70))</f>
      </c>
      <c r="P70" s="93">
        <f>IF(OR($K70="Yes",$O70="",N($O70)&lt;TODAY()),"",$O70)</f>
      </c>
      <c r="Q70" s="78">
        <f>IF($B70="","",IF($K70="Yes","DONE",IF(FALSE,"COMPLETE",IF(IF($F70&lt;&gt;"",$F70,$E70)="","NO DATE",IF(IF($F70&lt;&gt;"",$F70,$E70)&lt;TODAY(),"OVERDUE",IF(IF($F70&lt;&gt;"",$F70,$E70)-TODAY()&lt;=7,"THIS WEEK","SCHEDULED"))))))</f>
      </c>
      <c r="R70" s="78">
        <f>IF($B70="",0,IF(COUNTIF('TRADITIONS + BUCKET LIST'!$B$6:$B$85,$B70)&gt;1,1,0))</f>
      </c>
      <c r="S70" s="78">
        <f>IF(OR(N($I70)&gt;0,N($J70)&gt;0),IF($H70="",1,IF(COUNTIF('MASTER BUDGET'!$D$6:$D$25,$H70)=0,1,0)),0)</f>
      </c>
      <c r="T70" s="75"/>
    </row>
    <row r="71" ht="17" customHeight="1" spans="1:20" x14ac:dyDescent="0.25">
      <c r="A71" s="75"/>
      <c r="B71" s="79"/>
      <c r="C71" s="80"/>
      <c r="D71" s="79"/>
      <c r="E71" s="82"/>
      <c r="F71" s="82"/>
      <c r="G71" s="79"/>
      <c r="H71" s="79"/>
      <c r="I71" s="86"/>
      <c r="J71" s="86"/>
      <c r="K71" s="79"/>
      <c r="L71" s="79"/>
      <c r="M71" s="79"/>
      <c r="N71" s="80"/>
      <c r="O71" s="93">
        <f>IF($F71&lt;&gt;"",$F71,IF($E71="","",$E71))</f>
      </c>
      <c r="P71" s="93">
        <f>IF(OR($K71="Yes",$O71="",N($O71)&lt;TODAY()),"",$O71)</f>
      </c>
      <c r="Q71" s="78">
        <f>IF($B71="","",IF($K71="Yes","DONE",IF(FALSE,"COMPLETE",IF(IF($F71&lt;&gt;"",$F71,$E71)="","NO DATE",IF(IF($F71&lt;&gt;"",$F71,$E71)&lt;TODAY(),"OVERDUE",IF(IF($F71&lt;&gt;"",$F71,$E71)-TODAY()&lt;=7,"THIS WEEK","SCHEDULED"))))))</f>
      </c>
      <c r="R71" s="78">
        <f>IF($B71="",0,IF(COUNTIF('TRADITIONS + BUCKET LIST'!$B$6:$B$85,$B71)&gt;1,1,0))</f>
      </c>
      <c r="S71" s="78">
        <f>IF(OR(N($I71)&gt;0,N($J71)&gt;0),IF($H71="",1,IF(COUNTIF('MASTER BUDGET'!$D$6:$D$25,$H71)=0,1,0)),0)</f>
      </c>
      <c r="T71" s="75"/>
    </row>
    <row r="72" ht="17" customHeight="1" spans="1:20" x14ac:dyDescent="0.25">
      <c r="A72" s="75"/>
      <c r="B72" s="79"/>
      <c r="C72" s="80"/>
      <c r="D72" s="79"/>
      <c r="E72" s="82"/>
      <c r="F72" s="82"/>
      <c r="G72" s="79"/>
      <c r="H72" s="79"/>
      <c r="I72" s="86"/>
      <c r="J72" s="86"/>
      <c r="K72" s="79"/>
      <c r="L72" s="79"/>
      <c r="M72" s="79"/>
      <c r="N72" s="80"/>
      <c r="O72" s="93">
        <f>IF($F72&lt;&gt;"",$F72,IF($E72="","",$E72))</f>
      </c>
      <c r="P72" s="93">
        <f>IF(OR($K72="Yes",$O72="",N($O72)&lt;TODAY()),"",$O72)</f>
      </c>
      <c r="Q72" s="78">
        <f>IF($B72="","",IF($K72="Yes","DONE",IF(FALSE,"COMPLETE",IF(IF($F72&lt;&gt;"",$F72,$E72)="","NO DATE",IF(IF($F72&lt;&gt;"",$F72,$E72)&lt;TODAY(),"OVERDUE",IF(IF($F72&lt;&gt;"",$F72,$E72)-TODAY()&lt;=7,"THIS WEEK","SCHEDULED"))))))</f>
      </c>
      <c r="R72" s="78">
        <f>IF($B72="",0,IF(COUNTIF('TRADITIONS + BUCKET LIST'!$B$6:$B$85,$B72)&gt;1,1,0))</f>
      </c>
      <c r="S72" s="78">
        <f>IF(OR(N($I72)&gt;0,N($J72)&gt;0),IF($H72="",1,IF(COUNTIF('MASTER BUDGET'!$D$6:$D$25,$H72)=0,1,0)),0)</f>
      </c>
      <c r="T72" s="75"/>
    </row>
    <row r="73" ht="17" customHeight="1" spans="1:20" x14ac:dyDescent="0.25">
      <c r="A73" s="75"/>
      <c r="B73" s="79"/>
      <c r="C73" s="80"/>
      <c r="D73" s="79"/>
      <c r="E73" s="82"/>
      <c r="F73" s="82"/>
      <c r="G73" s="79"/>
      <c r="H73" s="79"/>
      <c r="I73" s="86"/>
      <c r="J73" s="86"/>
      <c r="K73" s="79"/>
      <c r="L73" s="79"/>
      <c r="M73" s="79"/>
      <c r="N73" s="80"/>
      <c r="O73" s="93">
        <f>IF($F73&lt;&gt;"",$F73,IF($E73="","",$E73))</f>
      </c>
      <c r="P73" s="93">
        <f>IF(OR($K73="Yes",$O73="",N($O73)&lt;TODAY()),"",$O73)</f>
      </c>
      <c r="Q73" s="78">
        <f>IF($B73="","",IF($K73="Yes","DONE",IF(FALSE,"COMPLETE",IF(IF($F73&lt;&gt;"",$F73,$E73)="","NO DATE",IF(IF($F73&lt;&gt;"",$F73,$E73)&lt;TODAY(),"OVERDUE",IF(IF($F73&lt;&gt;"",$F73,$E73)-TODAY()&lt;=7,"THIS WEEK","SCHEDULED"))))))</f>
      </c>
      <c r="R73" s="78">
        <f>IF($B73="",0,IF(COUNTIF('TRADITIONS + BUCKET LIST'!$B$6:$B$85,$B73)&gt;1,1,0))</f>
      </c>
      <c r="S73" s="78">
        <f>IF(OR(N($I73)&gt;0,N($J73)&gt;0),IF($H73="",1,IF(COUNTIF('MASTER BUDGET'!$D$6:$D$25,$H73)=0,1,0)),0)</f>
      </c>
      <c r="T73" s="75"/>
    </row>
    <row r="74" ht="17" customHeight="1" spans="1:20" x14ac:dyDescent="0.25">
      <c r="A74" s="75"/>
      <c r="B74" s="79"/>
      <c r="C74" s="80"/>
      <c r="D74" s="79"/>
      <c r="E74" s="82"/>
      <c r="F74" s="82"/>
      <c r="G74" s="79"/>
      <c r="H74" s="79"/>
      <c r="I74" s="86"/>
      <c r="J74" s="86"/>
      <c r="K74" s="79"/>
      <c r="L74" s="79"/>
      <c r="M74" s="79"/>
      <c r="N74" s="80"/>
      <c r="O74" s="93">
        <f>IF($F74&lt;&gt;"",$F74,IF($E74="","",$E74))</f>
      </c>
      <c r="P74" s="93">
        <f>IF(OR($K74="Yes",$O74="",N($O74)&lt;TODAY()),"",$O74)</f>
      </c>
      <c r="Q74" s="78">
        <f>IF($B74="","",IF($K74="Yes","DONE",IF(FALSE,"COMPLETE",IF(IF($F74&lt;&gt;"",$F74,$E74)="","NO DATE",IF(IF($F74&lt;&gt;"",$F74,$E74)&lt;TODAY(),"OVERDUE",IF(IF($F74&lt;&gt;"",$F74,$E74)-TODAY()&lt;=7,"THIS WEEK","SCHEDULED"))))))</f>
      </c>
      <c r="R74" s="78">
        <f>IF($B74="",0,IF(COUNTIF('TRADITIONS + BUCKET LIST'!$B$6:$B$85,$B74)&gt;1,1,0))</f>
      </c>
      <c r="S74" s="78">
        <f>IF(OR(N($I74)&gt;0,N($J74)&gt;0),IF($H74="",1,IF(COUNTIF('MASTER BUDGET'!$D$6:$D$25,$H74)=0,1,0)),0)</f>
      </c>
      <c r="T74" s="75"/>
    </row>
    <row r="75" ht="17" customHeight="1" spans="1:20" x14ac:dyDescent="0.25">
      <c r="A75" s="75"/>
      <c r="B75" s="79"/>
      <c r="C75" s="80"/>
      <c r="D75" s="79"/>
      <c r="E75" s="82"/>
      <c r="F75" s="82"/>
      <c r="G75" s="79"/>
      <c r="H75" s="79"/>
      <c r="I75" s="86"/>
      <c r="J75" s="86"/>
      <c r="K75" s="79"/>
      <c r="L75" s="79"/>
      <c r="M75" s="79"/>
      <c r="N75" s="80"/>
      <c r="O75" s="93">
        <f>IF($F75&lt;&gt;"",$F75,IF($E75="","",$E75))</f>
      </c>
      <c r="P75" s="93">
        <f>IF(OR($K75="Yes",$O75="",N($O75)&lt;TODAY()),"",$O75)</f>
      </c>
      <c r="Q75" s="78">
        <f>IF($B75="","",IF($K75="Yes","DONE",IF(FALSE,"COMPLETE",IF(IF($F75&lt;&gt;"",$F75,$E75)="","NO DATE",IF(IF($F75&lt;&gt;"",$F75,$E75)&lt;TODAY(),"OVERDUE",IF(IF($F75&lt;&gt;"",$F75,$E75)-TODAY()&lt;=7,"THIS WEEK","SCHEDULED"))))))</f>
      </c>
      <c r="R75" s="78">
        <f>IF($B75="",0,IF(COUNTIF('TRADITIONS + BUCKET LIST'!$B$6:$B$85,$B75)&gt;1,1,0))</f>
      </c>
      <c r="S75" s="78">
        <f>IF(OR(N($I75)&gt;0,N($J75)&gt;0),IF($H75="",1,IF(COUNTIF('MASTER BUDGET'!$D$6:$D$25,$H75)=0,1,0)),0)</f>
      </c>
      <c r="T75" s="75"/>
    </row>
    <row r="76" ht="17" customHeight="1" spans="1:20" x14ac:dyDescent="0.25">
      <c r="A76" s="75"/>
      <c r="B76" s="79"/>
      <c r="C76" s="80"/>
      <c r="D76" s="79"/>
      <c r="E76" s="82"/>
      <c r="F76" s="82"/>
      <c r="G76" s="79"/>
      <c r="H76" s="79"/>
      <c r="I76" s="86"/>
      <c r="J76" s="86"/>
      <c r="K76" s="79"/>
      <c r="L76" s="79"/>
      <c r="M76" s="79"/>
      <c r="N76" s="80"/>
      <c r="O76" s="93">
        <f>IF($F76&lt;&gt;"",$F76,IF($E76="","",$E76))</f>
      </c>
      <c r="P76" s="93">
        <f>IF(OR($K76="Yes",$O76="",N($O76)&lt;TODAY()),"",$O76)</f>
      </c>
      <c r="Q76" s="78">
        <f>IF($B76="","",IF($K76="Yes","DONE",IF(FALSE,"COMPLETE",IF(IF($F76&lt;&gt;"",$F76,$E76)="","NO DATE",IF(IF($F76&lt;&gt;"",$F76,$E76)&lt;TODAY(),"OVERDUE",IF(IF($F76&lt;&gt;"",$F76,$E76)-TODAY()&lt;=7,"THIS WEEK","SCHEDULED"))))))</f>
      </c>
      <c r="R76" s="78">
        <f>IF($B76="",0,IF(COUNTIF('TRADITIONS + BUCKET LIST'!$B$6:$B$85,$B76)&gt;1,1,0))</f>
      </c>
      <c r="S76" s="78">
        <f>IF(OR(N($I76)&gt;0,N($J76)&gt;0),IF($H76="",1,IF(COUNTIF('MASTER BUDGET'!$D$6:$D$25,$H76)=0,1,0)),0)</f>
      </c>
      <c r="T76" s="75"/>
    </row>
    <row r="77" ht="17" customHeight="1" spans="1:20" x14ac:dyDescent="0.25">
      <c r="A77" s="75"/>
      <c r="B77" s="79"/>
      <c r="C77" s="80"/>
      <c r="D77" s="79"/>
      <c r="E77" s="82"/>
      <c r="F77" s="82"/>
      <c r="G77" s="79"/>
      <c r="H77" s="79"/>
      <c r="I77" s="86"/>
      <c r="J77" s="86"/>
      <c r="K77" s="79"/>
      <c r="L77" s="79"/>
      <c r="M77" s="79"/>
      <c r="N77" s="80"/>
      <c r="O77" s="93">
        <f>IF($F77&lt;&gt;"",$F77,IF($E77="","",$E77))</f>
      </c>
      <c r="P77" s="93">
        <f>IF(OR($K77="Yes",$O77="",N($O77)&lt;TODAY()),"",$O77)</f>
      </c>
      <c r="Q77" s="78">
        <f>IF($B77="","",IF($K77="Yes","DONE",IF(FALSE,"COMPLETE",IF(IF($F77&lt;&gt;"",$F77,$E77)="","NO DATE",IF(IF($F77&lt;&gt;"",$F77,$E77)&lt;TODAY(),"OVERDUE",IF(IF($F77&lt;&gt;"",$F77,$E77)-TODAY()&lt;=7,"THIS WEEK","SCHEDULED"))))))</f>
      </c>
      <c r="R77" s="78">
        <f>IF($B77="",0,IF(COUNTIF('TRADITIONS + BUCKET LIST'!$B$6:$B$85,$B77)&gt;1,1,0))</f>
      </c>
      <c r="S77" s="78">
        <f>IF(OR(N($I77)&gt;0,N($J77)&gt;0),IF($H77="",1,IF(COUNTIF('MASTER BUDGET'!$D$6:$D$25,$H77)=0,1,0)),0)</f>
      </c>
      <c r="T77" s="75"/>
    </row>
    <row r="78" ht="17" customHeight="1" spans="1:20" x14ac:dyDescent="0.25">
      <c r="A78" s="75"/>
      <c r="B78" s="79"/>
      <c r="C78" s="80"/>
      <c r="D78" s="79"/>
      <c r="E78" s="82"/>
      <c r="F78" s="82"/>
      <c r="G78" s="79"/>
      <c r="H78" s="79"/>
      <c r="I78" s="86"/>
      <c r="J78" s="86"/>
      <c r="K78" s="79"/>
      <c r="L78" s="79"/>
      <c r="M78" s="79"/>
      <c r="N78" s="80"/>
      <c r="O78" s="93">
        <f>IF($F78&lt;&gt;"",$F78,IF($E78="","",$E78))</f>
      </c>
      <c r="P78" s="93">
        <f>IF(OR($K78="Yes",$O78="",N($O78)&lt;TODAY()),"",$O78)</f>
      </c>
      <c r="Q78" s="78">
        <f>IF($B78="","",IF($K78="Yes","DONE",IF(FALSE,"COMPLETE",IF(IF($F78&lt;&gt;"",$F78,$E78)="","NO DATE",IF(IF($F78&lt;&gt;"",$F78,$E78)&lt;TODAY(),"OVERDUE",IF(IF($F78&lt;&gt;"",$F78,$E78)-TODAY()&lt;=7,"THIS WEEK","SCHEDULED"))))))</f>
      </c>
      <c r="R78" s="78">
        <f>IF($B78="",0,IF(COUNTIF('TRADITIONS + BUCKET LIST'!$B$6:$B$85,$B78)&gt;1,1,0))</f>
      </c>
      <c r="S78" s="78">
        <f>IF(OR(N($I78)&gt;0,N($J78)&gt;0),IF($H78="",1,IF(COUNTIF('MASTER BUDGET'!$D$6:$D$25,$H78)=0,1,0)),0)</f>
      </c>
      <c r="T78" s="75"/>
    </row>
    <row r="79" ht="17" customHeight="1" spans="1:20" x14ac:dyDescent="0.25">
      <c r="A79" s="75"/>
      <c r="B79" s="79"/>
      <c r="C79" s="80"/>
      <c r="D79" s="79"/>
      <c r="E79" s="82"/>
      <c r="F79" s="82"/>
      <c r="G79" s="79"/>
      <c r="H79" s="79"/>
      <c r="I79" s="86"/>
      <c r="J79" s="86"/>
      <c r="K79" s="79"/>
      <c r="L79" s="79"/>
      <c r="M79" s="79"/>
      <c r="N79" s="80"/>
      <c r="O79" s="93">
        <f>IF($F79&lt;&gt;"",$F79,IF($E79="","",$E79))</f>
      </c>
      <c r="P79" s="93">
        <f>IF(OR($K79="Yes",$O79="",N($O79)&lt;TODAY()),"",$O79)</f>
      </c>
      <c r="Q79" s="78">
        <f>IF($B79="","",IF($K79="Yes","DONE",IF(FALSE,"COMPLETE",IF(IF($F79&lt;&gt;"",$F79,$E79)="","NO DATE",IF(IF($F79&lt;&gt;"",$F79,$E79)&lt;TODAY(),"OVERDUE",IF(IF($F79&lt;&gt;"",$F79,$E79)-TODAY()&lt;=7,"THIS WEEK","SCHEDULED"))))))</f>
      </c>
      <c r="R79" s="78">
        <f>IF($B79="",0,IF(COUNTIF('TRADITIONS + BUCKET LIST'!$B$6:$B$85,$B79)&gt;1,1,0))</f>
      </c>
      <c r="S79" s="78">
        <f>IF(OR(N($I79)&gt;0,N($J79)&gt;0),IF($H79="",1,IF(COUNTIF('MASTER BUDGET'!$D$6:$D$25,$H79)=0,1,0)),0)</f>
      </c>
      <c r="T79" s="75"/>
    </row>
    <row r="80" ht="17" customHeight="1" spans="1:20" x14ac:dyDescent="0.25">
      <c r="A80" s="75"/>
      <c r="B80" s="79"/>
      <c r="C80" s="80"/>
      <c r="D80" s="79"/>
      <c r="E80" s="82"/>
      <c r="F80" s="82"/>
      <c r="G80" s="79"/>
      <c r="H80" s="79"/>
      <c r="I80" s="86"/>
      <c r="J80" s="86"/>
      <c r="K80" s="79"/>
      <c r="L80" s="79"/>
      <c r="M80" s="79"/>
      <c r="N80" s="80"/>
      <c r="O80" s="93">
        <f>IF($F80&lt;&gt;"",$F80,IF($E80="","",$E80))</f>
      </c>
      <c r="P80" s="93">
        <f>IF(OR($K80="Yes",$O80="",N($O80)&lt;TODAY()),"",$O80)</f>
      </c>
      <c r="Q80" s="78">
        <f>IF($B80="","",IF($K80="Yes","DONE",IF(FALSE,"COMPLETE",IF(IF($F80&lt;&gt;"",$F80,$E80)="","NO DATE",IF(IF($F80&lt;&gt;"",$F80,$E80)&lt;TODAY(),"OVERDUE",IF(IF($F80&lt;&gt;"",$F80,$E80)-TODAY()&lt;=7,"THIS WEEK","SCHEDULED"))))))</f>
      </c>
      <c r="R80" s="78">
        <f>IF($B80="",0,IF(COUNTIF('TRADITIONS + BUCKET LIST'!$B$6:$B$85,$B80)&gt;1,1,0))</f>
      </c>
      <c r="S80" s="78">
        <f>IF(OR(N($I80)&gt;0,N($J80)&gt;0),IF($H80="",1,IF(COUNTIF('MASTER BUDGET'!$D$6:$D$25,$H80)=0,1,0)),0)</f>
      </c>
      <c r="T80" s="75"/>
    </row>
    <row r="81" ht="17" customHeight="1" spans="1:20" x14ac:dyDescent="0.25">
      <c r="A81" s="75"/>
      <c r="B81" s="79"/>
      <c r="C81" s="80"/>
      <c r="D81" s="79"/>
      <c r="E81" s="82"/>
      <c r="F81" s="82"/>
      <c r="G81" s="79"/>
      <c r="H81" s="79"/>
      <c r="I81" s="86"/>
      <c r="J81" s="86"/>
      <c r="K81" s="79"/>
      <c r="L81" s="79"/>
      <c r="M81" s="79"/>
      <c r="N81" s="80"/>
      <c r="O81" s="93">
        <f>IF($F81&lt;&gt;"",$F81,IF($E81="","",$E81))</f>
      </c>
      <c r="P81" s="93">
        <f>IF(OR($K81="Yes",$O81="",N($O81)&lt;TODAY()),"",$O81)</f>
      </c>
      <c r="Q81" s="78">
        <f>IF($B81="","",IF($K81="Yes","DONE",IF(FALSE,"COMPLETE",IF(IF($F81&lt;&gt;"",$F81,$E81)="","NO DATE",IF(IF($F81&lt;&gt;"",$F81,$E81)&lt;TODAY(),"OVERDUE",IF(IF($F81&lt;&gt;"",$F81,$E81)-TODAY()&lt;=7,"THIS WEEK","SCHEDULED"))))))</f>
      </c>
      <c r="R81" s="78">
        <f>IF($B81="",0,IF(COUNTIF('TRADITIONS + BUCKET LIST'!$B$6:$B$85,$B81)&gt;1,1,0))</f>
      </c>
      <c r="S81" s="78">
        <f>IF(OR(N($I81)&gt;0,N($J81)&gt;0),IF($H81="",1,IF(COUNTIF('MASTER BUDGET'!$D$6:$D$25,$H81)=0,1,0)),0)</f>
      </c>
      <c r="T81" s="75"/>
    </row>
    <row r="82" ht="17" customHeight="1" spans="1:20" x14ac:dyDescent="0.25">
      <c r="A82" s="75"/>
      <c r="B82" s="79"/>
      <c r="C82" s="80"/>
      <c r="D82" s="79"/>
      <c r="E82" s="82"/>
      <c r="F82" s="82"/>
      <c r="G82" s="79"/>
      <c r="H82" s="79"/>
      <c r="I82" s="86"/>
      <c r="J82" s="86"/>
      <c r="K82" s="79"/>
      <c r="L82" s="79"/>
      <c r="M82" s="79"/>
      <c r="N82" s="80"/>
      <c r="O82" s="93">
        <f>IF($F82&lt;&gt;"",$F82,IF($E82="","",$E82))</f>
      </c>
      <c r="P82" s="93">
        <f>IF(OR($K82="Yes",$O82="",N($O82)&lt;TODAY()),"",$O82)</f>
      </c>
      <c r="Q82" s="78">
        <f>IF($B82="","",IF($K82="Yes","DONE",IF(FALSE,"COMPLETE",IF(IF($F82&lt;&gt;"",$F82,$E82)="","NO DATE",IF(IF($F82&lt;&gt;"",$F82,$E82)&lt;TODAY(),"OVERDUE",IF(IF($F82&lt;&gt;"",$F82,$E82)-TODAY()&lt;=7,"THIS WEEK","SCHEDULED"))))))</f>
      </c>
      <c r="R82" s="78">
        <f>IF($B82="",0,IF(COUNTIF('TRADITIONS + BUCKET LIST'!$B$6:$B$85,$B82)&gt;1,1,0))</f>
      </c>
      <c r="S82" s="78">
        <f>IF(OR(N($I82)&gt;0,N($J82)&gt;0),IF($H82="",1,IF(COUNTIF('MASTER BUDGET'!$D$6:$D$25,$H82)=0,1,0)),0)</f>
      </c>
      <c r="T82" s="75"/>
    </row>
    <row r="83" ht="17" customHeight="1" spans="1:20" x14ac:dyDescent="0.25">
      <c r="A83" s="75"/>
      <c r="B83" s="79"/>
      <c r="C83" s="80"/>
      <c r="D83" s="79"/>
      <c r="E83" s="82"/>
      <c r="F83" s="82"/>
      <c r="G83" s="79"/>
      <c r="H83" s="79"/>
      <c r="I83" s="86"/>
      <c r="J83" s="86"/>
      <c r="K83" s="79"/>
      <c r="L83" s="79"/>
      <c r="M83" s="79"/>
      <c r="N83" s="80"/>
      <c r="O83" s="93">
        <f>IF($F83&lt;&gt;"",$F83,IF($E83="","",$E83))</f>
      </c>
      <c r="P83" s="93">
        <f>IF(OR($K83="Yes",$O83="",N($O83)&lt;TODAY()),"",$O83)</f>
      </c>
      <c r="Q83" s="78">
        <f>IF($B83="","",IF($K83="Yes","DONE",IF(FALSE,"COMPLETE",IF(IF($F83&lt;&gt;"",$F83,$E83)="","NO DATE",IF(IF($F83&lt;&gt;"",$F83,$E83)&lt;TODAY(),"OVERDUE",IF(IF($F83&lt;&gt;"",$F83,$E83)-TODAY()&lt;=7,"THIS WEEK","SCHEDULED"))))))</f>
      </c>
      <c r="R83" s="78">
        <f>IF($B83="",0,IF(COUNTIF('TRADITIONS + BUCKET LIST'!$B$6:$B$85,$B83)&gt;1,1,0))</f>
      </c>
      <c r="S83" s="78">
        <f>IF(OR(N($I83)&gt;0,N($J83)&gt;0),IF($H83="",1,IF(COUNTIF('MASTER BUDGET'!$D$6:$D$25,$H83)=0,1,0)),0)</f>
      </c>
      <c r="T83" s="75"/>
    </row>
    <row r="84" ht="17" customHeight="1" spans="1:20" x14ac:dyDescent="0.25">
      <c r="A84" s="75"/>
      <c r="B84" s="79"/>
      <c r="C84" s="80"/>
      <c r="D84" s="79"/>
      <c r="E84" s="82"/>
      <c r="F84" s="82"/>
      <c r="G84" s="79"/>
      <c r="H84" s="79"/>
      <c r="I84" s="86"/>
      <c r="J84" s="86"/>
      <c r="K84" s="79"/>
      <c r="L84" s="79"/>
      <c r="M84" s="79"/>
      <c r="N84" s="80"/>
      <c r="O84" s="93">
        <f>IF($F84&lt;&gt;"",$F84,IF($E84="","",$E84))</f>
      </c>
      <c r="P84" s="93">
        <f>IF(OR($K84="Yes",$O84="",N($O84)&lt;TODAY()),"",$O84)</f>
      </c>
      <c r="Q84" s="78">
        <f>IF($B84="","",IF($K84="Yes","DONE",IF(FALSE,"COMPLETE",IF(IF($F84&lt;&gt;"",$F84,$E84)="","NO DATE",IF(IF($F84&lt;&gt;"",$F84,$E84)&lt;TODAY(),"OVERDUE",IF(IF($F84&lt;&gt;"",$F84,$E84)-TODAY()&lt;=7,"THIS WEEK","SCHEDULED"))))))</f>
      </c>
      <c r="R84" s="78">
        <f>IF($B84="",0,IF(COUNTIF('TRADITIONS + BUCKET LIST'!$B$6:$B$85,$B84)&gt;1,1,0))</f>
      </c>
      <c r="S84" s="78">
        <f>IF(OR(N($I84)&gt;0,N($J84)&gt;0),IF($H84="",1,IF(COUNTIF('MASTER BUDGET'!$D$6:$D$25,$H84)=0,1,0)),0)</f>
      </c>
      <c r="T84" s="75"/>
    </row>
    <row r="85" ht="17" customHeight="1" spans="1:20" x14ac:dyDescent="0.25">
      <c r="A85" s="75"/>
      <c r="B85" s="79"/>
      <c r="C85" s="80"/>
      <c r="D85" s="79"/>
      <c r="E85" s="82"/>
      <c r="F85" s="82"/>
      <c r="G85" s="79"/>
      <c r="H85" s="79"/>
      <c r="I85" s="86"/>
      <c r="J85" s="86"/>
      <c r="K85" s="79"/>
      <c r="L85" s="79"/>
      <c r="M85" s="79"/>
      <c r="N85" s="80"/>
      <c r="O85" s="93">
        <f>IF($F85&lt;&gt;"",$F85,IF($E85="","",$E85))</f>
      </c>
      <c r="P85" s="93">
        <f>IF(OR($K85="Yes",$O85="",N($O85)&lt;TODAY()),"",$O85)</f>
      </c>
      <c r="Q85" s="78">
        <f>IF($B85="","",IF($K85="Yes","DONE",IF(FALSE,"COMPLETE",IF(IF($F85&lt;&gt;"",$F85,$E85)="","NO DATE",IF(IF($F85&lt;&gt;"",$F85,$E85)&lt;TODAY(),"OVERDUE",IF(IF($F85&lt;&gt;"",$F85,$E85)-TODAY()&lt;=7,"THIS WEEK","SCHEDULED"))))))</f>
      </c>
      <c r="R85" s="78">
        <f>IF($B85="",0,IF(COUNTIF('TRADITIONS + BUCKET LIST'!$B$6:$B$85,$B85)&gt;1,1,0))</f>
      </c>
      <c r="S85" s="78">
        <f>IF(OR(N($I85)&gt;0,N($J85)&gt;0),IF($H85="",1,IF(COUNTIF('MASTER BUDGET'!$D$6:$D$25,$H85)=0,1,0)),0)</f>
      </c>
      <c r="T85" s="75"/>
    </row>
  </sheetData>
  <autoFilter ref="B5:S85"/>
  <mergeCells count="1">
    <mergeCell ref="B1:C1"/>
  </mergeCells>
  <conditionalFormatting sqref="Q6:Q85">
    <cfRule type="containsText" dxfId="409" priority="1">
      <formula>NOT(ISERROR(SEARCH("OVER BUDGET",Q6)))</formula>
    </cfRule>
  </conditionalFormatting>
  <conditionalFormatting sqref="Q6:Q85">
    <cfRule type="containsText" dxfId="410" priority="2">
      <formula>NOT(ISERROR(SEARCH("OVERDUE",Q6)))</formula>
    </cfRule>
  </conditionalFormatting>
  <conditionalFormatting sqref="Q6:Q85">
    <cfRule type="containsText" dxfId="411" priority="3">
      <formula>NOT(ISERROR(SEARCH("LATE",Q6)))</formula>
    </cfRule>
  </conditionalFormatting>
  <conditionalFormatting sqref="Q6:Q85">
    <cfRule type="containsText" dxfId="412" priority="4">
      <formula>NOT(ISERROR(SEARCH("WINDOW CLOSED",Q6)))</formula>
    </cfRule>
  </conditionalFormatting>
  <conditionalFormatting sqref="Q6:Q85">
    <cfRule type="containsText" dxfId="413" priority="5">
      <formula>NOT(ISERROR(SEARCH("BALANCE OVERDUE",Q6)))</formula>
    </cfRule>
  </conditionalFormatting>
  <conditionalFormatting sqref="Q6:Q85">
    <cfRule type="containsText" dxfId="414" priority="6">
      <formula>NOT(ISERROR(SEARCH("PREP OVERDUE",Q6)))</formula>
    </cfRule>
  </conditionalFormatting>
  <conditionalFormatting sqref="Q6:Q85">
    <cfRule type="containsText" dxfId="415" priority="7">
      <formula>NOT(ISERROR(SEARCH("CHECK DUPLICATE",Q6)))</formula>
    </cfRule>
  </conditionalFormatting>
  <conditionalFormatting sqref="Q6:Q85">
    <cfRule type="containsText" dxfId="416" priority="8">
      <formula>NOT(ISERROR(SEARCH("MISSING DATE",Q6)))</formula>
    </cfRule>
  </conditionalFormatting>
  <conditionalFormatting sqref="Q6:Q85">
    <cfRule type="containsText" dxfId="417" priority="9">
      <formula>NOT(ISERROR(SEARCH("NOT FOUND",Q6)))</formula>
    </cfRule>
  </conditionalFormatting>
  <conditionalFormatting sqref="Q6:Q85">
    <cfRule type="containsText" dxfId="418" priority="10">
      <formula>NOT(ISERROR(SEARCH("NEAR LIMIT",Q6)))</formula>
    </cfRule>
  </conditionalFormatting>
  <conditionalFormatting sqref="Q6:Q85">
    <cfRule type="containsText" dxfId="419" priority="11">
      <formula>NOT(ISERROR(SEARCH("THIS WEEK",Q6)))</formula>
    </cfRule>
  </conditionalFormatting>
  <conditionalFormatting sqref="Q6:Q85">
    <cfRule type="containsText" dxfId="420" priority="12">
      <formula>NOT(ISERROR(SEARCH("CLOSING SOON",Q6)))</formula>
    </cfRule>
  </conditionalFormatting>
  <conditionalFormatting sqref="Q6:Q85">
    <cfRule type="containsText" dxfId="421" priority="13">
      <formula>NOT(ISERROR(SEARCH("NO TRACKING",Q6)))</formula>
    </cfRule>
  </conditionalFormatting>
  <conditionalFormatting sqref="Q6:Q85">
    <cfRule type="containsText" dxfId="422" priority="14">
      <formula>NOT(ISERROR(SEARCH("LOW",Q6)))</formula>
    </cfRule>
  </conditionalFormatting>
  <conditionalFormatting sqref="Q6:Q85">
    <cfRule type="containsText" dxfId="423" priority="15">
      <formula>NOT(ISERROR(SEARCH("AWAITING REFUND",Q6)))</formula>
    </cfRule>
  </conditionalFormatting>
  <conditionalFormatting sqref="Q6:Q85">
    <cfRule type="containsText" dxfId="424" priority="16">
      <formula>NOT(ISERROR(SEARCH("BALANCE DUE SOON",Q6)))</formula>
    </cfRule>
  </conditionalFormatting>
  <conditionalFormatting sqref="Q6:Q85">
    <cfRule type="containsText" dxfId="425" priority="17">
      <formula>NOT(ISERROR(SEARCH("TO BUY",Q6)))</formula>
    </cfRule>
  </conditionalFormatting>
  <conditionalFormatting sqref="Q6:Q85">
    <cfRule type="containsText" dxfId="426" priority="18">
      <formula>NOT(ISERROR(SEARCH("NO DATE",Q6)))</formula>
    </cfRule>
  </conditionalFormatting>
  <conditionalFormatting sqref="Q6:Q85">
    <cfRule type="containsText" dxfId="427" priority="19">
      <formula>NOT(ISERROR(SEARCH("NO COUNT",Q6)))</formula>
    </cfRule>
  </conditionalFormatting>
  <conditionalFormatting sqref="Q6:Q85">
    <cfRule type="containsText" dxfId="428" priority="20">
      <formula>NOT(ISERROR(SEARCH("ON TRACK",Q6)))</formula>
    </cfRule>
  </conditionalFormatting>
  <conditionalFormatting sqref="Q6:Q85">
    <cfRule type="containsText" dxfId="429" priority="21">
      <formula>NOT(ISERROR(SEARCH("COMPLETE",Q6)))</formula>
    </cfRule>
  </conditionalFormatting>
  <conditionalFormatting sqref="Q6:Q85">
    <cfRule type="containsText" dxfId="430" priority="22">
      <formula>NOT(ISERROR(SEARCH("DONE",Q6)))</formula>
    </cfRule>
  </conditionalFormatting>
  <conditionalFormatting sqref="Q6:Q85">
    <cfRule type="containsText" dxfId="431" priority="23">
      <formula>NOT(ISERROR(SEARCH("ARRIVED",Q6)))</formula>
    </cfRule>
  </conditionalFormatting>
  <conditionalFormatting sqref="Q6:Q85">
    <cfRule type="containsText" dxfId="432" priority="24">
      <formula>NOT(ISERROR(SEARCH("SETTLED",Q6)))</formula>
    </cfRule>
  </conditionalFormatting>
  <conditionalFormatting sqref="Q6:Q85">
    <cfRule type="containsText" dxfId="433" priority="25">
      <formula>NOT(ISERROR(SEARCH("AT BUDGET",Q6)))</formula>
    </cfRule>
  </conditionalFormatting>
  <conditionalFormatting sqref="Q6:Q85">
    <cfRule type="containsText" dxfId="434" priority="26">
      <formula>NOT(ISERROR(SEARCH("IN STOCK",Q6)))</formula>
    </cfRule>
  </conditionalFormatting>
  <conditionalFormatting sqref="Q6:Q85">
    <cfRule type="containsText" dxfId="435" priority="27">
      <formula>NOT(ISERROR(SEARCH("BOUGHT",Q6)))</formula>
    </cfRule>
  </conditionalFormatting>
  <conditionalFormatting sqref="Q6:Q85">
    <cfRule type="containsText" dxfId="436" priority="28">
      <formula>NOT(ISERROR(SEARCH("READY",Q6)))</formula>
    </cfRule>
  </conditionalFormatting>
  <conditionalFormatting sqref="Q6:Q85">
    <cfRule type="containsText" dxfId="437" priority="29">
      <formula>NOT(ISERROR(SEARCH("NOT SET",Q6)))</formula>
    </cfRule>
  </conditionalFormatting>
  <conditionalFormatting sqref="Q6:Q85">
    <cfRule type="containsText" dxfId="438" priority="30">
      <formula>NOT(ISERROR(SEARCH("NOT STARTED",Q6)))</formula>
    </cfRule>
  </conditionalFormatting>
  <conditionalFormatting sqref="Q6:Q85">
    <cfRule type="containsText" dxfId="439" priority="31">
      <formula>NOT(ISERROR(SEARCH("SCHEDULED",Q6)))</formula>
    </cfRule>
  </conditionalFormatting>
  <conditionalFormatting sqref="Q6:Q85">
    <cfRule type="containsText" dxfId="440" priority="32">
      <formula>NOT(ISERROR(SEARCH("CLOSED",Q6)))</formula>
    </cfRule>
  </conditionalFormatting>
  <conditionalFormatting sqref="Q6:Q85">
    <cfRule type="containsText" dxfId="441" priority="33">
      <formula>NOT(ISERROR(SEARCH("IN THE PANTRY",Q6)))</formula>
    </cfRule>
  </conditionalFormatting>
  <conditionalFormatting sqref="Q6:Q85">
    <cfRule type="containsText" dxfId="442" priority="34">
      <formula>NOT(ISERROR(SEARCH("BALANCE OPEN",Q6)))</formula>
    </cfRule>
  </conditionalFormatting>
  <dataValidations count="9">
    <dataValidation type="list" allowBlank="1" showErrorMessage="1" errorStyle="warning" errorTitle="Not one of the usual values" error="This column normally uses a value from the TraditionCategory list on LISTS. You can keep what you typed, or add it to the list so it appears in the dropdown." sqref="D6:D85">
      <formula1>=List_TraditionCategory</formula1>
    </dataValidation>
    <dataValidation type="custom" allowBlank="1" showErrorMessage="1" errorStyle="warning" errorTitle="That is not a date yet" error="Type a real date, so the workbook can count days with it. &quot;Before Christmas&quot; cannot be sorted." sqref="E6:E85">
      <formula1>=OR(E6="",ISNUMBER(E6))</formula1>
    </dataValidation>
    <dataValidation type="custom" allowBlank="1" showErrorMessage="1" errorStyle="warning" errorTitle="That is not a date yet" error="Type a real date, so the workbook can count days with it. &quot;Before Christmas&quot; cannot be sorted." sqref="F6:F85">
      <formula1>=OR(F6="",ISNUMBER(F6))</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H6:H85">
      <formula1>=List_BudgetCategory</formula1>
    </dataValidation>
    <dataValidation type="custom" allowBlank="1" showErrorMessage="1" errorStyle="warning" errorTitle="That looks like text" error="Type the number on its own — no currency symbol and no words. The column adds the symbol for you." sqref="I6:I85">
      <formula1>=OR(I6="",ISNUMBER(I6))</formula1>
    </dataValidation>
    <dataValidation type="custom" allowBlank="1" showErrorMessage="1" errorStyle="warning" errorTitle="That looks like text" error="Type the number on its own — no currency symbol and no words. The column adds the symbol for you." sqref="J6:J85">
      <formula1>=OR(J6="",ISNUMBER(J6))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K6:K85">
      <formula1>=List_YesNo</formula1>
    </dataValidation>
    <dataValidation type="list" allowBlank="1" showErrorMessage="1" errorStyle="warning" errorTitle="Not one of the usual values" error="This column normally uses a value from the Priority list on LISTS. You can keep what you typed, or add it to the list so it appears in the dropdown." sqref="L6:L85">
      <formula1>=List_Priority</formula1>
    </dataValidation>
    <dataValidation type="list" allowBlank="1" showErrorMessage="1" errorStyle="warning" errorTitle="Not one of the usual values" error="This column normally uses a value from the Rating list on LISTS. You can keep what you typed, or add it to the list so it appears in the dropdown." sqref="M6:M85">
      <formula1>=List_Rating</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&amp;LTRADITIONS + BUCKET LIST&amp;C&amp;P of &amp;N&amp;RThe Christmas Season Master Command Center™</oddFooter>
  </headerFooter>
  <legacyDrawing r:id="rId7"/>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9452"/>
    <pageSetUpPr fitToPage="1"/>
  </sheetPr>
  <dimension ref="A1:L87"/>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2" max="2" width="11" customWidth="1"/>
    <col min="3" max="3" width="32" customWidth="1"/>
    <col min="4" max="4" width="12" customWidth="1"/>
    <col min="5" max="5" width="20" customWidth="1"/>
    <col min="6" max="7" width="13" customWidth="1"/>
    <col min="8" max="9" width="11" customWidth="1"/>
    <col min="10" max="10" width="34" customWidth="1"/>
    <col min="11" max="11" width="18" hidden="1" customWidth="1"/>
    <col min="12" max="12" width="2" customWidth="1"/>
  </cols>
  <sheetData>
    <row r="1" ht="21" customHeight="1" spans="1:12" x14ac:dyDescent="0.25">
      <c r="A1" s="62"/>
      <c r="B1" s="63" t="s">
        <v>8</v>
      </c>
      <c r="C1" s="63"/>
      <c r="D1" s="63" t="s">
        <v>9</v>
      </c>
      <c r="E1" s="63"/>
      <c r="F1" s="63" t="s">
        <v>10</v>
      </c>
      <c r="G1" s="63" t="s">
        <v>11</v>
      </c>
      <c r="H1" s="63" t="s">
        <v>12</v>
      </c>
      <c r="I1" s="63"/>
      <c r="J1" s="62"/>
      <c r="K1" s="62"/>
      <c r="L1" s="62"/>
    </row>
    <row r="2" ht="34" customHeight="1" spans="1:12" x14ac:dyDescent="0.25">
      <c r="A2" s="64"/>
      <c r="B2" s="65" t="s">
        <v>720</v>
      </c>
      <c r="C2" s="64"/>
      <c r="D2" s="64"/>
      <c r="E2" s="64"/>
      <c r="F2" s="64"/>
      <c r="G2" s="64"/>
      <c r="H2" s="64"/>
      <c r="I2" s="64"/>
      <c r="J2" s="64"/>
      <c r="K2" s="64"/>
      <c r="L2" s="64"/>
    </row>
    <row r="3" ht="18" customHeight="1" spans="1:12" x14ac:dyDescent="0.25">
      <c r="A3" s="64"/>
      <c r="B3" s="66" t="s">
        <v>721</v>
      </c>
      <c r="C3" s="64"/>
      <c r="D3" s="64"/>
      <c r="E3" s="64"/>
      <c r="F3" s="64"/>
      <c r="G3" s="64"/>
      <c r="H3" s="64"/>
      <c r="I3" s="64"/>
      <c r="J3" s="64"/>
      <c r="K3" s="64"/>
      <c r="L3" s="64"/>
    </row>
    <row r="4" ht="17" customHeight="1" spans="1:12" x14ac:dyDescent="0.25">
      <c r="A4" s="64"/>
      <c r="B4" s="67" t="s">
        <v>160</v>
      </c>
      <c r="C4" s="64"/>
      <c r="D4" s="64"/>
      <c r="E4" s="64"/>
      <c r="F4" s="64"/>
      <c r="G4" s="64"/>
      <c r="H4" s="64"/>
      <c r="I4" s="64"/>
      <c r="J4" s="64"/>
      <c r="K4" s="64"/>
      <c r="L4" s="64"/>
    </row>
    <row r="5" ht="32" customHeight="1" spans="1:12" x14ac:dyDescent="0.25">
      <c r="A5" s="73"/>
      <c r="B5" s="74" t="s">
        <v>722</v>
      </c>
      <c r="C5" s="74" t="s">
        <v>723</v>
      </c>
      <c r="D5" s="74" t="s">
        <v>414</v>
      </c>
      <c r="E5" s="74" t="s">
        <v>417</v>
      </c>
      <c r="F5" s="74" t="s">
        <v>623</v>
      </c>
      <c r="G5" s="74" t="s">
        <v>422</v>
      </c>
      <c r="H5" s="74" t="s">
        <v>724</v>
      </c>
      <c r="I5" s="74" t="s">
        <v>725</v>
      </c>
      <c r="J5" s="74" t="s">
        <v>179</v>
      </c>
      <c r="K5" s="74" t="s">
        <v>180</v>
      </c>
      <c r="L5" s="73"/>
    </row>
    <row r="6" ht="17" customHeight="1" spans="1:12" x14ac:dyDescent="0.25">
      <c r="A6" s="75"/>
      <c r="B6" s="76" t="s">
        <v>726</v>
      </c>
      <c r="C6" s="77"/>
      <c r="D6" s="76" t="s">
        <v>727</v>
      </c>
      <c r="E6" s="76" t="s">
        <v>728</v>
      </c>
      <c r="F6" s="76" t="s">
        <v>711</v>
      </c>
      <c r="G6" s="81">
        <v>46379</v>
      </c>
      <c r="H6" s="76" t="s">
        <v>194</v>
      </c>
      <c r="I6" s="76"/>
      <c r="J6" s="77" t="s">
        <v>729</v>
      </c>
      <c r="K6" s="78">
        <f>IF($B6="",0,IF(COUNTIF('MOVIES + MUSIC'!$B$6:$B$85,$B6)&gt;1,1,0))</f>
      </c>
      <c r="L6" s="75"/>
    </row>
    <row r="7" ht="17" customHeight="1" spans="1:12" x14ac:dyDescent="0.25">
      <c r="A7" s="75"/>
      <c r="B7" s="76" t="s">
        <v>730</v>
      </c>
      <c r="C7" s="77"/>
      <c r="D7" s="76" t="s">
        <v>731</v>
      </c>
      <c r="E7" s="76" t="s">
        <v>732</v>
      </c>
      <c r="F7" s="76" t="s">
        <v>733</v>
      </c>
      <c r="G7" s="81"/>
      <c r="H7" s="76" t="s">
        <v>194</v>
      </c>
      <c r="I7" s="76"/>
      <c r="J7" s="77" t="s">
        <v>729</v>
      </c>
      <c r="K7" s="78">
        <f>IF($B7="",0,IF(COUNTIF('MOVIES + MUSIC'!$B$6:$B$85,$B7)&gt;1,1,0))</f>
      </c>
      <c r="L7" s="75"/>
    </row>
    <row r="8" ht="17" customHeight="1" spans="1:12" x14ac:dyDescent="0.25">
      <c r="A8" s="75"/>
      <c r="B8" s="76" t="s">
        <v>734</v>
      </c>
      <c r="C8" s="77"/>
      <c r="D8" s="76" t="s">
        <v>735</v>
      </c>
      <c r="E8" s="76" t="s">
        <v>736</v>
      </c>
      <c r="F8" s="76" t="s">
        <v>711</v>
      </c>
      <c r="G8" s="81">
        <v>46370</v>
      </c>
      <c r="H8" s="76" t="s">
        <v>194</v>
      </c>
      <c r="I8" s="76"/>
      <c r="J8" s="77" t="s">
        <v>729</v>
      </c>
      <c r="K8" s="78">
        <f>IF($B8="",0,IF(COUNTIF('MOVIES + MUSIC'!$B$6:$B$85,$B8)&gt;1,1,0))</f>
      </c>
      <c r="L8" s="75"/>
    </row>
    <row r="9" ht="17" customHeight="1" spans="1:12" x14ac:dyDescent="0.25">
      <c r="A9" s="75"/>
      <c r="B9" s="79"/>
      <c r="C9" s="80"/>
      <c r="D9" s="79"/>
      <c r="E9" s="79"/>
      <c r="F9" s="79"/>
      <c r="G9" s="82"/>
      <c r="H9" s="79"/>
      <c r="I9" s="79"/>
      <c r="J9" s="80"/>
      <c r="K9" s="78">
        <f>IF($B9="",0,IF(COUNTIF('MOVIES + MUSIC'!$B$6:$B$85,$B9)&gt;1,1,0))</f>
      </c>
      <c r="L9" s="75"/>
    </row>
    <row r="10" ht="17" customHeight="1" spans="1:12" x14ac:dyDescent="0.25">
      <c r="A10" s="75"/>
      <c r="B10" s="79"/>
      <c r="C10" s="80"/>
      <c r="D10" s="79"/>
      <c r="E10" s="79"/>
      <c r="F10" s="79"/>
      <c r="G10" s="82"/>
      <c r="H10" s="79"/>
      <c r="I10" s="79"/>
      <c r="J10" s="80"/>
      <c r="K10" s="78">
        <f>IF($B10="",0,IF(COUNTIF('MOVIES + MUSIC'!$B$6:$B$85,$B10)&gt;1,1,0))</f>
      </c>
      <c r="L10" s="75"/>
    </row>
    <row r="11" ht="17" customHeight="1" spans="1:12" x14ac:dyDescent="0.25">
      <c r="A11" s="75"/>
      <c r="B11" s="79"/>
      <c r="C11" s="80"/>
      <c r="D11" s="79"/>
      <c r="E11" s="79"/>
      <c r="F11" s="79"/>
      <c r="G11" s="82"/>
      <c r="H11" s="79"/>
      <c r="I11" s="79"/>
      <c r="J11" s="80"/>
      <c r="K11" s="78">
        <f>IF($B11="",0,IF(COUNTIF('MOVIES + MUSIC'!$B$6:$B$85,$B11)&gt;1,1,0))</f>
      </c>
      <c r="L11" s="75"/>
    </row>
    <row r="12" ht="17" customHeight="1" spans="1:12" x14ac:dyDescent="0.25">
      <c r="A12" s="75"/>
      <c r="B12" s="79"/>
      <c r="C12" s="80"/>
      <c r="D12" s="79"/>
      <c r="E12" s="79"/>
      <c r="F12" s="79"/>
      <c r="G12" s="82"/>
      <c r="H12" s="79"/>
      <c r="I12" s="79"/>
      <c r="J12" s="80"/>
      <c r="K12" s="78">
        <f>IF($B12="",0,IF(COUNTIF('MOVIES + MUSIC'!$B$6:$B$85,$B12)&gt;1,1,0))</f>
      </c>
      <c r="L12" s="75"/>
    </row>
    <row r="13" ht="17" customHeight="1" spans="1:12" x14ac:dyDescent="0.25">
      <c r="A13" s="75"/>
      <c r="B13" s="79"/>
      <c r="C13" s="80"/>
      <c r="D13" s="79"/>
      <c r="E13" s="79"/>
      <c r="F13" s="79"/>
      <c r="G13" s="82"/>
      <c r="H13" s="79"/>
      <c r="I13" s="79"/>
      <c r="J13" s="80"/>
      <c r="K13" s="78">
        <f>IF($B13="",0,IF(COUNTIF('MOVIES + MUSIC'!$B$6:$B$85,$B13)&gt;1,1,0))</f>
      </c>
      <c r="L13" s="75"/>
    </row>
    <row r="14" ht="17" customHeight="1" spans="1:12" x14ac:dyDescent="0.25">
      <c r="A14" s="75"/>
      <c r="B14" s="79"/>
      <c r="C14" s="80"/>
      <c r="D14" s="79"/>
      <c r="E14" s="79"/>
      <c r="F14" s="79"/>
      <c r="G14" s="82"/>
      <c r="H14" s="79"/>
      <c r="I14" s="79"/>
      <c r="J14" s="80"/>
      <c r="K14" s="78">
        <f>IF($B14="",0,IF(COUNTIF('MOVIES + MUSIC'!$B$6:$B$85,$B14)&gt;1,1,0))</f>
      </c>
      <c r="L14" s="75"/>
    </row>
    <row r="15" ht="17" customHeight="1" spans="1:12" x14ac:dyDescent="0.25">
      <c r="A15" s="75"/>
      <c r="B15" s="79"/>
      <c r="C15" s="80"/>
      <c r="D15" s="79"/>
      <c r="E15" s="79"/>
      <c r="F15" s="79"/>
      <c r="G15" s="82"/>
      <c r="H15" s="79"/>
      <c r="I15" s="79"/>
      <c r="J15" s="80"/>
      <c r="K15" s="78">
        <f>IF($B15="",0,IF(COUNTIF('MOVIES + MUSIC'!$B$6:$B$85,$B15)&gt;1,1,0))</f>
      </c>
      <c r="L15" s="75"/>
    </row>
    <row r="16" ht="17" customHeight="1" spans="1:12" x14ac:dyDescent="0.25">
      <c r="A16" s="75"/>
      <c r="B16" s="79"/>
      <c r="C16" s="80"/>
      <c r="D16" s="79"/>
      <c r="E16" s="79"/>
      <c r="F16" s="79"/>
      <c r="G16" s="82"/>
      <c r="H16" s="79"/>
      <c r="I16" s="79"/>
      <c r="J16" s="80"/>
      <c r="K16" s="78">
        <f>IF($B16="",0,IF(COUNTIF('MOVIES + MUSIC'!$B$6:$B$85,$B16)&gt;1,1,0))</f>
      </c>
      <c r="L16" s="75"/>
    </row>
    <row r="17" ht="17" customHeight="1" spans="1:12" x14ac:dyDescent="0.25">
      <c r="A17" s="75"/>
      <c r="B17" s="79"/>
      <c r="C17" s="80"/>
      <c r="D17" s="79"/>
      <c r="E17" s="79"/>
      <c r="F17" s="79"/>
      <c r="G17" s="82"/>
      <c r="H17" s="79"/>
      <c r="I17" s="79"/>
      <c r="J17" s="80"/>
      <c r="K17" s="78">
        <f>IF($B17="",0,IF(COUNTIF('MOVIES + MUSIC'!$B$6:$B$85,$B17)&gt;1,1,0))</f>
      </c>
      <c r="L17" s="75"/>
    </row>
    <row r="18" ht="17" customHeight="1" spans="1:12" x14ac:dyDescent="0.25">
      <c r="A18" s="75"/>
      <c r="B18" s="79"/>
      <c r="C18" s="80"/>
      <c r="D18" s="79"/>
      <c r="E18" s="79"/>
      <c r="F18" s="79"/>
      <c r="G18" s="82"/>
      <c r="H18" s="79"/>
      <c r="I18" s="79"/>
      <c r="J18" s="80"/>
      <c r="K18" s="78">
        <f>IF($B18="",0,IF(COUNTIF('MOVIES + MUSIC'!$B$6:$B$85,$B18)&gt;1,1,0))</f>
      </c>
      <c r="L18" s="75"/>
    </row>
    <row r="19" ht="17" customHeight="1" spans="1:12" x14ac:dyDescent="0.25">
      <c r="A19" s="75"/>
      <c r="B19" s="79"/>
      <c r="C19" s="80"/>
      <c r="D19" s="79"/>
      <c r="E19" s="79"/>
      <c r="F19" s="79"/>
      <c r="G19" s="82"/>
      <c r="H19" s="79"/>
      <c r="I19" s="79"/>
      <c r="J19" s="80"/>
      <c r="K19" s="78">
        <f>IF($B19="",0,IF(COUNTIF('MOVIES + MUSIC'!$B$6:$B$85,$B19)&gt;1,1,0))</f>
      </c>
      <c r="L19" s="75"/>
    </row>
    <row r="20" ht="17" customHeight="1" spans="1:12" x14ac:dyDescent="0.25">
      <c r="A20" s="75"/>
      <c r="B20" s="79"/>
      <c r="C20" s="80"/>
      <c r="D20" s="79"/>
      <c r="E20" s="79"/>
      <c r="F20" s="79"/>
      <c r="G20" s="82"/>
      <c r="H20" s="79"/>
      <c r="I20" s="79"/>
      <c r="J20" s="80"/>
      <c r="K20" s="78">
        <f>IF($B20="",0,IF(COUNTIF('MOVIES + MUSIC'!$B$6:$B$85,$B20)&gt;1,1,0))</f>
      </c>
      <c r="L20" s="75"/>
    </row>
    <row r="21" ht="17" customHeight="1" spans="1:12" x14ac:dyDescent="0.25">
      <c r="A21" s="75"/>
      <c r="B21" s="79"/>
      <c r="C21" s="80"/>
      <c r="D21" s="79"/>
      <c r="E21" s="79"/>
      <c r="F21" s="79"/>
      <c r="G21" s="82"/>
      <c r="H21" s="79"/>
      <c r="I21" s="79"/>
      <c r="J21" s="80"/>
      <c r="K21" s="78">
        <f>IF($B21="",0,IF(COUNTIF('MOVIES + MUSIC'!$B$6:$B$85,$B21)&gt;1,1,0))</f>
      </c>
      <c r="L21" s="75"/>
    </row>
    <row r="22" ht="17" customHeight="1" spans="1:12" x14ac:dyDescent="0.25">
      <c r="A22" s="75"/>
      <c r="B22" s="79"/>
      <c r="C22" s="80"/>
      <c r="D22" s="79"/>
      <c r="E22" s="79"/>
      <c r="F22" s="79"/>
      <c r="G22" s="82"/>
      <c r="H22" s="79"/>
      <c r="I22" s="79"/>
      <c r="J22" s="80"/>
      <c r="K22" s="78">
        <f>IF($B22="",0,IF(COUNTIF('MOVIES + MUSIC'!$B$6:$B$85,$B22)&gt;1,1,0))</f>
      </c>
      <c r="L22" s="75"/>
    </row>
    <row r="23" ht="17" customHeight="1" spans="1:12" x14ac:dyDescent="0.25">
      <c r="A23" s="75"/>
      <c r="B23" s="79"/>
      <c r="C23" s="80"/>
      <c r="D23" s="79"/>
      <c r="E23" s="79"/>
      <c r="F23" s="79"/>
      <c r="G23" s="82"/>
      <c r="H23" s="79"/>
      <c r="I23" s="79"/>
      <c r="J23" s="80"/>
      <c r="K23" s="78">
        <f>IF($B23="",0,IF(COUNTIF('MOVIES + MUSIC'!$B$6:$B$85,$B23)&gt;1,1,0))</f>
      </c>
      <c r="L23" s="75"/>
    </row>
    <row r="24" ht="17" customHeight="1" spans="1:12" x14ac:dyDescent="0.25">
      <c r="A24" s="75"/>
      <c r="B24" s="79"/>
      <c r="C24" s="80"/>
      <c r="D24" s="79"/>
      <c r="E24" s="79"/>
      <c r="F24" s="79"/>
      <c r="G24" s="82"/>
      <c r="H24" s="79"/>
      <c r="I24" s="79"/>
      <c r="J24" s="80"/>
      <c r="K24" s="78">
        <f>IF($B24="",0,IF(COUNTIF('MOVIES + MUSIC'!$B$6:$B$85,$B24)&gt;1,1,0))</f>
      </c>
      <c r="L24" s="75"/>
    </row>
    <row r="25" ht="17" customHeight="1" spans="1:12" x14ac:dyDescent="0.25">
      <c r="A25" s="75"/>
      <c r="B25" s="79"/>
      <c r="C25" s="80"/>
      <c r="D25" s="79"/>
      <c r="E25" s="79"/>
      <c r="F25" s="79"/>
      <c r="G25" s="82"/>
      <c r="H25" s="79"/>
      <c r="I25" s="79"/>
      <c r="J25" s="80"/>
      <c r="K25" s="78">
        <f>IF($B25="",0,IF(COUNTIF('MOVIES + MUSIC'!$B$6:$B$85,$B25)&gt;1,1,0))</f>
      </c>
      <c r="L25" s="75"/>
    </row>
    <row r="26" ht="17" customHeight="1" spans="1:12" x14ac:dyDescent="0.25">
      <c r="A26" s="75"/>
      <c r="B26" s="79"/>
      <c r="C26" s="80"/>
      <c r="D26" s="79"/>
      <c r="E26" s="79"/>
      <c r="F26" s="79"/>
      <c r="G26" s="82"/>
      <c r="H26" s="79"/>
      <c r="I26" s="79"/>
      <c r="J26" s="80"/>
      <c r="K26" s="78">
        <f>IF($B26="",0,IF(COUNTIF('MOVIES + MUSIC'!$B$6:$B$85,$B26)&gt;1,1,0))</f>
      </c>
      <c r="L26" s="75"/>
    </row>
    <row r="27" ht="17" customHeight="1" spans="1:12" x14ac:dyDescent="0.25">
      <c r="A27" s="75"/>
      <c r="B27" s="79"/>
      <c r="C27" s="80"/>
      <c r="D27" s="79"/>
      <c r="E27" s="79"/>
      <c r="F27" s="79"/>
      <c r="G27" s="82"/>
      <c r="H27" s="79"/>
      <c r="I27" s="79"/>
      <c r="J27" s="80"/>
      <c r="K27" s="78">
        <f>IF($B27="",0,IF(COUNTIF('MOVIES + MUSIC'!$B$6:$B$85,$B27)&gt;1,1,0))</f>
      </c>
      <c r="L27" s="75"/>
    </row>
    <row r="28" ht="17" customHeight="1" spans="1:12" x14ac:dyDescent="0.25">
      <c r="A28" s="75"/>
      <c r="B28" s="79"/>
      <c r="C28" s="80"/>
      <c r="D28" s="79"/>
      <c r="E28" s="79"/>
      <c r="F28" s="79"/>
      <c r="G28" s="82"/>
      <c r="H28" s="79"/>
      <c r="I28" s="79"/>
      <c r="J28" s="80"/>
      <c r="K28" s="78">
        <f>IF($B28="",0,IF(COUNTIF('MOVIES + MUSIC'!$B$6:$B$85,$B28)&gt;1,1,0))</f>
      </c>
      <c r="L28" s="75"/>
    </row>
    <row r="29" ht="17" customHeight="1" spans="1:12" x14ac:dyDescent="0.25">
      <c r="A29" s="75"/>
      <c r="B29" s="79"/>
      <c r="C29" s="80"/>
      <c r="D29" s="79"/>
      <c r="E29" s="79"/>
      <c r="F29" s="79"/>
      <c r="G29" s="82"/>
      <c r="H29" s="79"/>
      <c r="I29" s="79"/>
      <c r="J29" s="80"/>
      <c r="K29" s="78">
        <f>IF($B29="",0,IF(COUNTIF('MOVIES + MUSIC'!$B$6:$B$85,$B29)&gt;1,1,0))</f>
      </c>
      <c r="L29" s="75"/>
    </row>
    <row r="30" ht="17" customHeight="1" spans="1:12" x14ac:dyDescent="0.25">
      <c r="A30" s="75"/>
      <c r="B30" s="79"/>
      <c r="C30" s="80"/>
      <c r="D30" s="79"/>
      <c r="E30" s="79"/>
      <c r="F30" s="79"/>
      <c r="G30" s="82"/>
      <c r="H30" s="79"/>
      <c r="I30" s="79"/>
      <c r="J30" s="80"/>
      <c r="K30" s="78">
        <f>IF($B30="",0,IF(COUNTIF('MOVIES + MUSIC'!$B$6:$B$85,$B30)&gt;1,1,0))</f>
      </c>
      <c r="L30" s="75"/>
    </row>
    <row r="31" ht="17" customHeight="1" spans="1:12" x14ac:dyDescent="0.25">
      <c r="A31" s="75"/>
      <c r="B31" s="79"/>
      <c r="C31" s="80"/>
      <c r="D31" s="79"/>
      <c r="E31" s="79"/>
      <c r="F31" s="79"/>
      <c r="G31" s="82"/>
      <c r="H31" s="79"/>
      <c r="I31" s="79"/>
      <c r="J31" s="80"/>
      <c r="K31" s="78">
        <f>IF($B31="",0,IF(COUNTIF('MOVIES + MUSIC'!$B$6:$B$85,$B31)&gt;1,1,0))</f>
      </c>
      <c r="L31" s="75"/>
    </row>
    <row r="32" ht="17" customHeight="1" spans="1:12" x14ac:dyDescent="0.25">
      <c r="A32" s="75"/>
      <c r="B32" s="79"/>
      <c r="C32" s="80"/>
      <c r="D32" s="79"/>
      <c r="E32" s="79"/>
      <c r="F32" s="79"/>
      <c r="G32" s="82"/>
      <c r="H32" s="79"/>
      <c r="I32" s="79"/>
      <c r="J32" s="80"/>
      <c r="K32" s="78">
        <f>IF($B32="",0,IF(COUNTIF('MOVIES + MUSIC'!$B$6:$B$85,$B32)&gt;1,1,0))</f>
      </c>
      <c r="L32" s="75"/>
    </row>
    <row r="33" ht="17" customHeight="1" spans="1:12" x14ac:dyDescent="0.25">
      <c r="A33" s="75"/>
      <c r="B33" s="79"/>
      <c r="C33" s="80"/>
      <c r="D33" s="79"/>
      <c r="E33" s="79"/>
      <c r="F33" s="79"/>
      <c r="G33" s="82"/>
      <c r="H33" s="79"/>
      <c r="I33" s="79"/>
      <c r="J33" s="80"/>
      <c r="K33" s="78">
        <f>IF($B33="",0,IF(COUNTIF('MOVIES + MUSIC'!$B$6:$B$85,$B33)&gt;1,1,0))</f>
      </c>
      <c r="L33" s="75"/>
    </row>
    <row r="34" ht="17" customHeight="1" spans="1:12" x14ac:dyDescent="0.25">
      <c r="A34" s="75"/>
      <c r="B34" s="79"/>
      <c r="C34" s="80"/>
      <c r="D34" s="79"/>
      <c r="E34" s="79"/>
      <c r="F34" s="79"/>
      <c r="G34" s="82"/>
      <c r="H34" s="79"/>
      <c r="I34" s="79"/>
      <c r="J34" s="80"/>
      <c r="K34" s="78">
        <f>IF($B34="",0,IF(COUNTIF('MOVIES + MUSIC'!$B$6:$B$85,$B34)&gt;1,1,0))</f>
      </c>
      <c r="L34" s="75"/>
    </row>
    <row r="35" ht="17" customHeight="1" spans="1:12" x14ac:dyDescent="0.25">
      <c r="A35" s="75"/>
      <c r="B35" s="79"/>
      <c r="C35" s="80"/>
      <c r="D35" s="79"/>
      <c r="E35" s="79"/>
      <c r="F35" s="79"/>
      <c r="G35" s="82"/>
      <c r="H35" s="79"/>
      <c r="I35" s="79"/>
      <c r="J35" s="80"/>
      <c r="K35" s="78">
        <f>IF($B35="",0,IF(COUNTIF('MOVIES + MUSIC'!$B$6:$B$85,$B35)&gt;1,1,0))</f>
      </c>
      <c r="L35" s="75"/>
    </row>
    <row r="36" ht="17" customHeight="1" spans="1:12" x14ac:dyDescent="0.25">
      <c r="A36" s="75"/>
      <c r="B36" s="79"/>
      <c r="C36" s="80"/>
      <c r="D36" s="79"/>
      <c r="E36" s="79"/>
      <c r="F36" s="79"/>
      <c r="G36" s="82"/>
      <c r="H36" s="79"/>
      <c r="I36" s="79"/>
      <c r="J36" s="80"/>
      <c r="K36" s="78">
        <f>IF($B36="",0,IF(COUNTIF('MOVIES + MUSIC'!$B$6:$B$85,$B36)&gt;1,1,0))</f>
      </c>
      <c r="L36" s="75"/>
    </row>
    <row r="37" ht="17" customHeight="1" spans="1:12" x14ac:dyDescent="0.25">
      <c r="A37" s="75"/>
      <c r="B37" s="79"/>
      <c r="C37" s="80"/>
      <c r="D37" s="79"/>
      <c r="E37" s="79"/>
      <c r="F37" s="79"/>
      <c r="G37" s="82"/>
      <c r="H37" s="79"/>
      <c r="I37" s="79"/>
      <c r="J37" s="80"/>
      <c r="K37" s="78">
        <f>IF($B37="",0,IF(COUNTIF('MOVIES + MUSIC'!$B$6:$B$85,$B37)&gt;1,1,0))</f>
      </c>
      <c r="L37" s="75"/>
    </row>
    <row r="38" ht="17" customHeight="1" spans="1:12" x14ac:dyDescent="0.25">
      <c r="A38" s="75"/>
      <c r="B38" s="79"/>
      <c r="C38" s="80"/>
      <c r="D38" s="79"/>
      <c r="E38" s="79"/>
      <c r="F38" s="79"/>
      <c r="G38" s="82"/>
      <c r="H38" s="79"/>
      <c r="I38" s="79"/>
      <c r="J38" s="80"/>
      <c r="K38" s="78">
        <f>IF($B38="",0,IF(COUNTIF('MOVIES + MUSIC'!$B$6:$B$85,$B38)&gt;1,1,0))</f>
      </c>
      <c r="L38" s="75"/>
    </row>
    <row r="39" ht="17" customHeight="1" spans="1:12" x14ac:dyDescent="0.25">
      <c r="A39" s="75"/>
      <c r="B39" s="79"/>
      <c r="C39" s="80"/>
      <c r="D39" s="79"/>
      <c r="E39" s="79"/>
      <c r="F39" s="79"/>
      <c r="G39" s="82"/>
      <c r="H39" s="79"/>
      <c r="I39" s="79"/>
      <c r="J39" s="80"/>
      <c r="K39" s="78">
        <f>IF($B39="",0,IF(COUNTIF('MOVIES + MUSIC'!$B$6:$B$85,$B39)&gt;1,1,0))</f>
      </c>
      <c r="L39" s="75"/>
    </row>
    <row r="40" ht="17" customHeight="1" spans="1:12" x14ac:dyDescent="0.25">
      <c r="A40" s="75"/>
      <c r="B40" s="79"/>
      <c r="C40" s="80"/>
      <c r="D40" s="79"/>
      <c r="E40" s="79"/>
      <c r="F40" s="79"/>
      <c r="G40" s="82"/>
      <c r="H40" s="79"/>
      <c r="I40" s="79"/>
      <c r="J40" s="80"/>
      <c r="K40" s="78">
        <f>IF($B40="",0,IF(COUNTIF('MOVIES + MUSIC'!$B$6:$B$85,$B40)&gt;1,1,0))</f>
      </c>
      <c r="L40" s="75"/>
    </row>
    <row r="41" ht="17" customHeight="1" spans="1:12" x14ac:dyDescent="0.25">
      <c r="A41" s="75"/>
      <c r="B41" s="79"/>
      <c r="C41" s="80"/>
      <c r="D41" s="79"/>
      <c r="E41" s="79"/>
      <c r="F41" s="79"/>
      <c r="G41" s="82"/>
      <c r="H41" s="79"/>
      <c r="I41" s="79"/>
      <c r="J41" s="80"/>
      <c r="K41" s="78">
        <f>IF($B41="",0,IF(COUNTIF('MOVIES + MUSIC'!$B$6:$B$85,$B41)&gt;1,1,0))</f>
      </c>
      <c r="L41" s="75"/>
    </row>
    <row r="42" ht="17" customHeight="1" spans="1:12" x14ac:dyDescent="0.25">
      <c r="A42" s="75"/>
      <c r="B42" s="79"/>
      <c r="C42" s="80"/>
      <c r="D42" s="79"/>
      <c r="E42" s="79"/>
      <c r="F42" s="79"/>
      <c r="G42" s="82"/>
      <c r="H42" s="79"/>
      <c r="I42" s="79"/>
      <c r="J42" s="80"/>
      <c r="K42" s="78">
        <f>IF($B42="",0,IF(COUNTIF('MOVIES + MUSIC'!$B$6:$B$85,$B42)&gt;1,1,0))</f>
      </c>
      <c r="L42" s="75"/>
    </row>
    <row r="43" ht="17" customHeight="1" spans="1:12" x14ac:dyDescent="0.25">
      <c r="A43" s="75"/>
      <c r="B43" s="79"/>
      <c r="C43" s="80"/>
      <c r="D43" s="79"/>
      <c r="E43" s="79"/>
      <c r="F43" s="79"/>
      <c r="G43" s="82"/>
      <c r="H43" s="79"/>
      <c r="I43" s="79"/>
      <c r="J43" s="80"/>
      <c r="K43" s="78">
        <f>IF($B43="",0,IF(COUNTIF('MOVIES + MUSIC'!$B$6:$B$85,$B43)&gt;1,1,0))</f>
      </c>
      <c r="L43" s="75"/>
    </row>
    <row r="44" ht="17" customHeight="1" spans="1:12" x14ac:dyDescent="0.25">
      <c r="A44" s="75"/>
      <c r="B44" s="79"/>
      <c r="C44" s="80"/>
      <c r="D44" s="79"/>
      <c r="E44" s="79"/>
      <c r="F44" s="79"/>
      <c r="G44" s="82"/>
      <c r="H44" s="79"/>
      <c r="I44" s="79"/>
      <c r="J44" s="80"/>
      <c r="K44" s="78">
        <f>IF($B44="",0,IF(COUNTIF('MOVIES + MUSIC'!$B$6:$B$85,$B44)&gt;1,1,0))</f>
      </c>
      <c r="L44" s="75"/>
    </row>
    <row r="45" ht="17" customHeight="1" spans="1:12" x14ac:dyDescent="0.25">
      <c r="A45" s="75"/>
      <c r="B45" s="79"/>
      <c r="C45" s="80"/>
      <c r="D45" s="79"/>
      <c r="E45" s="79"/>
      <c r="F45" s="79"/>
      <c r="G45" s="82"/>
      <c r="H45" s="79"/>
      <c r="I45" s="79"/>
      <c r="J45" s="80"/>
      <c r="K45" s="78">
        <f>IF($B45="",0,IF(COUNTIF('MOVIES + MUSIC'!$B$6:$B$85,$B45)&gt;1,1,0))</f>
      </c>
      <c r="L45" s="75"/>
    </row>
    <row r="46" ht="17" customHeight="1" spans="1:12" x14ac:dyDescent="0.25">
      <c r="A46" s="75"/>
      <c r="B46" s="79"/>
      <c r="C46" s="80"/>
      <c r="D46" s="79"/>
      <c r="E46" s="79"/>
      <c r="F46" s="79"/>
      <c r="G46" s="82"/>
      <c r="H46" s="79"/>
      <c r="I46" s="79"/>
      <c r="J46" s="80"/>
      <c r="K46" s="78">
        <f>IF($B46="",0,IF(COUNTIF('MOVIES + MUSIC'!$B$6:$B$85,$B46)&gt;1,1,0))</f>
      </c>
      <c r="L46" s="75"/>
    </row>
    <row r="47" ht="17" customHeight="1" spans="1:12" x14ac:dyDescent="0.25">
      <c r="A47" s="75"/>
      <c r="B47" s="79"/>
      <c r="C47" s="80"/>
      <c r="D47" s="79"/>
      <c r="E47" s="79"/>
      <c r="F47" s="79"/>
      <c r="G47" s="82"/>
      <c r="H47" s="79"/>
      <c r="I47" s="79"/>
      <c r="J47" s="80"/>
      <c r="K47" s="78">
        <f>IF($B47="",0,IF(COUNTIF('MOVIES + MUSIC'!$B$6:$B$85,$B47)&gt;1,1,0))</f>
      </c>
      <c r="L47" s="75"/>
    </row>
    <row r="48" ht="17" customHeight="1" spans="1:12" x14ac:dyDescent="0.25">
      <c r="A48" s="75"/>
      <c r="B48" s="79"/>
      <c r="C48" s="80"/>
      <c r="D48" s="79"/>
      <c r="E48" s="79"/>
      <c r="F48" s="79"/>
      <c r="G48" s="82"/>
      <c r="H48" s="79"/>
      <c r="I48" s="79"/>
      <c r="J48" s="80"/>
      <c r="K48" s="78">
        <f>IF($B48="",0,IF(COUNTIF('MOVIES + MUSIC'!$B$6:$B$85,$B48)&gt;1,1,0))</f>
      </c>
      <c r="L48" s="75"/>
    </row>
    <row r="49" ht="17" customHeight="1" spans="1:12" x14ac:dyDescent="0.25">
      <c r="A49" s="75"/>
      <c r="B49" s="79"/>
      <c r="C49" s="80"/>
      <c r="D49" s="79"/>
      <c r="E49" s="79"/>
      <c r="F49" s="79"/>
      <c r="G49" s="82"/>
      <c r="H49" s="79"/>
      <c r="I49" s="79"/>
      <c r="J49" s="80"/>
      <c r="K49" s="78">
        <f>IF($B49="",0,IF(COUNTIF('MOVIES + MUSIC'!$B$6:$B$85,$B49)&gt;1,1,0))</f>
      </c>
      <c r="L49" s="75"/>
    </row>
    <row r="50" ht="17" customHeight="1" spans="1:12" x14ac:dyDescent="0.25">
      <c r="A50" s="75"/>
      <c r="B50" s="79"/>
      <c r="C50" s="80"/>
      <c r="D50" s="79"/>
      <c r="E50" s="79"/>
      <c r="F50" s="79"/>
      <c r="G50" s="82"/>
      <c r="H50" s="79"/>
      <c r="I50" s="79"/>
      <c r="J50" s="80"/>
      <c r="K50" s="78">
        <f>IF($B50="",0,IF(COUNTIF('MOVIES + MUSIC'!$B$6:$B$85,$B50)&gt;1,1,0))</f>
      </c>
      <c r="L50" s="75"/>
    </row>
    <row r="51" ht="17" customHeight="1" spans="1:12" x14ac:dyDescent="0.25">
      <c r="A51" s="75"/>
      <c r="B51" s="79"/>
      <c r="C51" s="80"/>
      <c r="D51" s="79"/>
      <c r="E51" s="79"/>
      <c r="F51" s="79"/>
      <c r="G51" s="82"/>
      <c r="H51" s="79"/>
      <c r="I51" s="79"/>
      <c r="J51" s="80"/>
      <c r="K51" s="78">
        <f>IF($B51="",0,IF(COUNTIF('MOVIES + MUSIC'!$B$6:$B$85,$B51)&gt;1,1,0))</f>
      </c>
      <c r="L51" s="75"/>
    </row>
    <row r="52" ht="17" customHeight="1" spans="1:12" x14ac:dyDescent="0.25">
      <c r="A52" s="75"/>
      <c r="B52" s="79"/>
      <c r="C52" s="80"/>
      <c r="D52" s="79"/>
      <c r="E52" s="79"/>
      <c r="F52" s="79"/>
      <c r="G52" s="82"/>
      <c r="H52" s="79"/>
      <c r="I52" s="79"/>
      <c r="J52" s="80"/>
      <c r="K52" s="78">
        <f>IF($B52="",0,IF(COUNTIF('MOVIES + MUSIC'!$B$6:$B$85,$B52)&gt;1,1,0))</f>
      </c>
      <c r="L52" s="75"/>
    </row>
    <row r="53" ht="17" customHeight="1" spans="1:12" x14ac:dyDescent="0.25">
      <c r="A53" s="75"/>
      <c r="B53" s="79"/>
      <c r="C53" s="80"/>
      <c r="D53" s="79"/>
      <c r="E53" s="79"/>
      <c r="F53" s="79"/>
      <c r="G53" s="82"/>
      <c r="H53" s="79"/>
      <c r="I53" s="79"/>
      <c r="J53" s="80"/>
      <c r="K53" s="78">
        <f>IF($B53="",0,IF(COUNTIF('MOVIES + MUSIC'!$B$6:$B$85,$B53)&gt;1,1,0))</f>
      </c>
      <c r="L53" s="75"/>
    </row>
    <row r="54" ht="17" customHeight="1" spans="1:12" x14ac:dyDescent="0.25">
      <c r="A54" s="75"/>
      <c r="B54" s="79"/>
      <c r="C54" s="80"/>
      <c r="D54" s="79"/>
      <c r="E54" s="79"/>
      <c r="F54" s="79"/>
      <c r="G54" s="82"/>
      <c r="H54" s="79"/>
      <c r="I54" s="79"/>
      <c r="J54" s="80"/>
      <c r="K54" s="78">
        <f>IF($B54="",0,IF(COUNTIF('MOVIES + MUSIC'!$B$6:$B$85,$B54)&gt;1,1,0))</f>
      </c>
      <c r="L54" s="75"/>
    </row>
    <row r="55" ht="17" customHeight="1" spans="1:12" x14ac:dyDescent="0.25">
      <c r="A55" s="75"/>
      <c r="B55" s="79"/>
      <c r="C55" s="80"/>
      <c r="D55" s="79"/>
      <c r="E55" s="79"/>
      <c r="F55" s="79"/>
      <c r="G55" s="82"/>
      <c r="H55" s="79"/>
      <c r="I55" s="79"/>
      <c r="J55" s="80"/>
      <c r="K55" s="78">
        <f>IF($B55="",0,IF(COUNTIF('MOVIES + MUSIC'!$B$6:$B$85,$B55)&gt;1,1,0))</f>
      </c>
      <c r="L55" s="75"/>
    </row>
    <row r="56" ht="17" customHeight="1" spans="1:12" x14ac:dyDescent="0.25">
      <c r="A56" s="75"/>
      <c r="B56" s="79"/>
      <c r="C56" s="80"/>
      <c r="D56" s="79"/>
      <c r="E56" s="79"/>
      <c r="F56" s="79"/>
      <c r="G56" s="82"/>
      <c r="H56" s="79"/>
      <c r="I56" s="79"/>
      <c r="J56" s="80"/>
      <c r="K56" s="78">
        <f>IF($B56="",0,IF(COUNTIF('MOVIES + MUSIC'!$B$6:$B$85,$B56)&gt;1,1,0))</f>
      </c>
      <c r="L56" s="75"/>
    </row>
    <row r="57" ht="17" customHeight="1" spans="1:12" x14ac:dyDescent="0.25">
      <c r="A57" s="75"/>
      <c r="B57" s="79"/>
      <c r="C57" s="80"/>
      <c r="D57" s="79"/>
      <c r="E57" s="79"/>
      <c r="F57" s="79"/>
      <c r="G57" s="82"/>
      <c r="H57" s="79"/>
      <c r="I57" s="79"/>
      <c r="J57" s="80"/>
      <c r="K57" s="78">
        <f>IF($B57="",0,IF(COUNTIF('MOVIES + MUSIC'!$B$6:$B$85,$B57)&gt;1,1,0))</f>
      </c>
      <c r="L57" s="75"/>
    </row>
    <row r="58" ht="17" customHeight="1" spans="1:12" x14ac:dyDescent="0.25">
      <c r="A58" s="75"/>
      <c r="B58" s="79"/>
      <c r="C58" s="80"/>
      <c r="D58" s="79"/>
      <c r="E58" s="79"/>
      <c r="F58" s="79"/>
      <c r="G58" s="82"/>
      <c r="H58" s="79"/>
      <c r="I58" s="79"/>
      <c r="J58" s="80"/>
      <c r="K58" s="78">
        <f>IF($B58="",0,IF(COUNTIF('MOVIES + MUSIC'!$B$6:$B$85,$B58)&gt;1,1,0))</f>
      </c>
      <c r="L58" s="75"/>
    </row>
    <row r="59" ht="17" customHeight="1" spans="1:12" x14ac:dyDescent="0.25">
      <c r="A59" s="75"/>
      <c r="B59" s="79"/>
      <c r="C59" s="80"/>
      <c r="D59" s="79"/>
      <c r="E59" s="79"/>
      <c r="F59" s="79"/>
      <c r="G59" s="82"/>
      <c r="H59" s="79"/>
      <c r="I59" s="79"/>
      <c r="J59" s="80"/>
      <c r="K59" s="78">
        <f>IF($B59="",0,IF(COUNTIF('MOVIES + MUSIC'!$B$6:$B$85,$B59)&gt;1,1,0))</f>
      </c>
      <c r="L59" s="75"/>
    </row>
    <row r="60" ht="17" customHeight="1" spans="1:12" x14ac:dyDescent="0.25">
      <c r="A60" s="75"/>
      <c r="B60" s="79"/>
      <c r="C60" s="80"/>
      <c r="D60" s="79"/>
      <c r="E60" s="79"/>
      <c r="F60" s="79"/>
      <c r="G60" s="82"/>
      <c r="H60" s="79"/>
      <c r="I60" s="79"/>
      <c r="J60" s="80"/>
      <c r="K60" s="78">
        <f>IF($B60="",0,IF(COUNTIF('MOVIES + MUSIC'!$B$6:$B$85,$B60)&gt;1,1,0))</f>
      </c>
      <c r="L60" s="75"/>
    </row>
    <row r="61" ht="17" customHeight="1" spans="1:12" x14ac:dyDescent="0.25">
      <c r="A61" s="75"/>
      <c r="B61" s="79"/>
      <c r="C61" s="80"/>
      <c r="D61" s="79"/>
      <c r="E61" s="79"/>
      <c r="F61" s="79"/>
      <c r="G61" s="82"/>
      <c r="H61" s="79"/>
      <c r="I61" s="79"/>
      <c r="J61" s="80"/>
      <c r="K61" s="78">
        <f>IF($B61="",0,IF(COUNTIF('MOVIES + MUSIC'!$B$6:$B$85,$B61)&gt;1,1,0))</f>
      </c>
      <c r="L61" s="75"/>
    </row>
    <row r="62" ht="17" customHeight="1" spans="1:12" x14ac:dyDescent="0.25">
      <c r="A62" s="75"/>
      <c r="B62" s="79"/>
      <c r="C62" s="80"/>
      <c r="D62" s="79"/>
      <c r="E62" s="79"/>
      <c r="F62" s="79"/>
      <c r="G62" s="82"/>
      <c r="H62" s="79"/>
      <c r="I62" s="79"/>
      <c r="J62" s="80"/>
      <c r="K62" s="78">
        <f>IF($B62="",0,IF(COUNTIF('MOVIES + MUSIC'!$B$6:$B$85,$B62)&gt;1,1,0))</f>
      </c>
      <c r="L62" s="75"/>
    </row>
    <row r="63" ht="17" customHeight="1" spans="1:12" x14ac:dyDescent="0.25">
      <c r="A63" s="75"/>
      <c r="B63" s="79"/>
      <c r="C63" s="80"/>
      <c r="D63" s="79"/>
      <c r="E63" s="79"/>
      <c r="F63" s="79"/>
      <c r="G63" s="82"/>
      <c r="H63" s="79"/>
      <c r="I63" s="79"/>
      <c r="J63" s="80"/>
      <c r="K63" s="78">
        <f>IF($B63="",0,IF(COUNTIF('MOVIES + MUSIC'!$B$6:$B$85,$B63)&gt;1,1,0))</f>
      </c>
      <c r="L63" s="75"/>
    </row>
    <row r="64" ht="17" customHeight="1" spans="1:12" x14ac:dyDescent="0.25">
      <c r="A64" s="75"/>
      <c r="B64" s="79"/>
      <c r="C64" s="80"/>
      <c r="D64" s="79"/>
      <c r="E64" s="79"/>
      <c r="F64" s="79"/>
      <c r="G64" s="82"/>
      <c r="H64" s="79"/>
      <c r="I64" s="79"/>
      <c r="J64" s="80"/>
      <c r="K64" s="78">
        <f>IF($B64="",0,IF(COUNTIF('MOVIES + MUSIC'!$B$6:$B$85,$B64)&gt;1,1,0))</f>
      </c>
      <c r="L64" s="75"/>
    </row>
    <row r="65" ht="17" customHeight="1" spans="1:12" x14ac:dyDescent="0.25">
      <c r="A65" s="75"/>
      <c r="B65" s="79"/>
      <c r="C65" s="80"/>
      <c r="D65" s="79"/>
      <c r="E65" s="79"/>
      <c r="F65" s="79"/>
      <c r="G65" s="82"/>
      <c r="H65" s="79"/>
      <c r="I65" s="79"/>
      <c r="J65" s="80"/>
      <c r="K65" s="78">
        <f>IF($B65="",0,IF(COUNTIF('MOVIES + MUSIC'!$B$6:$B$85,$B65)&gt;1,1,0))</f>
      </c>
      <c r="L65" s="75"/>
    </row>
    <row r="66" ht="17" customHeight="1" spans="1:12" x14ac:dyDescent="0.25">
      <c r="A66" s="75"/>
      <c r="B66" s="79"/>
      <c r="C66" s="80"/>
      <c r="D66" s="79"/>
      <c r="E66" s="79"/>
      <c r="F66" s="79"/>
      <c r="G66" s="82"/>
      <c r="H66" s="79"/>
      <c r="I66" s="79"/>
      <c r="J66" s="80"/>
      <c r="K66" s="78">
        <f>IF($B66="",0,IF(COUNTIF('MOVIES + MUSIC'!$B$6:$B$85,$B66)&gt;1,1,0))</f>
      </c>
      <c r="L66" s="75"/>
    </row>
    <row r="67" ht="17" customHeight="1" spans="1:12" x14ac:dyDescent="0.25">
      <c r="A67" s="75"/>
      <c r="B67" s="79"/>
      <c r="C67" s="80"/>
      <c r="D67" s="79"/>
      <c r="E67" s="79"/>
      <c r="F67" s="79"/>
      <c r="G67" s="82"/>
      <c r="H67" s="79"/>
      <c r="I67" s="79"/>
      <c r="J67" s="80"/>
      <c r="K67" s="78">
        <f>IF($B67="",0,IF(COUNTIF('MOVIES + MUSIC'!$B$6:$B$85,$B67)&gt;1,1,0))</f>
      </c>
      <c r="L67" s="75"/>
    </row>
    <row r="68" ht="17" customHeight="1" spans="1:12" x14ac:dyDescent="0.25">
      <c r="A68" s="75"/>
      <c r="B68" s="79"/>
      <c r="C68" s="80"/>
      <c r="D68" s="79"/>
      <c r="E68" s="79"/>
      <c r="F68" s="79"/>
      <c r="G68" s="82"/>
      <c r="H68" s="79"/>
      <c r="I68" s="79"/>
      <c r="J68" s="80"/>
      <c r="K68" s="78">
        <f>IF($B68="",0,IF(COUNTIF('MOVIES + MUSIC'!$B$6:$B$85,$B68)&gt;1,1,0))</f>
      </c>
      <c r="L68" s="75"/>
    </row>
    <row r="69" ht="17" customHeight="1" spans="1:12" x14ac:dyDescent="0.25">
      <c r="A69" s="75"/>
      <c r="B69" s="79"/>
      <c r="C69" s="80"/>
      <c r="D69" s="79"/>
      <c r="E69" s="79"/>
      <c r="F69" s="79"/>
      <c r="G69" s="82"/>
      <c r="H69" s="79"/>
      <c r="I69" s="79"/>
      <c r="J69" s="80"/>
      <c r="K69" s="78">
        <f>IF($B69="",0,IF(COUNTIF('MOVIES + MUSIC'!$B$6:$B$85,$B69)&gt;1,1,0))</f>
      </c>
      <c r="L69" s="75"/>
    </row>
    <row r="70" ht="17" customHeight="1" spans="1:12" x14ac:dyDescent="0.25">
      <c r="A70" s="75"/>
      <c r="B70" s="79"/>
      <c r="C70" s="80"/>
      <c r="D70" s="79"/>
      <c r="E70" s="79"/>
      <c r="F70" s="79"/>
      <c r="G70" s="82"/>
      <c r="H70" s="79"/>
      <c r="I70" s="79"/>
      <c r="J70" s="80"/>
      <c r="K70" s="78">
        <f>IF($B70="",0,IF(COUNTIF('MOVIES + MUSIC'!$B$6:$B$85,$B70)&gt;1,1,0))</f>
      </c>
      <c r="L70" s="75"/>
    </row>
    <row r="71" ht="17" customHeight="1" spans="1:12" x14ac:dyDescent="0.25">
      <c r="A71" s="75"/>
      <c r="B71" s="79"/>
      <c r="C71" s="80"/>
      <c r="D71" s="79"/>
      <c r="E71" s="79"/>
      <c r="F71" s="79"/>
      <c r="G71" s="82"/>
      <c r="H71" s="79"/>
      <c r="I71" s="79"/>
      <c r="J71" s="80"/>
      <c r="K71" s="78">
        <f>IF($B71="",0,IF(COUNTIF('MOVIES + MUSIC'!$B$6:$B$85,$B71)&gt;1,1,0))</f>
      </c>
      <c r="L71" s="75"/>
    </row>
    <row r="72" ht="17" customHeight="1" spans="1:12" x14ac:dyDescent="0.25">
      <c r="A72" s="75"/>
      <c r="B72" s="79"/>
      <c r="C72" s="80"/>
      <c r="D72" s="79"/>
      <c r="E72" s="79"/>
      <c r="F72" s="79"/>
      <c r="G72" s="82"/>
      <c r="H72" s="79"/>
      <c r="I72" s="79"/>
      <c r="J72" s="80"/>
      <c r="K72" s="78">
        <f>IF($B72="",0,IF(COUNTIF('MOVIES + MUSIC'!$B$6:$B$85,$B72)&gt;1,1,0))</f>
      </c>
      <c r="L72" s="75"/>
    </row>
    <row r="73" ht="17" customHeight="1" spans="1:12" x14ac:dyDescent="0.25">
      <c r="A73" s="75"/>
      <c r="B73" s="79"/>
      <c r="C73" s="80"/>
      <c r="D73" s="79"/>
      <c r="E73" s="79"/>
      <c r="F73" s="79"/>
      <c r="G73" s="82"/>
      <c r="H73" s="79"/>
      <c r="I73" s="79"/>
      <c r="J73" s="80"/>
      <c r="K73" s="78">
        <f>IF($B73="",0,IF(COUNTIF('MOVIES + MUSIC'!$B$6:$B$85,$B73)&gt;1,1,0))</f>
      </c>
      <c r="L73" s="75"/>
    </row>
    <row r="74" ht="17" customHeight="1" spans="1:12" x14ac:dyDescent="0.25">
      <c r="A74" s="75"/>
      <c r="B74" s="79"/>
      <c r="C74" s="80"/>
      <c r="D74" s="79"/>
      <c r="E74" s="79"/>
      <c r="F74" s="79"/>
      <c r="G74" s="82"/>
      <c r="H74" s="79"/>
      <c r="I74" s="79"/>
      <c r="J74" s="80"/>
      <c r="K74" s="78">
        <f>IF($B74="",0,IF(COUNTIF('MOVIES + MUSIC'!$B$6:$B$85,$B74)&gt;1,1,0))</f>
      </c>
      <c r="L74" s="75"/>
    </row>
    <row r="75" ht="17" customHeight="1" spans="1:12" x14ac:dyDescent="0.25">
      <c r="A75" s="75"/>
      <c r="B75" s="79"/>
      <c r="C75" s="80"/>
      <c r="D75" s="79"/>
      <c r="E75" s="79"/>
      <c r="F75" s="79"/>
      <c r="G75" s="82"/>
      <c r="H75" s="79"/>
      <c r="I75" s="79"/>
      <c r="J75" s="80"/>
      <c r="K75" s="78">
        <f>IF($B75="",0,IF(COUNTIF('MOVIES + MUSIC'!$B$6:$B$85,$B75)&gt;1,1,0))</f>
      </c>
      <c r="L75" s="75"/>
    </row>
    <row r="76" ht="17" customHeight="1" spans="1:12" x14ac:dyDescent="0.25">
      <c r="A76" s="75"/>
      <c r="B76" s="79"/>
      <c r="C76" s="80"/>
      <c r="D76" s="79"/>
      <c r="E76" s="79"/>
      <c r="F76" s="79"/>
      <c r="G76" s="82"/>
      <c r="H76" s="79"/>
      <c r="I76" s="79"/>
      <c r="J76" s="80"/>
      <c r="K76" s="78">
        <f>IF($B76="",0,IF(COUNTIF('MOVIES + MUSIC'!$B$6:$B$85,$B76)&gt;1,1,0))</f>
      </c>
      <c r="L76" s="75"/>
    </row>
    <row r="77" ht="17" customHeight="1" spans="1:12" x14ac:dyDescent="0.25">
      <c r="A77" s="75"/>
      <c r="B77" s="79"/>
      <c r="C77" s="80"/>
      <c r="D77" s="79"/>
      <c r="E77" s="79"/>
      <c r="F77" s="79"/>
      <c r="G77" s="82"/>
      <c r="H77" s="79"/>
      <c r="I77" s="79"/>
      <c r="J77" s="80"/>
      <c r="K77" s="78">
        <f>IF($B77="",0,IF(COUNTIF('MOVIES + MUSIC'!$B$6:$B$85,$B77)&gt;1,1,0))</f>
      </c>
      <c r="L77" s="75"/>
    </row>
    <row r="78" ht="17" customHeight="1" spans="1:12" x14ac:dyDescent="0.25">
      <c r="A78" s="75"/>
      <c r="B78" s="79"/>
      <c r="C78" s="80"/>
      <c r="D78" s="79"/>
      <c r="E78" s="79"/>
      <c r="F78" s="79"/>
      <c r="G78" s="82"/>
      <c r="H78" s="79"/>
      <c r="I78" s="79"/>
      <c r="J78" s="80"/>
      <c r="K78" s="78">
        <f>IF($B78="",0,IF(COUNTIF('MOVIES + MUSIC'!$B$6:$B$85,$B78)&gt;1,1,0))</f>
      </c>
      <c r="L78" s="75"/>
    </row>
    <row r="79" ht="17" customHeight="1" spans="1:12" x14ac:dyDescent="0.25">
      <c r="A79" s="75"/>
      <c r="B79" s="79"/>
      <c r="C79" s="80"/>
      <c r="D79" s="79"/>
      <c r="E79" s="79"/>
      <c r="F79" s="79"/>
      <c r="G79" s="82"/>
      <c r="H79" s="79"/>
      <c r="I79" s="79"/>
      <c r="J79" s="80"/>
      <c r="K79" s="78">
        <f>IF($B79="",0,IF(COUNTIF('MOVIES + MUSIC'!$B$6:$B$85,$B79)&gt;1,1,0))</f>
      </c>
      <c r="L79" s="75"/>
    </row>
    <row r="80" ht="17" customHeight="1" spans="1:12" x14ac:dyDescent="0.25">
      <c r="A80" s="75"/>
      <c r="B80" s="79"/>
      <c r="C80" s="80"/>
      <c r="D80" s="79"/>
      <c r="E80" s="79"/>
      <c r="F80" s="79"/>
      <c r="G80" s="82"/>
      <c r="H80" s="79"/>
      <c r="I80" s="79"/>
      <c r="J80" s="80"/>
      <c r="K80" s="78">
        <f>IF($B80="",0,IF(COUNTIF('MOVIES + MUSIC'!$B$6:$B$85,$B80)&gt;1,1,0))</f>
      </c>
      <c r="L80" s="75"/>
    </row>
    <row r="81" ht="17" customHeight="1" spans="1:12" x14ac:dyDescent="0.25">
      <c r="A81" s="75"/>
      <c r="B81" s="79"/>
      <c r="C81" s="80"/>
      <c r="D81" s="79"/>
      <c r="E81" s="79"/>
      <c r="F81" s="79"/>
      <c r="G81" s="82"/>
      <c r="H81" s="79"/>
      <c r="I81" s="79"/>
      <c r="J81" s="80"/>
      <c r="K81" s="78">
        <f>IF($B81="",0,IF(COUNTIF('MOVIES + MUSIC'!$B$6:$B$85,$B81)&gt;1,1,0))</f>
      </c>
      <c r="L81" s="75"/>
    </row>
    <row r="82" ht="17" customHeight="1" spans="1:12" x14ac:dyDescent="0.25">
      <c r="A82" s="75"/>
      <c r="B82" s="79"/>
      <c r="C82" s="80"/>
      <c r="D82" s="79"/>
      <c r="E82" s="79"/>
      <c r="F82" s="79"/>
      <c r="G82" s="82"/>
      <c r="H82" s="79"/>
      <c r="I82" s="79"/>
      <c r="J82" s="80"/>
      <c r="K82" s="78">
        <f>IF($B82="",0,IF(COUNTIF('MOVIES + MUSIC'!$B$6:$B$85,$B82)&gt;1,1,0))</f>
      </c>
      <c r="L82" s="75"/>
    </row>
    <row r="83" ht="17" customHeight="1" spans="1:12" x14ac:dyDescent="0.25">
      <c r="A83" s="75"/>
      <c r="B83" s="79"/>
      <c r="C83" s="80"/>
      <c r="D83" s="79"/>
      <c r="E83" s="79"/>
      <c r="F83" s="79"/>
      <c r="G83" s="82"/>
      <c r="H83" s="79"/>
      <c r="I83" s="79"/>
      <c r="J83" s="80"/>
      <c r="K83" s="78">
        <f>IF($B83="",0,IF(COUNTIF('MOVIES + MUSIC'!$B$6:$B$85,$B83)&gt;1,1,0))</f>
      </c>
      <c r="L83" s="75"/>
    </row>
    <row r="84" ht="17" customHeight="1" spans="1:12" x14ac:dyDescent="0.25">
      <c r="A84" s="75"/>
      <c r="B84" s="79"/>
      <c r="C84" s="80"/>
      <c r="D84" s="79"/>
      <c r="E84" s="79"/>
      <c r="F84" s="79"/>
      <c r="G84" s="82"/>
      <c r="H84" s="79"/>
      <c r="I84" s="79"/>
      <c r="J84" s="80"/>
      <c r="K84" s="78">
        <f>IF($B84="",0,IF(COUNTIF('MOVIES + MUSIC'!$B$6:$B$85,$B84)&gt;1,1,0))</f>
      </c>
      <c r="L84" s="75"/>
    </row>
    <row r="85" ht="17" customHeight="1" spans="1:12" x14ac:dyDescent="0.25">
      <c r="A85" s="75"/>
      <c r="B85" s="79"/>
      <c r="C85" s="80"/>
      <c r="D85" s="79"/>
      <c r="E85" s="79"/>
      <c r="F85" s="79"/>
      <c r="G85" s="82"/>
      <c r="H85" s="79"/>
      <c r="I85" s="79"/>
      <c r="J85" s="80"/>
      <c r="K85" s="78">
        <f>IF($B85="",0,IF(COUNTIF('MOVIES + MUSIC'!$B$6:$B$85,$B85)&gt;1,1,0))</f>
      </c>
      <c r="L85" s="75"/>
    </row>
    <row r="87" spans="2:2" x14ac:dyDescent="0.25">
      <c r="B87" s="91" t="s">
        <v>737</v>
      </c>
    </row>
  </sheetData>
  <autoFilter ref="B5:K85"/>
  <mergeCells count="3">
    <mergeCell ref="B1:C1"/>
    <mergeCell ref="D1:E1"/>
    <mergeCell ref="H1:I1"/>
  </mergeCells>
  <dataValidations count="5">
    <dataValidation type="list" allowBlank="1" showErrorMessage="1" errorStyle="warning" errorTitle="Not one of the usual values" error="This column normally uses a value from the MediaType list on LISTS. You can keep what you typed, or add it to the list so it appears in the dropdown." sqref="D6:D85">
      <formula1>=List_MediaType</formula1>
    </dataValidation>
    <dataValidation type="list" allowBlank="1" showErrorMessage="1" errorStyle="warning" errorTitle="Not one of the usual values" error="This column normally uses a value from the Audience list on LISTS. You can keep what you typed, or add it to the list so it appears in the dropdown." sqref="F6:F85">
      <formula1>=List_Audience</formula1>
    </dataValidation>
    <dataValidation type="custom" allowBlank="1" showErrorMessage="1" errorStyle="warning" errorTitle="That is not a date yet" error="Type a real date, so the workbook can count days with it. &quot;Before Christmas&quot; cannot be sorted." sqref="G6:G85">
      <formula1>=OR(G6="",ISNUMBER(G6))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H6:H85">
      <formula1>=List_YesNo</formula1>
    </dataValidation>
    <dataValidation type="list" allowBlank="1" showErrorMessage="1" errorStyle="warning" errorTitle="Not one of the usual values" error="This column normally uses a value from the Rating list on LISTS. You can keep what you typed, or add it to the list so it appears in the dropdown." sqref="I6:I85">
      <formula1>=List_Rating</formula1>
    </dataValidation>
  </dataValidations>
  <hyperlinks>
    <hyperlink ref="B1" r:id="rId1" location="#'DASHBOARD'!A1"/>
    <hyperlink ref="D1" r:id="rId2" location="#'START HERE'!A1"/>
    <hyperlink ref="F1" r:id="rId3" location="#'CHRISTMAS CALENDAR'!A1"/>
    <hyperlink ref="G1" r:id="rId4" location="#'MASTER BUDGET'!A1"/>
    <hyperlink ref="H1" r:id="rId5" location="#'SHEET INDEX'!A1"/>
  </hyperlinks>
  <pageMargins left="0.4" right="0.4" top="0.6" bottom="0.6" header="0.3" footer="0.3"/>
  <pageSetup orientation="landscape" fitToWidth="1" fitToHeight="0"/>
  <headerFooter>
    <oddFooter>&amp;LMOVIES + MUSIC&amp;C&amp;P of &amp;N&amp;RThe Christmas Season Master Command Center™</oddFooter>
  </headerFooter>
  <legacyDrawing r:id="rId7"/>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R15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3" width="11" customWidth="1"/>
    <col min="4" max="5" width="22" customWidth="1"/>
    <col min="6" max="6" width="16" customWidth="1"/>
    <col min="7" max="7" width="20" customWidth="1"/>
    <col min="8" max="8" width="17" customWidth="1"/>
    <col min="9" max="10" width="13" customWidth="1"/>
    <col min="11" max="11" width="14" customWidth="1"/>
    <col min="12" max="12" width="13" customWidth="1"/>
    <col min="13" max="13" width="11" customWidth="1"/>
    <col min="14" max="14" width="34" customWidth="1"/>
    <col min="15" max="17" width="18" hidden="1" customWidth="1"/>
    <col min="18" max="18" width="2" customWidth="1"/>
  </cols>
  <sheetData>
    <row r="1" ht="21" customHeight="1" spans="1:18" x14ac:dyDescent="0.25">
      <c r="A1" s="62"/>
      <c r="B1" s="63" t="s">
        <v>8</v>
      </c>
      <c r="C1" s="63"/>
      <c r="D1" s="63" t="s">
        <v>9</v>
      </c>
      <c r="E1" s="63" t="s">
        <v>10</v>
      </c>
      <c r="F1" s="63" t="s">
        <v>11</v>
      </c>
      <c r="G1" s="63" t="s">
        <v>12</v>
      </c>
      <c r="H1" s="62"/>
      <c r="I1" s="62"/>
      <c r="J1" s="62"/>
      <c r="K1" s="62"/>
      <c r="L1" s="62"/>
      <c r="M1" s="62"/>
      <c r="N1" s="62"/>
      <c r="O1" s="62"/>
      <c r="P1" s="62"/>
      <c r="Q1" s="62"/>
      <c r="R1" s="62"/>
    </row>
    <row r="2" ht="34" customHeight="1" spans="1:18" x14ac:dyDescent="0.25">
      <c r="A2" s="64"/>
      <c r="B2" s="65" t="s">
        <v>738</v>
      </c>
      <c r="C2" s="64"/>
      <c r="D2" s="64"/>
      <c r="E2" s="64"/>
      <c r="F2" s="64"/>
      <c r="G2" s="64"/>
      <c r="H2" s="64"/>
      <c r="I2" s="64"/>
      <c r="J2" s="64"/>
      <c r="K2" s="64"/>
      <c r="L2" s="64"/>
      <c r="M2" s="64"/>
      <c r="N2" s="64"/>
      <c r="O2" s="64"/>
      <c r="P2" s="64"/>
      <c r="Q2" s="64"/>
      <c r="R2" s="64"/>
    </row>
    <row r="3" ht="18" customHeight="1" spans="1:18" x14ac:dyDescent="0.25">
      <c r="A3" s="64"/>
      <c r="B3" s="66" t="s">
        <v>739</v>
      </c>
      <c r="C3" s="64"/>
      <c r="D3" s="64"/>
      <c r="E3" s="64"/>
      <c r="F3" s="64"/>
      <c r="G3" s="64"/>
      <c r="H3" s="64"/>
      <c r="I3" s="64"/>
      <c r="J3" s="64"/>
      <c r="K3" s="64"/>
      <c r="L3" s="64"/>
      <c r="M3" s="64"/>
      <c r="N3" s="64"/>
      <c r="O3" s="64"/>
      <c r="P3" s="64"/>
      <c r="Q3" s="64"/>
      <c r="R3" s="64"/>
    </row>
    <row r="4" ht="17" customHeight="1" spans="1:18" x14ac:dyDescent="0.25">
      <c r="A4" s="64"/>
      <c r="B4" s="67" t="s">
        <v>160</v>
      </c>
      <c r="C4" s="64"/>
      <c r="D4" s="64"/>
      <c r="E4" s="64"/>
      <c r="F4" s="64"/>
      <c r="G4" s="64"/>
      <c r="H4" s="64"/>
      <c r="I4" s="64"/>
      <c r="J4" s="64"/>
      <c r="K4" s="64"/>
      <c r="L4" s="64"/>
      <c r="M4" s="64"/>
      <c r="N4" s="64"/>
      <c r="O4" s="64"/>
      <c r="P4" s="64"/>
      <c r="Q4" s="64"/>
      <c r="R4" s="64"/>
    </row>
    <row r="5" ht="32" customHeight="1" spans="1:18" x14ac:dyDescent="0.25">
      <c r="A5" s="73"/>
      <c r="B5" s="74" t="s">
        <v>740</v>
      </c>
      <c r="C5" s="74" t="s">
        <v>197</v>
      </c>
      <c r="D5" s="74" t="s">
        <v>298</v>
      </c>
      <c r="E5" s="74" t="s">
        <v>670</v>
      </c>
      <c r="F5" s="74" t="s">
        <v>209</v>
      </c>
      <c r="G5" s="74" t="s">
        <v>741</v>
      </c>
      <c r="H5" s="74" t="s">
        <v>300</v>
      </c>
      <c r="I5" s="74" t="s">
        <v>309</v>
      </c>
      <c r="J5" s="74" t="s">
        <v>310</v>
      </c>
      <c r="K5" s="74" t="s">
        <v>260</v>
      </c>
      <c r="L5" s="74" t="s">
        <v>742</v>
      </c>
      <c r="M5" s="74" t="s">
        <v>743</v>
      </c>
      <c r="N5" s="74" t="s">
        <v>179</v>
      </c>
      <c r="O5" s="74" t="s">
        <v>180</v>
      </c>
      <c r="P5" s="74" t="s">
        <v>323</v>
      </c>
      <c r="Q5" s="74" t="s">
        <v>324</v>
      </c>
      <c r="R5" s="73"/>
    </row>
    <row r="6" ht="17" customHeight="1" spans="1:18" x14ac:dyDescent="0.25">
      <c r="A6" s="75"/>
      <c r="B6" s="76" t="s">
        <v>744</v>
      </c>
      <c r="C6" s="76" t="s">
        <v>213</v>
      </c>
      <c r="D6" s="78">
        <f>IF($B6="","",IF($C6="",$E6,IF($C6="","",IFERROR(IF(INDEX('PEOPLE + BUDGETS'!$C$6:$C$105,MATCH($C6,'PEOPLE + BUDGETS'!$B$6:$B$105,0))="","",INDEX('PEOPLE + BUDGETS'!$C$6:$C$105,MATCH($C6,'PEOPLE + BUDGETS'!$B$6:$B$105,0))),""))))</f>
      </c>
      <c r="E6" s="76"/>
      <c r="F6" s="76" t="s">
        <v>223</v>
      </c>
      <c r="G6" s="76" t="s">
        <v>745</v>
      </c>
      <c r="H6" s="76" t="s">
        <v>281</v>
      </c>
      <c r="I6" s="84">
        <v>6.4</v>
      </c>
      <c r="J6" s="84">
        <v>6.4</v>
      </c>
      <c r="K6" s="76" t="s">
        <v>742</v>
      </c>
      <c r="L6" s="81">
        <v>46361</v>
      </c>
      <c r="M6" s="76" t="s">
        <v>194</v>
      </c>
      <c r="N6" s="77" t="s">
        <v>186</v>
      </c>
      <c r="O6" s="78">
        <f>IF($B6="",0,IF(COUNTIF('CARDS + MAIL'!$B$6:$B$155,$B6)&gt;1,1,0))</f>
      </c>
      <c r="P6" s="78">
        <f>IF(OR(N($I6)&gt;0,N($J6)&gt;0),IF($H6="",1,IF(COUNTIF('MASTER BUDGET'!$D$6:$D$25,$H6)=0,1,0)),0)</f>
      </c>
      <c r="Q6" s="78">
        <f>IF($C6="",0,IF(COUNTIF('PEOPLE + BUDGETS'!$B$6:$B$105,$C6)=0,1,0))</f>
      </c>
      <c r="R6" s="75"/>
    </row>
    <row r="7" ht="17" customHeight="1" spans="1:18" x14ac:dyDescent="0.25">
      <c r="A7" s="75"/>
      <c r="B7" s="76" t="s">
        <v>746</v>
      </c>
      <c r="C7" s="76" t="s">
        <v>239</v>
      </c>
      <c r="D7" s="78">
        <f>IF($B7="","",IF($C7="",$E7,IF($C7="","",IFERROR(IF(INDEX('PEOPLE + BUDGETS'!$C$6:$C$105,MATCH($C7,'PEOPLE + BUDGETS'!$B$6:$B$105,0))="","",INDEX('PEOPLE + BUDGETS'!$C$6:$C$105,MATCH($C7,'PEOPLE + BUDGETS'!$B$6:$B$105,0))),""))))</f>
      </c>
      <c r="E7" s="76"/>
      <c r="F7" s="76" t="s">
        <v>246</v>
      </c>
      <c r="G7" s="76" t="s">
        <v>745</v>
      </c>
      <c r="H7" s="76" t="s">
        <v>281</v>
      </c>
      <c r="I7" s="84">
        <v>6.4</v>
      </c>
      <c r="J7" s="84"/>
      <c r="K7" s="76" t="s">
        <v>747</v>
      </c>
      <c r="L7" s="81"/>
      <c r="M7" s="76" t="s">
        <v>194</v>
      </c>
      <c r="N7" s="77" t="s">
        <v>186</v>
      </c>
      <c r="O7" s="78">
        <f>IF($B7="",0,IF(COUNTIF('CARDS + MAIL'!$B$6:$B$155,$B7)&gt;1,1,0))</f>
      </c>
      <c r="P7" s="78">
        <f>IF(OR(N($I7)&gt;0,N($J7)&gt;0),IF($H7="",1,IF(COUNTIF('MASTER BUDGET'!$D$6:$D$25,$H7)=0,1,0)),0)</f>
      </c>
      <c r="Q7" s="78">
        <f>IF($C7="",0,IF(COUNTIF('PEOPLE + BUDGETS'!$B$6:$B$105,$C7)=0,1,0))</f>
      </c>
      <c r="R7" s="75"/>
    </row>
    <row r="8" ht="17" customHeight="1" spans="1:18" x14ac:dyDescent="0.25">
      <c r="A8" s="75"/>
      <c r="B8" s="76" t="s">
        <v>748</v>
      </c>
      <c r="C8" s="76"/>
      <c r="D8" s="78">
        <f>IF($B8="","",IF($C8="",$E8,IF($C8="","",IFERROR(IF(INDEX('PEOPLE + BUDGETS'!$C$6:$C$105,MATCH($C8,'PEOPLE + BUDGETS'!$B$6:$B$105,0))="","",INDEX('PEOPLE + BUDGETS'!$C$6:$C$105,MATCH($C8,'PEOPLE + BUDGETS'!$B$6:$B$105,0))),""))))</f>
      </c>
      <c r="E8" s="76" t="s">
        <v>749</v>
      </c>
      <c r="F8" s="76" t="s">
        <v>223</v>
      </c>
      <c r="G8" s="76" t="s">
        <v>750</v>
      </c>
      <c r="H8" s="76" t="s">
        <v>281</v>
      </c>
      <c r="I8" s="84">
        <v>4</v>
      </c>
      <c r="J8" s="84"/>
      <c r="K8" s="76" t="s">
        <v>751</v>
      </c>
      <c r="L8" s="81"/>
      <c r="M8" s="76" t="s">
        <v>194</v>
      </c>
      <c r="N8" s="77" t="s">
        <v>186</v>
      </c>
      <c r="O8" s="78">
        <f>IF($B8="",0,IF(COUNTIF('CARDS + MAIL'!$B$6:$B$155,$B8)&gt;1,1,0))</f>
      </c>
      <c r="P8" s="78">
        <f>IF(OR(N($I8)&gt;0,N($J8)&gt;0),IF($H8="",1,IF(COUNTIF('MASTER BUDGET'!$D$6:$D$25,$H8)=0,1,0)),0)</f>
      </c>
      <c r="Q8" s="78">
        <f>IF($C8="",0,IF(COUNTIF('PEOPLE + BUDGETS'!$B$6:$B$105,$C8)=0,1,0))</f>
      </c>
      <c r="R8" s="75"/>
    </row>
    <row r="9" ht="17" customHeight="1" spans="1:18" x14ac:dyDescent="0.25">
      <c r="A9" s="75"/>
      <c r="B9" s="79"/>
      <c r="C9" s="79"/>
      <c r="D9" s="78">
        <f>IF($B9="","",IF($C9="",$E9,IF($C9="","",IFERROR(IF(INDEX('PEOPLE + BUDGETS'!$C$6:$C$105,MATCH($C9,'PEOPLE + BUDGETS'!$B$6:$B$105,0))="","",INDEX('PEOPLE + BUDGETS'!$C$6:$C$105,MATCH($C9,'PEOPLE + BUDGETS'!$B$6:$B$105,0))),""))))</f>
      </c>
      <c r="E9" s="79"/>
      <c r="F9" s="79"/>
      <c r="G9" s="79"/>
      <c r="H9" s="79"/>
      <c r="I9" s="86"/>
      <c r="J9" s="86"/>
      <c r="K9" s="79"/>
      <c r="L9" s="82"/>
      <c r="M9" s="79"/>
      <c r="N9" s="80"/>
      <c r="O9" s="78">
        <f>IF($B9="",0,IF(COUNTIF('CARDS + MAIL'!$B$6:$B$155,$B9)&gt;1,1,0))</f>
      </c>
      <c r="P9" s="78">
        <f>IF(OR(N($I9)&gt;0,N($J9)&gt;0),IF($H9="",1,IF(COUNTIF('MASTER BUDGET'!$D$6:$D$25,$H9)=0,1,0)),0)</f>
      </c>
      <c r="Q9" s="78">
        <f>IF($C9="",0,IF(COUNTIF('PEOPLE + BUDGETS'!$B$6:$B$105,$C9)=0,1,0))</f>
      </c>
      <c r="R9" s="75"/>
    </row>
    <row r="10" ht="17" customHeight="1" spans="1:18" x14ac:dyDescent="0.25">
      <c r="A10" s="75"/>
      <c r="B10" s="79"/>
      <c r="C10" s="79"/>
      <c r="D10" s="78">
        <f>IF($B10="","",IF($C10="",$E10,IF($C10="","",IFERROR(IF(INDEX('PEOPLE + BUDGETS'!$C$6:$C$105,MATCH($C10,'PEOPLE + BUDGETS'!$B$6:$B$105,0))="","",INDEX('PEOPLE + BUDGETS'!$C$6:$C$105,MATCH($C10,'PEOPLE + BUDGETS'!$B$6:$B$105,0))),""))))</f>
      </c>
      <c r="E10" s="79"/>
      <c r="F10" s="79"/>
      <c r="G10" s="79"/>
      <c r="H10" s="79"/>
      <c r="I10" s="86"/>
      <c r="J10" s="86"/>
      <c r="K10" s="79"/>
      <c r="L10" s="82"/>
      <c r="M10" s="79"/>
      <c r="N10" s="80"/>
      <c r="O10" s="78">
        <f>IF($B10="",0,IF(COUNTIF('CARDS + MAIL'!$B$6:$B$155,$B10)&gt;1,1,0))</f>
      </c>
      <c r="P10" s="78">
        <f>IF(OR(N($I10)&gt;0,N($J10)&gt;0),IF($H10="",1,IF(COUNTIF('MASTER BUDGET'!$D$6:$D$25,$H10)=0,1,0)),0)</f>
      </c>
      <c r="Q10" s="78">
        <f>IF($C10="",0,IF(COUNTIF('PEOPLE + BUDGETS'!$B$6:$B$105,$C10)=0,1,0))</f>
      </c>
      <c r="R10" s="75"/>
    </row>
    <row r="11" ht="17" customHeight="1" spans="1:18" x14ac:dyDescent="0.25">
      <c r="A11" s="75"/>
      <c r="B11" s="79"/>
      <c r="C11" s="79"/>
      <c r="D11" s="78">
        <f>IF($B11="","",IF($C11="",$E11,IF($C11="","",IFERROR(IF(INDEX('PEOPLE + BUDGETS'!$C$6:$C$105,MATCH($C11,'PEOPLE + BUDGETS'!$B$6:$B$105,0))="","",INDEX('PEOPLE + BUDGETS'!$C$6:$C$105,MATCH($C11,'PEOPLE + BUDGETS'!$B$6:$B$105,0))),""))))</f>
      </c>
      <c r="E11" s="79"/>
      <c r="F11" s="79"/>
      <c r="G11" s="79"/>
      <c r="H11" s="79"/>
      <c r="I11" s="86"/>
      <c r="J11" s="86"/>
      <c r="K11" s="79"/>
      <c r="L11" s="82"/>
      <c r="M11" s="79"/>
      <c r="N11" s="80"/>
      <c r="O11" s="78">
        <f>IF($B11="",0,IF(COUNTIF('CARDS + MAIL'!$B$6:$B$155,$B11)&gt;1,1,0))</f>
      </c>
      <c r="P11" s="78">
        <f>IF(OR(N($I11)&gt;0,N($J11)&gt;0),IF($H11="",1,IF(COUNTIF('MASTER BUDGET'!$D$6:$D$25,$H11)=0,1,0)),0)</f>
      </c>
      <c r="Q11" s="78">
        <f>IF($C11="",0,IF(COUNTIF('PEOPLE + BUDGETS'!$B$6:$B$105,$C11)=0,1,0))</f>
      </c>
      <c r="R11" s="75"/>
    </row>
    <row r="12" ht="17" customHeight="1" spans="1:18" x14ac:dyDescent="0.25">
      <c r="A12" s="75"/>
      <c r="B12" s="79"/>
      <c r="C12" s="79"/>
      <c r="D12" s="78">
        <f>IF($B12="","",IF($C12="",$E12,IF($C12="","",IFERROR(IF(INDEX('PEOPLE + BUDGETS'!$C$6:$C$105,MATCH($C12,'PEOPLE + BUDGETS'!$B$6:$B$105,0))="","",INDEX('PEOPLE + BUDGETS'!$C$6:$C$105,MATCH($C12,'PEOPLE + BUDGETS'!$B$6:$B$105,0))),""))))</f>
      </c>
      <c r="E12" s="79"/>
      <c r="F12" s="79"/>
      <c r="G12" s="79"/>
      <c r="H12" s="79"/>
      <c r="I12" s="86"/>
      <c r="J12" s="86"/>
      <c r="K12" s="79"/>
      <c r="L12" s="82"/>
      <c r="M12" s="79"/>
      <c r="N12" s="80"/>
      <c r="O12" s="78">
        <f>IF($B12="",0,IF(COUNTIF('CARDS + MAIL'!$B$6:$B$155,$B12)&gt;1,1,0))</f>
      </c>
      <c r="P12" s="78">
        <f>IF(OR(N($I12)&gt;0,N($J12)&gt;0),IF($H12="",1,IF(COUNTIF('MASTER BUDGET'!$D$6:$D$25,$H12)=0,1,0)),0)</f>
      </c>
      <c r="Q12" s="78">
        <f>IF($C12="",0,IF(COUNTIF('PEOPLE + BUDGETS'!$B$6:$B$105,$C12)=0,1,0))</f>
      </c>
      <c r="R12" s="75"/>
    </row>
    <row r="13" ht="17" customHeight="1" spans="1:18" x14ac:dyDescent="0.25">
      <c r="A13" s="75"/>
      <c r="B13" s="79"/>
      <c r="C13" s="79"/>
      <c r="D13" s="78">
        <f>IF($B13="","",IF($C13="",$E13,IF($C13="","",IFERROR(IF(INDEX('PEOPLE + BUDGETS'!$C$6:$C$105,MATCH($C13,'PEOPLE + BUDGETS'!$B$6:$B$105,0))="","",INDEX('PEOPLE + BUDGETS'!$C$6:$C$105,MATCH($C13,'PEOPLE + BUDGETS'!$B$6:$B$105,0))),""))))</f>
      </c>
      <c r="E13" s="79"/>
      <c r="F13" s="79"/>
      <c r="G13" s="79"/>
      <c r="H13" s="79"/>
      <c r="I13" s="86"/>
      <c r="J13" s="86"/>
      <c r="K13" s="79"/>
      <c r="L13" s="82"/>
      <c r="M13" s="79"/>
      <c r="N13" s="80"/>
      <c r="O13" s="78">
        <f>IF($B13="",0,IF(COUNTIF('CARDS + MAIL'!$B$6:$B$155,$B13)&gt;1,1,0))</f>
      </c>
      <c r="P13" s="78">
        <f>IF(OR(N($I13)&gt;0,N($J13)&gt;0),IF($H13="",1,IF(COUNTIF('MASTER BUDGET'!$D$6:$D$25,$H13)=0,1,0)),0)</f>
      </c>
      <c r="Q13" s="78">
        <f>IF($C13="",0,IF(COUNTIF('PEOPLE + BUDGETS'!$B$6:$B$105,$C13)=0,1,0))</f>
      </c>
      <c r="R13" s="75"/>
    </row>
    <row r="14" ht="17" customHeight="1" spans="1:18" x14ac:dyDescent="0.25">
      <c r="A14" s="75"/>
      <c r="B14" s="79"/>
      <c r="C14" s="79"/>
      <c r="D14" s="78">
        <f>IF($B14="","",IF($C14="",$E14,IF($C14="","",IFERROR(IF(INDEX('PEOPLE + BUDGETS'!$C$6:$C$105,MATCH($C14,'PEOPLE + BUDGETS'!$B$6:$B$105,0))="","",INDEX('PEOPLE + BUDGETS'!$C$6:$C$105,MATCH($C14,'PEOPLE + BUDGETS'!$B$6:$B$105,0))),""))))</f>
      </c>
      <c r="E14" s="79"/>
      <c r="F14" s="79"/>
      <c r="G14" s="79"/>
      <c r="H14" s="79"/>
      <c r="I14" s="86"/>
      <c r="J14" s="86"/>
      <c r="K14" s="79"/>
      <c r="L14" s="82"/>
      <c r="M14" s="79"/>
      <c r="N14" s="80"/>
      <c r="O14" s="78">
        <f>IF($B14="",0,IF(COUNTIF('CARDS + MAIL'!$B$6:$B$155,$B14)&gt;1,1,0))</f>
      </c>
      <c r="P14" s="78">
        <f>IF(OR(N($I14)&gt;0,N($J14)&gt;0),IF($H14="",1,IF(COUNTIF('MASTER BUDGET'!$D$6:$D$25,$H14)=0,1,0)),0)</f>
      </c>
      <c r="Q14" s="78">
        <f>IF($C14="",0,IF(COUNTIF('PEOPLE + BUDGETS'!$B$6:$B$105,$C14)=0,1,0))</f>
      </c>
      <c r="R14" s="75"/>
    </row>
    <row r="15" ht="17" customHeight="1" spans="1:18" x14ac:dyDescent="0.25">
      <c r="A15" s="75"/>
      <c r="B15" s="79"/>
      <c r="C15" s="79"/>
      <c r="D15" s="78">
        <f>IF($B15="","",IF($C15="",$E15,IF($C15="","",IFERROR(IF(INDEX('PEOPLE + BUDGETS'!$C$6:$C$105,MATCH($C15,'PEOPLE + BUDGETS'!$B$6:$B$105,0))="","",INDEX('PEOPLE + BUDGETS'!$C$6:$C$105,MATCH($C15,'PEOPLE + BUDGETS'!$B$6:$B$105,0))),""))))</f>
      </c>
      <c r="E15" s="79"/>
      <c r="F15" s="79"/>
      <c r="G15" s="79"/>
      <c r="H15" s="79"/>
      <c r="I15" s="86"/>
      <c r="J15" s="86"/>
      <c r="K15" s="79"/>
      <c r="L15" s="82"/>
      <c r="M15" s="79"/>
      <c r="N15" s="80"/>
      <c r="O15" s="78">
        <f>IF($B15="",0,IF(COUNTIF('CARDS + MAIL'!$B$6:$B$155,$B15)&gt;1,1,0))</f>
      </c>
      <c r="P15" s="78">
        <f>IF(OR(N($I15)&gt;0,N($J15)&gt;0),IF($H15="",1,IF(COUNTIF('MASTER BUDGET'!$D$6:$D$25,$H15)=0,1,0)),0)</f>
      </c>
      <c r="Q15" s="78">
        <f>IF($C15="",0,IF(COUNTIF('PEOPLE + BUDGETS'!$B$6:$B$105,$C15)=0,1,0))</f>
      </c>
      <c r="R15" s="75"/>
    </row>
    <row r="16" ht="17" customHeight="1" spans="1:18" x14ac:dyDescent="0.25">
      <c r="A16" s="75"/>
      <c r="B16" s="79"/>
      <c r="C16" s="79"/>
      <c r="D16" s="78">
        <f>IF($B16="","",IF($C16="",$E16,IF($C16="","",IFERROR(IF(INDEX('PEOPLE + BUDGETS'!$C$6:$C$105,MATCH($C16,'PEOPLE + BUDGETS'!$B$6:$B$105,0))="","",INDEX('PEOPLE + BUDGETS'!$C$6:$C$105,MATCH($C16,'PEOPLE + BUDGETS'!$B$6:$B$105,0))),""))))</f>
      </c>
      <c r="E16" s="79"/>
      <c r="F16" s="79"/>
      <c r="G16" s="79"/>
      <c r="H16" s="79"/>
      <c r="I16" s="86"/>
      <c r="J16" s="86"/>
      <c r="K16" s="79"/>
      <c r="L16" s="82"/>
      <c r="M16" s="79"/>
      <c r="N16" s="80"/>
      <c r="O16" s="78">
        <f>IF($B16="",0,IF(COUNTIF('CARDS + MAIL'!$B$6:$B$155,$B16)&gt;1,1,0))</f>
      </c>
      <c r="P16" s="78">
        <f>IF(OR(N($I16)&gt;0,N($J16)&gt;0),IF($H16="",1,IF(COUNTIF('MASTER BUDGET'!$D$6:$D$25,$H16)=0,1,0)),0)</f>
      </c>
      <c r="Q16" s="78">
        <f>IF($C16="",0,IF(COUNTIF('PEOPLE + BUDGETS'!$B$6:$B$105,$C16)=0,1,0))</f>
      </c>
      <c r="R16" s="75"/>
    </row>
    <row r="17" ht="17" customHeight="1" spans="1:18" x14ac:dyDescent="0.25">
      <c r="A17" s="75"/>
      <c r="B17" s="79"/>
      <c r="C17" s="79"/>
      <c r="D17" s="78">
        <f>IF($B17="","",IF($C17="",$E17,IF($C17="","",IFERROR(IF(INDEX('PEOPLE + BUDGETS'!$C$6:$C$105,MATCH($C17,'PEOPLE + BUDGETS'!$B$6:$B$105,0))="","",INDEX('PEOPLE + BUDGETS'!$C$6:$C$105,MATCH($C17,'PEOPLE + BUDGETS'!$B$6:$B$105,0))),""))))</f>
      </c>
      <c r="E17" s="79"/>
      <c r="F17" s="79"/>
      <c r="G17" s="79"/>
      <c r="H17" s="79"/>
      <c r="I17" s="86"/>
      <c r="J17" s="86"/>
      <c r="K17" s="79"/>
      <c r="L17" s="82"/>
      <c r="M17" s="79"/>
      <c r="N17" s="80"/>
      <c r="O17" s="78">
        <f>IF($B17="",0,IF(COUNTIF('CARDS + MAIL'!$B$6:$B$155,$B17)&gt;1,1,0))</f>
      </c>
      <c r="P17" s="78">
        <f>IF(OR(N($I17)&gt;0,N($J17)&gt;0),IF($H17="",1,IF(COUNTIF('MASTER BUDGET'!$D$6:$D$25,$H17)=0,1,0)),0)</f>
      </c>
      <c r="Q17" s="78">
        <f>IF($C17="",0,IF(COUNTIF('PEOPLE + BUDGETS'!$B$6:$B$105,$C17)=0,1,0))</f>
      </c>
      <c r="R17" s="75"/>
    </row>
    <row r="18" ht="17" customHeight="1" spans="1:18" x14ac:dyDescent="0.25">
      <c r="A18" s="75"/>
      <c r="B18" s="79"/>
      <c r="C18" s="79"/>
      <c r="D18" s="78">
        <f>IF($B18="","",IF($C18="",$E18,IF($C18="","",IFERROR(IF(INDEX('PEOPLE + BUDGETS'!$C$6:$C$105,MATCH($C18,'PEOPLE + BUDGETS'!$B$6:$B$105,0))="","",INDEX('PEOPLE + BUDGETS'!$C$6:$C$105,MATCH($C18,'PEOPLE + BUDGETS'!$B$6:$B$105,0))),""))))</f>
      </c>
      <c r="E18" s="79"/>
      <c r="F18" s="79"/>
      <c r="G18" s="79"/>
      <c r="H18" s="79"/>
      <c r="I18" s="86"/>
      <c r="J18" s="86"/>
      <c r="K18" s="79"/>
      <c r="L18" s="82"/>
      <c r="M18" s="79"/>
      <c r="N18" s="80"/>
      <c r="O18" s="78">
        <f>IF($B18="",0,IF(COUNTIF('CARDS + MAIL'!$B$6:$B$155,$B18)&gt;1,1,0))</f>
      </c>
      <c r="P18" s="78">
        <f>IF(OR(N($I18)&gt;0,N($J18)&gt;0),IF($H18="",1,IF(COUNTIF('MASTER BUDGET'!$D$6:$D$25,$H18)=0,1,0)),0)</f>
      </c>
      <c r="Q18" s="78">
        <f>IF($C18="",0,IF(COUNTIF('PEOPLE + BUDGETS'!$B$6:$B$105,$C18)=0,1,0))</f>
      </c>
      <c r="R18" s="75"/>
    </row>
    <row r="19" ht="17" customHeight="1" spans="1:18" x14ac:dyDescent="0.25">
      <c r="A19" s="75"/>
      <c r="B19" s="79"/>
      <c r="C19" s="79"/>
      <c r="D19" s="78">
        <f>IF($B19="","",IF($C19="",$E19,IF($C19="","",IFERROR(IF(INDEX('PEOPLE + BUDGETS'!$C$6:$C$105,MATCH($C19,'PEOPLE + BUDGETS'!$B$6:$B$105,0))="","",INDEX('PEOPLE + BUDGETS'!$C$6:$C$105,MATCH($C19,'PEOPLE + BUDGETS'!$B$6:$B$105,0))),""))))</f>
      </c>
      <c r="E19" s="79"/>
      <c r="F19" s="79"/>
      <c r="G19" s="79"/>
      <c r="H19" s="79"/>
      <c r="I19" s="86"/>
      <c r="J19" s="86"/>
      <c r="K19" s="79"/>
      <c r="L19" s="82"/>
      <c r="M19" s="79"/>
      <c r="N19" s="80"/>
      <c r="O19" s="78">
        <f>IF($B19="",0,IF(COUNTIF('CARDS + MAIL'!$B$6:$B$155,$B19)&gt;1,1,0))</f>
      </c>
      <c r="P19" s="78">
        <f>IF(OR(N($I19)&gt;0,N($J19)&gt;0),IF($H19="",1,IF(COUNTIF('MASTER BUDGET'!$D$6:$D$25,$H19)=0,1,0)),0)</f>
      </c>
      <c r="Q19" s="78">
        <f>IF($C19="",0,IF(COUNTIF('PEOPLE + BUDGETS'!$B$6:$B$105,$C19)=0,1,0))</f>
      </c>
      <c r="R19" s="75"/>
    </row>
    <row r="20" ht="17" customHeight="1" spans="1:18" x14ac:dyDescent="0.25">
      <c r="A20" s="75"/>
      <c r="B20" s="79"/>
      <c r="C20" s="79"/>
      <c r="D20" s="78">
        <f>IF($B20="","",IF($C20="",$E20,IF($C20="","",IFERROR(IF(INDEX('PEOPLE + BUDGETS'!$C$6:$C$105,MATCH($C20,'PEOPLE + BUDGETS'!$B$6:$B$105,0))="","",INDEX('PEOPLE + BUDGETS'!$C$6:$C$105,MATCH($C20,'PEOPLE + BUDGETS'!$B$6:$B$105,0))),""))))</f>
      </c>
      <c r="E20" s="79"/>
      <c r="F20" s="79"/>
      <c r="G20" s="79"/>
      <c r="H20" s="79"/>
      <c r="I20" s="86"/>
      <c r="J20" s="86"/>
      <c r="K20" s="79"/>
      <c r="L20" s="82"/>
      <c r="M20" s="79"/>
      <c r="N20" s="80"/>
      <c r="O20" s="78">
        <f>IF($B20="",0,IF(COUNTIF('CARDS + MAIL'!$B$6:$B$155,$B20)&gt;1,1,0))</f>
      </c>
      <c r="P20" s="78">
        <f>IF(OR(N($I20)&gt;0,N($J20)&gt;0),IF($H20="",1,IF(COUNTIF('MASTER BUDGET'!$D$6:$D$25,$H20)=0,1,0)),0)</f>
      </c>
      <c r="Q20" s="78">
        <f>IF($C20="",0,IF(COUNTIF('PEOPLE + BUDGETS'!$B$6:$B$105,$C20)=0,1,0))</f>
      </c>
      <c r="R20" s="75"/>
    </row>
    <row r="21" ht="17" customHeight="1" spans="1:18" x14ac:dyDescent="0.25">
      <c r="A21" s="75"/>
      <c r="B21" s="79"/>
      <c r="C21" s="79"/>
      <c r="D21" s="78">
        <f>IF($B21="","",IF($C21="",$E21,IF($C21="","",IFERROR(IF(INDEX('PEOPLE + BUDGETS'!$C$6:$C$105,MATCH($C21,'PEOPLE + BUDGETS'!$B$6:$B$105,0))="","",INDEX('PEOPLE + BUDGETS'!$C$6:$C$105,MATCH($C21,'PEOPLE + BUDGETS'!$B$6:$B$105,0))),""))))</f>
      </c>
      <c r="E21" s="79"/>
      <c r="F21" s="79"/>
      <c r="G21" s="79"/>
      <c r="H21" s="79"/>
      <c r="I21" s="86"/>
      <c r="J21" s="86"/>
      <c r="K21" s="79"/>
      <c r="L21" s="82"/>
      <c r="M21" s="79"/>
      <c r="N21" s="80"/>
      <c r="O21" s="78">
        <f>IF($B21="",0,IF(COUNTIF('CARDS + MAIL'!$B$6:$B$155,$B21)&gt;1,1,0))</f>
      </c>
      <c r="P21" s="78">
        <f>IF(OR(N($I21)&gt;0,N($J21)&gt;0),IF($H21="",1,IF(COUNTIF('MASTER BUDGET'!$D$6:$D$25,$H21)=0,1,0)),0)</f>
      </c>
      <c r="Q21" s="78">
        <f>IF($C21="",0,IF(COUNTIF('PEOPLE + BUDGETS'!$B$6:$B$105,$C21)=0,1,0))</f>
      </c>
      <c r="R21" s="75"/>
    </row>
    <row r="22" ht="17" customHeight="1" spans="1:18" x14ac:dyDescent="0.25">
      <c r="A22" s="75"/>
      <c r="B22" s="79"/>
      <c r="C22" s="79"/>
      <c r="D22" s="78">
        <f>IF($B22="","",IF($C22="",$E22,IF($C22="","",IFERROR(IF(INDEX('PEOPLE + BUDGETS'!$C$6:$C$105,MATCH($C22,'PEOPLE + BUDGETS'!$B$6:$B$105,0))="","",INDEX('PEOPLE + BUDGETS'!$C$6:$C$105,MATCH($C22,'PEOPLE + BUDGETS'!$B$6:$B$105,0))),""))))</f>
      </c>
      <c r="E22" s="79"/>
      <c r="F22" s="79"/>
      <c r="G22" s="79"/>
      <c r="H22" s="79"/>
      <c r="I22" s="86"/>
      <c r="J22" s="86"/>
      <c r="K22" s="79"/>
      <c r="L22" s="82"/>
      <c r="M22" s="79"/>
      <c r="N22" s="80"/>
      <c r="O22" s="78">
        <f>IF($B22="",0,IF(COUNTIF('CARDS + MAIL'!$B$6:$B$155,$B22)&gt;1,1,0))</f>
      </c>
      <c r="P22" s="78">
        <f>IF(OR(N($I22)&gt;0,N($J22)&gt;0),IF($H22="",1,IF(COUNTIF('MASTER BUDGET'!$D$6:$D$25,$H22)=0,1,0)),0)</f>
      </c>
      <c r="Q22" s="78">
        <f>IF($C22="",0,IF(COUNTIF('PEOPLE + BUDGETS'!$B$6:$B$105,$C22)=0,1,0))</f>
      </c>
      <c r="R22" s="75"/>
    </row>
    <row r="23" ht="17" customHeight="1" spans="1:18" x14ac:dyDescent="0.25">
      <c r="A23" s="75"/>
      <c r="B23" s="79"/>
      <c r="C23" s="79"/>
      <c r="D23" s="78">
        <f>IF($B23="","",IF($C23="",$E23,IF($C23="","",IFERROR(IF(INDEX('PEOPLE + BUDGETS'!$C$6:$C$105,MATCH($C23,'PEOPLE + BUDGETS'!$B$6:$B$105,0))="","",INDEX('PEOPLE + BUDGETS'!$C$6:$C$105,MATCH($C23,'PEOPLE + BUDGETS'!$B$6:$B$105,0))),""))))</f>
      </c>
      <c r="E23" s="79"/>
      <c r="F23" s="79"/>
      <c r="G23" s="79"/>
      <c r="H23" s="79"/>
      <c r="I23" s="86"/>
      <c r="J23" s="86"/>
      <c r="K23" s="79"/>
      <c r="L23" s="82"/>
      <c r="M23" s="79"/>
      <c r="N23" s="80"/>
      <c r="O23" s="78">
        <f>IF($B23="",0,IF(COUNTIF('CARDS + MAIL'!$B$6:$B$155,$B23)&gt;1,1,0))</f>
      </c>
      <c r="P23" s="78">
        <f>IF(OR(N($I23)&gt;0,N($J23)&gt;0),IF($H23="",1,IF(COUNTIF('MASTER BUDGET'!$D$6:$D$25,$H23)=0,1,0)),0)</f>
      </c>
      <c r="Q23" s="78">
        <f>IF($C23="",0,IF(COUNTIF('PEOPLE + BUDGETS'!$B$6:$B$105,$C23)=0,1,0))</f>
      </c>
      <c r="R23" s="75"/>
    </row>
    <row r="24" ht="17" customHeight="1" spans="1:18" x14ac:dyDescent="0.25">
      <c r="A24" s="75"/>
      <c r="B24" s="79"/>
      <c r="C24" s="79"/>
      <c r="D24" s="78">
        <f>IF($B24="","",IF($C24="",$E24,IF($C24="","",IFERROR(IF(INDEX('PEOPLE + BUDGETS'!$C$6:$C$105,MATCH($C24,'PEOPLE + BUDGETS'!$B$6:$B$105,0))="","",INDEX('PEOPLE + BUDGETS'!$C$6:$C$105,MATCH($C24,'PEOPLE + BUDGETS'!$B$6:$B$105,0))),""))))</f>
      </c>
      <c r="E24" s="79"/>
      <c r="F24" s="79"/>
      <c r="G24" s="79"/>
      <c r="H24" s="79"/>
      <c r="I24" s="86"/>
      <c r="J24" s="86"/>
      <c r="K24" s="79"/>
      <c r="L24" s="82"/>
      <c r="M24" s="79"/>
      <c r="N24" s="80"/>
      <c r="O24" s="78">
        <f>IF($B24="",0,IF(COUNTIF('CARDS + MAIL'!$B$6:$B$155,$B24)&gt;1,1,0))</f>
      </c>
      <c r="P24" s="78">
        <f>IF(OR(N($I24)&gt;0,N($J24)&gt;0),IF($H24="",1,IF(COUNTIF('MASTER BUDGET'!$D$6:$D$25,$H24)=0,1,0)),0)</f>
      </c>
      <c r="Q24" s="78">
        <f>IF($C24="",0,IF(COUNTIF('PEOPLE + BUDGETS'!$B$6:$B$105,$C24)=0,1,0))</f>
      </c>
      <c r="R24" s="75"/>
    </row>
    <row r="25" ht="17" customHeight="1" spans="1:18" x14ac:dyDescent="0.25">
      <c r="A25" s="75"/>
      <c r="B25" s="79"/>
      <c r="C25" s="79"/>
      <c r="D25" s="78">
        <f>IF($B25="","",IF($C25="",$E25,IF($C25="","",IFERROR(IF(INDEX('PEOPLE + BUDGETS'!$C$6:$C$105,MATCH($C25,'PEOPLE + BUDGETS'!$B$6:$B$105,0))="","",INDEX('PEOPLE + BUDGETS'!$C$6:$C$105,MATCH($C25,'PEOPLE + BUDGETS'!$B$6:$B$105,0))),""))))</f>
      </c>
      <c r="E25" s="79"/>
      <c r="F25" s="79"/>
      <c r="G25" s="79"/>
      <c r="H25" s="79"/>
      <c r="I25" s="86"/>
      <c r="J25" s="86"/>
      <c r="K25" s="79"/>
      <c r="L25" s="82"/>
      <c r="M25" s="79"/>
      <c r="N25" s="80"/>
      <c r="O25" s="78">
        <f>IF($B25="",0,IF(COUNTIF('CARDS + MAIL'!$B$6:$B$155,$B25)&gt;1,1,0))</f>
      </c>
      <c r="P25" s="78">
        <f>IF(OR(N($I25)&gt;0,N($J25)&gt;0),IF($H25="",1,IF(COUNTIF('MASTER BUDGET'!$D$6:$D$25,$H25)=0,1,0)),0)</f>
      </c>
      <c r="Q25" s="78">
        <f>IF($C25="",0,IF(COUNTIF('PEOPLE + BUDGETS'!$B$6:$B$105,$C25)=0,1,0))</f>
      </c>
      <c r="R25" s="75"/>
    </row>
    <row r="26" ht="17" customHeight="1" spans="1:18" x14ac:dyDescent="0.25">
      <c r="A26" s="75"/>
      <c r="B26" s="79"/>
      <c r="C26" s="79"/>
      <c r="D26" s="78">
        <f>IF($B26="","",IF($C26="",$E26,IF($C26="","",IFERROR(IF(INDEX('PEOPLE + BUDGETS'!$C$6:$C$105,MATCH($C26,'PEOPLE + BUDGETS'!$B$6:$B$105,0))="","",INDEX('PEOPLE + BUDGETS'!$C$6:$C$105,MATCH($C26,'PEOPLE + BUDGETS'!$B$6:$B$105,0))),""))))</f>
      </c>
      <c r="E26" s="79"/>
      <c r="F26" s="79"/>
      <c r="G26" s="79"/>
      <c r="H26" s="79"/>
      <c r="I26" s="86"/>
      <c r="J26" s="86"/>
      <c r="K26" s="79"/>
      <c r="L26" s="82"/>
      <c r="M26" s="79"/>
      <c r="N26" s="80"/>
      <c r="O26" s="78">
        <f>IF($B26="",0,IF(COUNTIF('CARDS + MAIL'!$B$6:$B$155,$B26)&gt;1,1,0))</f>
      </c>
      <c r="P26" s="78">
        <f>IF(OR(N($I26)&gt;0,N($J26)&gt;0),IF($H26="",1,IF(COUNTIF('MASTER BUDGET'!$D$6:$D$25,$H26)=0,1,0)),0)</f>
      </c>
      <c r="Q26" s="78">
        <f>IF($C26="",0,IF(COUNTIF('PEOPLE + BUDGETS'!$B$6:$B$105,$C26)=0,1,0))</f>
      </c>
      <c r="R26" s="75"/>
    </row>
    <row r="27" ht="17" customHeight="1" spans="1:18" x14ac:dyDescent="0.25">
      <c r="A27" s="75"/>
      <c r="B27" s="79"/>
      <c r="C27" s="79"/>
      <c r="D27" s="78">
        <f>IF($B27="","",IF($C27="",$E27,IF($C27="","",IFERROR(IF(INDEX('PEOPLE + BUDGETS'!$C$6:$C$105,MATCH($C27,'PEOPLE + BUDGETS'!$B$6:$B$105,0))="","",INDEX('PEOPLE + BUDGETS'!$C$6:$C$105,MATCH($C27,'PEOPLE + BUDGETS'!$B$6:$B$105,0))),""))))</f>
      </c>
      <c r="E27" s="79"/>
      <c r="F27" s="79"/>
      <c r="G27" s="79"/>
      <c r="H27" s="79"/>
      <c r="I27" s="86"/>
      <c r="J27" s="86"/>
      <c r="K27" s="79"/>
      <c r="L27" s="82"/>
      <c r="M27" s="79"/>
      <c r="N27" s="80"/>
      <c r="O27" s="78">
        <f>IF($B27="",0,IF(COUNTIF('CARDS + MAIL'!$B$6:$B$155,$B27)&gt;1,1,0))</f>
      </c>
      <c r="P27" s="78">
        <f>IF(OR(N($I27)&gt;0,N($J27)&gt;0),IF($H27="",1,IF(COUNTIF('MASTER BUDGET'!$D$6:$D$25,$H27)=0,1,0)),0)</f>
      </c>
      <c r="Q27" s="78">
        <f>IF($C27="",0,IF(COUNTIF('PEOPLE + BUDGETS'!$B$6:$B$105,$C27)=0,1,0))</f>
      </c>
      <c r="R27" s="75"/>
    </row>
    <row r="28" ht="17" customHeight="1" spans="1:18" x14ac:dyDescent="0.25">
      <c r="A28" s="75"/>
      <c r="B28" s="79"/>
      <c r="C28" s="79"/>
      <c r="D28" s="78">
        <f>IF($B28="","",IF($C28="",$E28,IF($C28="","",IFERROR(IF(INDEX('PEOPLE + BUDGETS'!$C$6:$C$105,MATCH($C28,'PEOPLE + BUDGETS'!$B$6:$B$105,0))="","",INDEX('PEOPLE + BUDGETS'!$C$6:$C$105,MATCH($C28,'PEOPLE + BUDGETS'!$B$6:$B$105,0))),""))))</f>
      </c>
      <c r="E28" s="79"/>
      <c r="F28" s="79"/>
      <c r="G28" s="79"/>
      <c r="H28" s="79"/>
      <c r="I28" s="86"/>
      <c r="J28" s="86"/>
      <c r="K28" s="79"/>
      <c r="L28" s="82"/>
      <c r="M28" s="79"/>
      <c r="N28" s="80"/>
      <c r="O28" s="78">
        <f>IF($B28="",0,IF(COUNTIF('CARDS + MAIL'!$B$6:$B$155,$B28)&gt;1,1,0))</f>
      </c>
      <c r="P28" s="78">
        <f>IF(OR(N($I28)&gt;0,N($J28)&gt;0),IF($H28="",1,IF(COUNTIF('MASTER BUDGET'!$D$6:$D$25,$H28)=0,1,0)),0)</f>
      </c>
      <c r="Q28" s="78">
        <f>IF($C28="",0,IF(COUNTIF('PEOPLE + BUDGETS'!$B$6:$B$105,$C28)=0,1,0))</f>
      </c>
      <c r="R28" s="75"/>
    </row>
    <row r="29" ht="17" customHeight="1" spans="1:18" x14ac:dyDescent="0.25">
      <c r="A29" s="75"/>
      <c r="B29" s="79"/>
      <c r="C29" s="79"/>
      <c r="D29" s="78">
        <f>IF($B29="","",IF($C29="",$E29,IF($C29="","",IFERROR(IF(INDEX('PEOPLE + BUDGETS'!$C$6:$C$105,MATCH($C29,'PEOPLE + BUDGETS'!$B$6:$B$105,0))="","",INDEX('PEOPLE + BUDGETS'!$C$6:$C$105,MATCH($C29,'PEOPLE + BUDGETS'!$B$6:$B$105,0))),""))))</f>
      </c>
      <c r="E29" s="79"/>
      <c r="F29" s="79"/>
      <c r="G29" s="79"/>
      <c r="H29" s="79"/>
      <c r="I29" s="86"/>
      <c r="J29" s="86"/>
      <c r="K29" s="79"/>
      <c r="L29" s="82"/>
      <c r="M29" s="79"/>
      <c r="N29" s="80"/>
      <c r="O29" s="78">
        <f>IF($B29="",0,IF(COUNTIF('CARDS + MAIL'!$B$6:$B$155,$B29)&gt;1,1,0))</f>
      </c>
      <c r="P29" s="78">
        <f>IF(OR(N($I29)&gt;0,N($J29)&gt;0),IF($H29="",1,IF(COUNTIF('MASTER BUDGET'!$D$6:$D$25,$H29)=0,1,0)),0)</f>
      </c>
      <c r="Q29" s="78">
        <f>IF($C29="",0,IF(COUNTIF('PEOPLE + BUDGETS'!$B$6:$B$105,$C29)=0,1,0))</f>
      </c>
      <c r="R29" s="75"/>
    </row>
    <row r="30" ht="17" customHeight="1" spans="1:18" x14ac:dyDescent="0.25">
      <c r="A30" s="75"/>
      <c r="B30" s="79"/>
      <c r="C30" s="79"/>
      <c r="D30" s="78">
        <f>IF($B30="","",IF($C30="",$E30,IF($C30="","",IFERROR(IF(INDEX('PEOPLE + BUDGETS'!$C$6:$C$105,MATCH($C30,'PEOPLE + BUDGETS'!$B$6:$B$105,0))="","",INDEX('PEOPLE + BUDGETS'!$C$6:$C$105,MATCH($C30,'PEOPLE + BUDGETS'!$B$6:$B$105,0))),""))))</f>
      </c>
      <c r="E30" s="79"/>
      <c r="F30" s="79"/>
      <c r="G30" s="79"/>
      <c r="H30" s="79"/>
      <c r="I30" s="86"/>
      <c r="J30" s="86"/>
      <c r="K30" s="79"/>
      <c r="L30" s="82"/>
      <c r="M30" s="79"/>
      <c r="N30" s="80"/>
      <c r="O30" s="78">
        <f>IF($B30="",0,IF(COUNTIF('CARDS + MAIL'!$B$6:$B$155,$B30)&gt;1,1,0))</f>
      </c>
      <c r="P30" s="78">
        <f>IF(OR(N($I30)&gt;0,N($J30)&gt;0),IF($H30="",1,IF(COUNTIF('MASTER BUDGET'!$D$6:$D$25,$H30)=0,1,0)),0)</f>
      </c>
      <c r="Q30" s="78">
        <f>IF($C30="",0,IF(COUNTIF('PEOPLE + BUDGETS'!$B$6:$B$105,$C30)=0,1,0))</f>
      </c>
      <c r="R30" s="75"/>
    </row>
    <row r="31" ht="17" customHeight="1" spans="1:18" x14ac:dyDescent="0.25">
      <c r="A31" s="75"/>
      <c r="B31" s="79"/>
      <c r="C31" s="79"/>
      <c r="D31" s="78">
        <f>IF($B31="","",IF($C31="",$E31,IF($C31="","",IFERROR(IF(INDEX('PEOPLE + BUDGETS'!$C$6:$C$105,MATCH($C31,'PEOPLE + BUDGETS'!$B$6:$B$105,0))="","",INDEX('PEOPLE + BUDGETS'!$C$6:$C$105,MATCH($C31,'PEOPLE + BUDGETS'!$B$6:$B$105,0))),""))))</f>
      </c>
      <c r="E31" s="79"/>
      <c r="F31" s="79"/>
      <c r="G31" s="79"/>
      <c r="H31" s="79"/>
      <c r="I31" s="86"/>
      <c r="J31" s="86"/>
      <c r="K31" s="79"/>
      <c r="L31" s="82"/>
      <c r="M31" s="79"/>
      <c r="N31" s="80"/>
      <c r="O31" s="78">
        <f>IF($B31="",0,IF(COUNTIF('CARDS + MAIL'!$B$6:$B$155,$B31)&gt;1,1,0))</f>
      </c>
      <c r="P31" s="78">
        <f>IF(OR(N($I31)&gt;0,N($J31)&gt;0),IF($H31="",1,IF(COUNTIF('MASTER BUDGET'!$D$6:$D$25,$H31)=0,1,0)),0)</f>
      </c>
      <c r="Q31" s="78">
        <f>IF($C31="",0,IF(COUNTIF('PEOPLE + BUDGETS'!$B$6:$B$105,$C31)=0,1,0))</f>
      </c>
      <c r="R31" s="75"/>
    </row>
    <row r="32" ht="17" customHeight="1" spans="1:18" x14ac:dyDescent="0.25">
      <c r="A32" s="75"/>
      <c r="B32" s="79"/>
      <c r="C32" s="79"/>
      <c r="D32" s="78">
        <f>IF($B32="","",IF($C32="",$E32,IF($C32="","",IFERROR(IF(INDEX('PEOPLE + BUDGETS'!$C$6:$C$105,MATCH($C32,'PEOPLE + BUDGETS'!$B$6:$B$105,0))="","",INDEX('PEOPLE + BUDGETS'!$C$6:$C$105,MATCH($C32,'PEOPLE + BUDGETS'!$B$6:$B$105,0))),""))))</f>
      </c>
      <c r="E32" s="79"/>
      <c r="F32" s="79"/>
      <c r="G32" s="79"/>
      <c r="H32" s="79"/>
      <c r="I32" s="86"/>
      <c r="J32" s="86"/>
      <c r="K32" s="79"/>
      <c r="L32" s="82"/>
      <c r="M32" s="79"/>
      <c r="N32" s="80"/>
      <c r="O32" s="78">
        <f>IF($B32="",0,IF(COUNTIF('CARDS + MAIL'!$B$6:$B$155,$B32)&gt;1,1,0))</f>
      </c>
      <c r="P32" s="78">
        <f>IF(OR(N($I32)&gt;0,N($J32)&gt;0),IF($H32="",1,IF(COUNTIF('MASTER BUDGET'!$D$6:$D$25,$H32)=0,1,0)),0)</f>
      </c>
      <c r="Q32" s="78">
        <f>IF($C32="",0,IF(COUNTIF('PEOPLE + BUDGETS'!$B$6:$B$105,$C32)=0,1,0))</f>
      </c>
      <c r="R32" s="75"/>
    </row>
    <row r="33" ht="17" customHeight="1" spans="1:18" x14ac:dyDescent="0.25">
      <c r="A33" s="75"/>
      <c r="B33" s="79"/>
      <c r="C33" s="79"/>
      <c r="D33" s="78">
        <f>IF($B33="","",IF($C33="",$E33,IF($C33="","",IFERROR(IF(INDEX('PEOPLE + BUDGETS'!$C$6:$C$105,MATCH($C33,'PEOPLE + BUDGETS'!$B$6:$B$105,0))="","",INDEX('PEOPLE + BUDGETS'!$C$6:$C$105,MATCH($C33,'PEOPLE + BUDGETS'!$B$6:$B$105,0))),""))))</f>
      </c>
      <c r="E33" s="79"/>
      <c r="F33" s="79"/>
      <c r="G33" s="79"/>
      <c r="H33" s="79"/>
      <c r="I33" s="86"/>
      <c r="J33" s="86"/>
      <c r="K33" s="79"/>
      <c r="L33" s="82"/>
      <c r="M33" s="79"/>
      <c r="N33" s="80"/>
      <c r="O33" s="78">
        <f>IF($B33="",0,IF(COUNTIF('CARDS + MAIL'!$B$6:$B$155,$B33)&gt;1,1,0))</f>
      </c>
      <c r="P33" s="78">
        <f>IF(OR(N($I33)&gt;0,N($J33)&gt;0),IF($H33="",1,IF(COUNTIF('MASTER BUDGET'!$D$6:$D$25,$H33)=0,1,0)),0)</f>
      </c>
      <c r="Q33" s="78">
        <f>IF($C33="",0,IF(COUNTIF('PEOPLE + BUDGETS'!$B$6:$B$105,$C33)=0,1,0))</f>
      </c>
      <c r="R33" s="75"/>
    </row>
    <row r="34" ht="17" customHeight="1" spans="1:18" x14ac:dyDescent="0.25">
      <c r="A34" s="75"/>
      <c r="B34" s="79"/>
      <c r="C34" s="79"/>
      <c r="D34" s="78">
        <f>IF($B34="","",IF($C34="",$E34,IF($C34="","",IFERROR(IF(INDEX('PEOPLE + BUDGETS'!$C$6:$C$105,MATCH($C34,'PEOPLE + BUDGETS'!$B$6:$B$105,0))="","",INDEX('PEOPLE + BUDGETS'!$C$6:$C$105,MATCH($C34,'PEOPLE + BUDGETS'!$B$6:$B$105,0))),""))))</f>
      </c>
      <c r="E34" s="79"/>
      <c r="F34" s="79"/>
      <c r="G34" s="79"/>
      <c r="H34" s="79"/>
      <c r="I34" s="86"/>
      <c r="J34" s="86"/>
      <c r="K34" s="79"/>
      <c r="L34" s="82"/>
      <c r="M34" s="79"/>
      <c r="N34" s="80"/>
      <c r="O34" s="78">
        <f>IF($B34="",0,IF(COUNTIF('CARDS + MAIL'!$B$6:$B$155,$B34)&gt;1,1,0))</f>
      </c>
      <c r="P34" s="78">
        <f>IF(OR(N($I34)&gt;0,N($J34)&gt;0),IF($H34="",1,IF(COUNTIF('MASTER BUDGET'!$D$6:$D$25,$H34)=0,1,0)),0)</f>
      </c>
      <c r="Q34" s="78">
        <f>IF($C34="",0,IF(COUNTIF('PEOPLE + BUDGETS'!$B$6:$B$105,$C34)=0,1,0))</f>
      </c>
      <c r="R34" s="75"/>
    </row>
    <row r="35" ht="17" customHeight="1" spans="1:18" x14ac:dyDescent="0.25">
      <c r="A35" s="75"/>
      <c r="B35" s="79"/>
      <c r="C35" s="79"/>
      <c r="D35" s="78">
        <f>IF($B35="","",IF($C35="",$E35,IF($C35="","",IFERROR(IF(INDEX('PEOPLE + BUDGETS'!$C$6:$C$105,MATCH($C35,'PEOPLE + BUDGETS'!$B$6:$B$105,0))="","",INDEX('PEOPLE + BUDGETS'!$C$6:$C$105,MATCH($C35,'PEOPLE + BUDGETS'!$B$6:$B$105,0))),""))))</f>
      </c>
      <c r="E35" s="79"/>
      <c r="F35" s="79"/>
      <c r="G35" s="79"/>
      <c r="H35" s="79"/>
      <c r="I35" s="86"/>
      <c r="J35" s="86"/>
      <c r="K35" s="79"/>
      <c r="L35" s="82"/>
      <c r="M35" s="79"/>
      <c r="N35" s="80"/>
      <c r="O35" s="78">
        <f>IF($B35="",0,IF(COUNTIF('CARDS + MAIL'!$B$6:$B$155,$B35)&gt;1,1,0))</f>
      </c>
      <c r="P35" s="78">
        <f>IF(OR(N($I35)&gt;0,N($J35)&gt;0),IF($H35="",1,IF(COUNTIF('MASTER BUDGET'!$D$6:$D$25,$H35)=0,1,0)),0)</f>
      </c>
      <c r="Q35" s="78">
        <f>IF($C35="",0,IF(COUNTIF('PEOPLE + BUDGETS'!$B$6:$B$105,$C35)=0,1,0))</f>
      </c>
      <c r="R35" s="75"/>
    </row>
    <row r="36" ht="17" customHeight="1" spans="1:18" x14ac:dyDescent="0.25">
      <c r="A36" s="75"/>
      <c r="B36" s="79"/>
      <c r="C36" s="79"/>
      <c r="D36" s="78">
        <f>IF($B36="","",IF($C36="",$E36,IF($C36="","",IFERROR(IF(INDEX('PEOPLE + BUDGETS'!$C$6:$C$105,MATCH($C36,'PEOPLE + BUDGETS'!$B$6:$B$105,0))="","",INDEX('PEOPLE + BUDGETS'!$C$6:$C$105,MATCH($C36,'PEOPLE + BUDGETS'!$B$6:$B$105,0))),""))))</f>
      </c>
      <c r="E36" s="79"/>
      <c r="F36" s="79"/>
      <c r="G36" s="79"/>
      <c r="H36" s="79"/>
      <c r="I36" s="86"/>
      <c r="J36" s="86"/>
      <c r="K36" s="79"/>
      <c r="L36" s="82"/>
      <c r="M36" s="79"/>
      <c r="N36" s="80"/>
      <c r="O36" s="78">
        <f>IF($B36="",0,IF(COUNTIF('CARDS + MAIL'!$B$6:$B$155,$B36)&gt;1,1,0))</f>
      </c>
      <c r="P36" s="78">
        <f>IF(OR(N($I36)&gt;0,N($J36)&gt;0),IF($H36="",1,IF(COUNTIF('MASTER BUDGET'!$D$6:$D$25,$H36)=0,1,0)),0)</f>
      </c>
      <c r="Q36" s="78">
        <f>IF($C36="",0,IF(COUNTIF('PEOPLE + BUDGETS'!$B$6:$B$105,$C36)=0,1,0))</f>
      </c>
      <c r="R36" s="75"/>
    </row>
    <row r="37" ht="17" customHeight="1" spans="1:18" x14ac:dyDescent="0.25">
      <c r="A37" s="75"/>
      <c r="B37" s="79"/>
      <c r="C37" s="79"/>
      <c r="D37" s="78">
        <f>IF($B37="","",IF($C37="",$E37,IF($C37="","",IFERROR(IF(INDEX('PEOPLE + BUDGETS'!$C$6:$C$105,MATCH($C37,'PEOPLE + BUDGETS'!$B$6:$B$105,0))="","",INDEX('PEOPLE + BUDGETS'!$C$6:$C$105,MATCH($C37,'PEOPLE + BUDGETS'!$B$6:$B$105,0))),""))))</f>
      </c>
      <c r="E37" s="79"/>
      <c r="F37" s="79"/>
      <c r="G37" s="79"/>
      <c r="H37" s="79"/>
      <c r="I37" s="86"/>
      <c r="J37" s="86"/>
      <c r="K37" s="79"/>
      <c r="L37" s="82"/>
      <c r="M37" s="79"/>
      <c r="N37" s="80"/>
      <c r="O37" s="78">
        <f>IF($B37="",0,IF(COUNTIF('CARDS + MAIL'!$B$6:$B$155,$B37)&gt;1,1,0))</f>
      </c>
      <c r="P37" s="78">
        <f>IF(OR(N($I37)&gt;0,N($J37)&gt;0),IF($H37="",1,IF(COUNTIF('MASTER BUDGET'!$D$6:$D$25,$H37)=0,1,0)),0)</f>
      </c>
      <c r="Q37" s="78">
        <f>IF($C37="",0,IF(COUNTIF('PEOPLE + BUDGETS'!$B$6:$B$105,$C37)=0,1,0))</f>
      </c>
      <c r="R37" s="75"/>
    </row>
    <row r="38" ht="17" customHeight="1" spans="1:18" x14ac:dyDescent="0.25">
      <c r="A38" s="75"/>
      <c r="B38" s="79"/>
      <c r="C38" s="79"/>
      <c r="D38" s="78">
        <f>IF($B38="","",IF($C38="",$E38,IF($C38="","",IFERROR(IF(INDEX('PEOPLE + BUDGETS'!$C$6:$C$105,MATCH($C38,'PEOPLE + BUDGETS'!$B$6:$B$105,0))="","",INDEX('PEOPLE + BUDGETS'!$C$6:$C$105,MATCH($C38,'PEOPLE + BUDGETS'!$B$6:$B$105,0))),""))))</f>
      </c>
      <c r="E38" s="79"/>
      <c r="F38" s="79"/>
      <c r="G38" s="79"/>
      <c r="H38" s="79"/>
      <c r="I38" s="86"/>
      <c r="J38" s="86"/>
      <c r="K38" s="79"/>
      <c r="L38" s="82"/>
      <c r="M38" s="79"/>
      <c r="N38" s="80"/>
      <c r="O38" s="78">
        <f>IF($B38="",0,IF(COUNTIF('CARDS + MAIL'!$B$6:$B$155,$B38)&gt;1,1,0))</f>
      </c>
      <c r="P38" s="78">
        <f>IF(OR(N($I38)&gt;0,N($J38)&gt;0),IF($H38="",1,IF(COUNTIF('MASTER BUDGET'!$D$6:$D$25,$H38)=0,1,0)),0)</f>
      </c>
      <c r="Q38" s="78">
        <f>IF($C38="",0,IF(COUNTIF('PEOPLE + BUDGETS'!$B$6:$B$105,$C38)=0,1,0))</f>
      </c>
      <c r="R38" s="75"/>
    </row>
    <row r="39" ht="17" customHeight="1" spans="1:18" x14ac:dyDescent="0.25">
      <c r="A39" s="75"/>
      <c r="B39" s="79"/>
      <c r="C39" s="79"/>
      <c r="D39" s="78">
        <f>IF($B39="","",IF($C39="",$E39,IF($C39="","",IFERROR(IF(INDEX('PEOPLE + BUDGETS'!$C$6:$C$105,MATCH($C39,'PEOPLE + BUDGETS'!$B$6:$B$105,0))="","",INDEX('PEOPLE + BUDGETS'!$C$6:$C$105,MATCH($C39,'PEOPLE + BUDGETS'!$B$6:$B$105,0))),""))))</f>
      </c>
      <c r="E39" s="79"/>
      <c r="F39" s="79"/>
      <c r="G39" s="79"/>
      <c r="H39" s="79"/>
      <c r="I39" s="86"/>
      <c r="J39" s="86"/>
      <c r="K39" s="79"/>
      <c r="L39" s="82"/>
      <c r="M39" s="79"/>
      <c r="N39" s="80"/>
      <c r="O39" s="78">
        <f>IF($B39="",0,IF(COUNTIF('CARDS + MAIL'!$B$6:$B$155,$B39)&gt;1,1,0))</f>
      </c>
      <c r="P39" s="78">
        <f>IF(OR(N($I39)&gt;0,N($J39)&gt;0),IF($H39="",1,IF(COUNTIF('MASTER BUDGET'!$D$6:$D$25,$H39)=0,1,0)),0)</f>
      </c>
      <c r="Q39" s="78">
        <f>IF($C39="",0,IF(COUNTIF('PEOPLE + BUDGETS'!$B$6:$B$105,$C39)=0,1,0))</f>
      </c>
      <c r="R39" s="75"/>
    </row>
    <row r="40" ht="17" customHeight="1" spans="1:18" x14ac:dyDescent="0.25">
      <c r="A40" s="75"/>
      <c r="B40" s="79"/>
      <c r="C40" s="79"/>
      <c r="D40" s="78">
        <f>IF($B40="","",IF($C40="",$E40,IF($C40="","",IFERROR(IF(INDEX('PEOPLE + BUDGETS'!$C$6:$C$105,MATCH($C40,'PEOPLE + BUDGETS'!$B$6:$B$105,0))="","",INDEX('PEOPLE + BUDGETS'!$C$6:$C$105,MATCH($C40,'PEOPLE + BUDGETS'!$B$6:$B$105,0))),""))))</f>
      </c>
      <c r="E40" s="79"/>
      <c r="F40" s="79"/>
      <c r="G40" s="79"/>
      <c r="H40" s="79"/>
      <c r="I40" s="86"/>
      <c r="J40" s="86"/>
      <c r="K40" s="79"/>
      <c r="L40" s="82"/>
      <c r="M40" s="79"/>
      <c r="N40" s="80"/>
      <c r="O40" s="78">
        <f>IF($B40="",0,IF(COUNTIF('CARDS + MAIL'!$B$6:$B$155,$B40)&gt;1,1,0))</f>
      </c>
      <c r="P40" s="78">
        <f>IF(OR(N($I40)&gt;0,N($J40)&gt;0),IF($H40="",1,IF(COUNTIF('MASTER BUDGET'!$D$6:$D$25,$H40)=0,1,0)),0)</f>
      </c>
      <c r="Q40" s="78">
        <f>IF($C40="",0,IF(COUNTIF('PEOPLE + BUDGETS'!$B$6:$B$105,$C40)=0,1,0))</f>
      </c>
      <c r="R40" s="75"/>
    </row>
    <row r="41" ht="17" customHeight="1" spans="1:18" x14ac:dyDescent="0.25">
      <c r="A41" s="75"/>
      <c r="B41" s="79"/>
      <c r="C41" s="79"/>
      <c r="D41" s="78">
        <f>IF($B41="","",IF($C41="",$E41,IF($C41="","",IFERROR(IF(INDEX('PEOPLE + BUDGETS'!$C$6:$C$105,MATCH($C41,'PEOPLE + BUDGETS'!$B$6:$B$105,0))="","",INDEX('PEOPLE + BUDGETS'!$C$6:$C$105,MATCH($C41,'PEOPLE + BUDGETS'!$B$6:$B$105,0))),""))))</f>
      </c>
      <c r="E41" s="79"/>
      <c r="F41" s="79"/>
      <c r="G41" s="79"/>
      <c r="H41" s="79"/>
      <c r="I41" s="86"/>
      <c r="J41" s="86"/>
      <c r="K41" s="79"/>
      <c r="L41" s="82"/>
      <c r="M41" s="79"/>
      <c r="N41" s="80"/>
      <c r="O41" s="78">
        <f>IF($B41="",0,IF(COUNTIF('CARDS + MAIL'!$B$6:$B$155,$B41)&gt;1,1,0))</f>
      </c>
      <c r="P41" s="78">
        <f>IF(OR(N($I41)&gt;0,N($J41)&gt;0),IF($H41="",1,IF(COUNTIF('MASTER BUDGET'!$D$6:$D$25,$H41)=0,1,0)),0)</f>
      </c>
      <c r="Q41" s="78">
        <f>IF($C41="",0,IF(COUNTIF('PEOPLE + BUDGETS'!$B$6:$B$105,$C41)=0,1,0))</f>
      </c>
      <c r="R41" s="75"/>
    </row>
    <row r="42" ht="17" customHeight="1" spans="1:18" x14ac:dyDescent="0.25">
      <c r="A42" s="75"/>
      <c r="B42" s="79"/>
      <c r="C42" s="79"/>
      <c r="D42" s="78">
        <f>IF($B42="","",IF($C42="",$E42,IF($C42="","",IFERROR(IF(INDEX('PEOPLE + BUDGETS'!$C$6:$C$105,MATCH($C42,'PEOPLE + BUDGETS'!$B$6:$B$105,0))="","",INDEX('PEOPLE + BUDGETS'!$C$6:$C$105,MATCH($C42,'PEOPLE + BUDGETS'!$B$6:$B$105,0))),""))))</f>
      </c>
      <c r="E42" s="79"/>
      <c r="F42" s="79"/>
      <c r="G42" s="79"/>
      <c r="H42" s="79"/>
      <c r="I42" s="86"/>
      <c r="J42" s="86"/>
      <c r="K42" s="79"/>
      <c r="L42" s="82"/>
      <c r="M42" s="79"/>
      <c r="N42" s="80"/>
      <c r="O42" s="78">
        <f>IF($B42="",0,IF(COUNTIF('CARDS + MAIL'!$B$6:$B$155,$B42)&gt;1,1,0))</f>
      </c>
      <c r="P42" s="78">
        <f>IF(OR(N($I42)&gt;0,N($J42)&gt;0),IF($H42="",1,IF(COUNTIF('MASTER BUDGET'!$D$6:$D$25,$H42)=0,1,0)),0)</f>
      </c>
      <c r="Q42" s="78">
        <f>IF($C42="",0,IF(COUNTIF('PEOPLE + BUDGETS'!$B$6:$B$105,$C42)=0,1,0))</f>
      </c>
      <c r="R42" s="75"/>
    </row>
    <row r="43" ht="17" customHeight="1" spans="1:18" x14ac:dyDescent="0.25">
      <c r="A43" s="75"/>
      <c r="B43" s="79"/>
      <c r="C43" s="79"/>
      <c r="D43" s="78">
        <f>IF($B43="","",IF($C43="",$E43,IF($C43="","",IFERROR(IF(INDEX('PEOPLE + BUDGETS'!$C$6:$C$105,MATCH($C43,'PEOPLE + BUDGETS'!$B$6:$B$105,0))="","",INDEX('PEOPLE + BUDGETS'!$C$6:$C$105,MATCH($C43,'PEOPLE + BUDGETS'!$B$6:$B$105,0))),""))))</f>
      </c>
      <c r="E43" s="79"/>
      <c r="F43" s="79"/>
      <c r="G43" s="79"/>
      <c r="H43" s="79"/>
      <c r="I43" s="86"/>
      <c r="J43" s="86"/>
      <c r="K43" s="79"/>
      <c r="L43" s="82"/>
      <c r="M43" s="79"/>
      <c r="N43" s="80"/>
      <c r="O43" s="78">
        <f>IF($B43="",0,IF(COUNTIF('CARDS + MAIL'!$B$6:$B$155,$B43)&gt;1,1,0))</f>
      </c>
      <c r="P43" s="78">
        <f>IF(OR(N($I43)&gt;0,N($J43)&gt;0),IF($H43="",1,IF(COUNTIF('MASTER BUDGET'!$D$6:$D$25,$H43)=0,1,0)),0)</f>
      </c>
      <c r="Q43" s="78">
        <f>IF($C43="",0,IF(COUNTIF('PEOPLE + BUDGETS'!$B$6:$B$105,$C43)=0,1,0))</f>
      </c>
      <c r="R43" s="75"/>
    </row>
    <row r="44" ht="17" customHeight="1" spans="1:18" x14ac:dyDescent="0.25">
      <c r="A44" s="75"/>
      <c r="B44" s="79"/>
      <c r="C44" s="79"/>
      <c r="D44" s="78">
        <f>IF($B44="","",IF($C44="",$E44,IF($C44="","",IFERROR(IF(INDEX('PEOPLE + BUDGETS'!$C$6:$C$105,MATCH($C44,'PEOPLE + BUDGETS'!$B$6:$B$105,0))="","",INDEX('PEOPLE + BUDGETS'!$C$6:$C$105,MATCH($C44,'PEOPLE + BUDGETS'!$B$6:$B$105,0))),""))))</f>
      </c>
      <c r="E44" s="79"/>
      <c r="F44" s="79"/>
      <c r="G44" s="79"/>
      <c r="H44" s="79"/>
      <c r="I44" s="86"/>
      <c r="J44" s="86"/>
      <c r="K44" s="79"/>
      <c r="L44" s="82"/>
      <c r="M44" s="79"/>
      <c r="N44" s="80"/>
      <c r="O44" s="78">
        <f>IF($B44="",0,IF(COUNTIF('CARDS + MAIL'!$B$6:$B$155,$B44)&gt;1,1,0))</f>
      </c>
      <c r="P44" s="78">
        <f>IF(OR(N($I44)&gt;0,N($J44)&gt;0),IF($H44="",1,IF(COUNTIF('MASTER BUDGET'!$D$6:$D$25,$H44)=0,1,0)),0)</f>
      </c>
      <c r="Q44" s="78">
        <f>IF($C44="",0,IF(COUNTIF('PEOPLE + BUDGETS'!$B$6:$B$105,$C44)=0,1,0))</f>
      </c>
      <c r="R44" s="75"/>
    </row>
    <row r="45" ht="17" customHeight="1" spans="1:18" x14ac:dyDescent="0.25">
      <c r="A45" s="75"/>
      <c r="B45" s="79"/>
      <c r="C45" s="79"/>
      <c r="D45" s="78">
        <f>IF($B45="","",IF($C45="",$E45,IF($C45="","",IFERROR(IF(INDEX('PEOPLE + BUDGETS'!$C$6:$C$105,MATCH($C45,'PEOPLE + BUDGETS'!$B$6:$B$105,0))="","",INDEX('PEOPLE + BUDGETS'!$C$6:$C$105,MATCH($C45,'PEOPLE + BUDGETS'!$B$6:$B$105,0))),""))))</f>
      </c>
      <c r="E45" s="79"/>
      <c r="F45" s="79"/>
      <c r="G45" s="79"/>
      <c r="H45" s="79"/>
      <c r="I45" s="86"/>
      <c r="J45" s="86"/>
      <c r="K45" s="79"/>
      <c r="L45" s="82"/>
      <c r="M45" s="79"/>
      <c r="N45" s="80"/>
      <c r="O45" s="78">
        <f>IF($B45="",0,IF(COUNTIF('CARDS + MAIL'!$B$6:$B$155,$B45)&gt;1,1,0))</f>
      </c>
      <c r="P45" s="78">
        <f>IF(OR(N($I45)&gt;0,N($J45)&gt;0),IF($H45="",1,IF(COUNTIF('MASTER BUDGET'!$D$6:$D$25,$H45)=0,1,0)),0)</f>
      </c>
      <c r="Q45" s="78">
        <f>IF($C45="",0,IF(COUNTIF('PEOPLE + BUDGETS'!$B$6:$B$105,$C45)=0,1,0))</f>
      </c>
      <c r="R45" s="75"/>
    </row>
    <row r="46" ht="17" customHeight="1" spans="1:18" x14ac:dyDescent="0.25">
      <c r="A46" s="75"/>
      <c r="B46" s="79"/>
      <c r="C46" s="79"/>
      <c r="D46" s="78">
        <f>IF($B46="","",IF($C46="",$E46,IF($C46="","",IFERROR(IF(INDEX('PEOPLE + BUDGETS'!$C$6:$C$105,MATCH($C46,'PEOPLE + BUDGETS'!$B$6:$B$105,0))="","",INDEX('PEOPLE + BUDGETS'!$C$6:$C$105,MATCH($C46,'PEOPLE + BUDGETS'!$B$6:$B$105,0))),""))))</f>
      </c>
      <c r="E46" s="79"/>
      <c r="F46" s="79"/>
      <c r="G46" s="79"/>
      <c r="H46" s="79"/>
      <c r="I46" s="86"/>
      <c r="J46" s="86"/>
      <c r="K46" s="79"/>
      <c r="L46" s="82"/>
      <c r="M46" s="79"/>
      <c r="N46" s="80"/>
      <c r="O46" s="78">
        <f>IF($B46="",0,IF(COUNTIF('CARDS + MAIL'!$B$6:$B$155,$B46)&gt;1,1,0))</f>
      </c>
      <c r="P46" s="78">
        <f>IF(OR(N($I46)&gt;0,N($J46)&gt;0),IF($H46="",1,IF(COUNTIF('MASTER BUDGET'!$D$6:$D$25,$H46)=0,1,0)),0)</f>
      </c>
      <c r="Q46" s="78">
        <f>IF($C46="",0,IF(COUNTIF('PEOPLE + BUDGETS'!$B$6:$B$105,$C46)=0,1,0))</f>
      </c>
      <c r="R46" s="75"/>
    </row>
    <row r="47" ht="17" customHeight="1" spans="1:18" x14ac:dyDescent="0.25">
      <c r="A47" s="75"/>
      <c r="B47" s="79"/>
      <c r="C47" s="79"/>
      <c r="D47" s="78">
        <f>IF($B47="","",IF($C47="",$E47,IF($C47="","",IFERROR(IF(INDEX('PEOPLE + BUDGETS'!$C$6:$C$105,MATCH($C47,'PEOPLE + BUDGETS'!$B$6:$B$105,0))="","",INDEX('PEOPLE + BUDGETS'!$C$6:$C$105,MATCH($C47,'PEOPLE + BUDGETS'!$B$6:$B$105,0))),""))))</f>
      </c>
      <c r="E47" s="79"/>
      <c r="F47" s="79"/>
      <c r="G47" s="79"/>
      <c r="H47" s="79"/>
      <c r="I47" s="86"/>
      <c r="J47" s="86"/>
      <c r="K47" s="79"/>
      <c r="L47" s="82"/>
      <c r="M47" s="79"/>
      <c r="N47" s="80"/>
      <c r="O47" s="78">
        <f>IF($B47="",0,IF(COUNTIF('CARDS + MAIL'!$B$6:$B$155,$B47)&gt;1,1,0))</f>
      </c>
      <c r="P47" s="78">
        <f>IF(OR(N($I47)&gt;0,N($J47)&gt;0),IF($H47="",1,IF(COUNTIF('MASTER BUDGET'!$D$6:$D$25,$H47)=0,1,0)),0)</f>
      </c>
      <c r="Q47" s="78">
        <f>IF($C47="",0,IF(COUNTIF('PEOPLE + BUDGETS'!$B$6:$B$105,$C47)=0,1,0))</f>
      </c>
      <c r="R47" s="75"/>
    </row>
    <row r="48" ht="17" customHeight="1" spans="1:18" x14ac:dyDescent="0.25">
      <c r="A48" s="75"/>
      <c r="B48" s="79"/>
      <c r="C48" s="79"/>
      <c r="D48" s="78">
        <f>IF($B48="","",IF($C48="",$E48,IF($C48="","",IFERROR(IF(INDEX('PEOPLE + BUDGETS'!$C$6:$C$105,MATCH($C48,'PEOPLE + BUDGETS'!$B$6:$B$105,0))="","",INDEX('PEOPLE + BUDGETS'!$C$6:$C$105,MATCH($C48,'PEOPLE + BUDGETS'!$B$6:$B$105,0))),""))))</f>
      </c>
      <c r="E48" s="79"/>
      <c r="F48" s="79"/>
      <c r="G48" s="79"/>
      <c r="H48" s="79"/>
      <c r="I48" s="86"/>
      <c r="J48" s="86"/>
      <c r="K48" s="79"/>
      <c r="L48" s="82"/>
      <c r="M48" s="79"/>
      <c r="N48" s="80"/>
      <c r="O48" s="78">
        <f>IF($B48="",0,IF(COUNTIF('CARDS + MAIL'!$B$6:$B$155,$B48)&gt;1,1,0))</f>
      </c>
      <c r="P48" s="78">
        <f>IF(OR(N($I48)&gt;0,N($J48)&gt;0),IF($H48="",1,IF(COUNTIF('MASTER BUDGET'!$D$6:$D$25,$H48)=0,1,0)),0)</f>
      </c>
      <c r="Q48" s="78">
        <f>IF($C48="",0,IF(COUNTIF('PEOPLE + BUDGETS'!$B$6:$B$105,$C48)=0,1,0))</f>
      </c>
      <c r="R48" s="75"/>
    </row>
    <row r="49" ht="17" customHeight="1" spans="1:18" x14ac:dyDescent="0.25">
      <c r="A49" s="75"/>
      <c r="B49" s="79"/>
      <c r="C49" s="79"/>
      <c r="D49" s="78">
        <f>IF($B49="","",IF($C49="",$E49,IF($C49="","",IFERROR(IF(INDEX('PEOPLE + BUDGETS'!$C$6:$C$105,MATCH($C49,'PEOPLE + BUDGETS'!$B$6:$B$105,0))="","",INDEX('PEOPLE + BUDGETS'!$C$6:$C$105,MATCH($C49,'PEOPLE + BUDGETS'!$B$6:$B$105,0))),""))))</f>
      </c>
      <c r="E49" s="79"/>
      <c r="F49" s="79"/>
      <c r="G49" s="79"/>
      <c r="H49" s="79"/>
      <c r="I49" s="86"/>
      <c r="J49" s="86"/>
      <c r="K49" s="79"/>
      <c r="L49" s="82"/>
      <c r="M49" s="79"/>
      <c r="N49" s="80"/>
      <c r="O49" s="78">
        <f>IF($B49="",0,IF(COUNTIF('CARDS + MAIL'!$B$6:$B$155,$B49)&gt;1,1,0))</f>
      </c>
      <c r="P49" s="78">
        <f>IF(OR(N($I49)&gt;0,N($J49)&gt;0),IF($H49="",1,IF(COUNTIF('MASTER BUDGET'!$D$6:$D$25,$H49)=0,1,0)),0)</f>
      </c>
      <c r="Q49" s="78">
        <f>IF($C49="",0,IF(COUNTIF('PEOPLE + BUDGETS'!$B$6:$B$105,$C49)=0,1,0))</f>
      </c>
      <c r="R49" s="75"/>
    </row>
    <row r="50" ht="17" customHeight="1" spans="1:18" x14ac:dyDescent="0.25">
      <c r="A50" s="75"/>
      <c r="B50" s="79"/>
      <c r="C50" s="79"/>
      <c r="D50" s="78">
        <f>IF($B50="","",IF($C50="",$E50,IF($C50="","",IFERROR(IF(INDEX('PEOPLE + BUDGETS'!$C$6:$C$105,MATCH($C50,'PEOPLE + BUDGETS'!$B$6:$B$105,0))="","",INDEX('PEOPLE + BUDGETS'!$C$6:$C$105,MATCH($C50,'PEOPLE + BUDGETS'!$B$6:$B$105,0))),""))))</f>
      </c>
      <c r="E50" s="79"/>
      <c r="F50" s="79"/>
      <c r="G50" s="79"/>
      <c r="H50" s="79"/>
      <c r="I50" s="86"/>
      <c r="J50" s="86"/>
      <c r="K50" s="79"/>
      <c r="L50" s="82"/>
      <c r="M50" s="79"/>
      <c r="N50" s="80"/>
      <c r="O50" s="78">
        <f>IF($B50="",0,IF(COUNTIF('CARDS + MAIL'!$B$6:$B$155,$B50)&gt;1,1,0))</f>
      </c>
      <c r="P50" s="78">
        <f>IF(OR(N($I50)&gt;0,N($J50)&gt;0),IF($H50="",1,IF(COUNTIF('MASTER BUDGET'!$D$6:$D$25,$H50)=0,1,0)),0)</f>
      </c>
      <c r="Q50" s="78">
        <f>IF($C50="",0,IF(COUNTIF('PEOPLE + BUDGETS'!$B$6:$B$105,$C50)=0,1,0))</f>
      </c>
      <c r="R50" s="75"/>
    </row>
    <row r="51" ht="17" customHeight="1" spans="1:18" x14ac:dyDescent="0.25">
      <c r="A51" s="75"/>
      <c r="B51" s="79"/>
      <c r="C51" s="79"/>
      <c r="D51" s="78">
        <f>IF($B51="","",IF($C51="",$E51,IF($C51="","",IFERROR(IF(INDEX('PEOPLE + BUDGETS'!$C$6:$C$105,MATCH($C51,'PEOPLE + BUDGETS'!$B$6:$B$105,0))="","",INDEX('PEOPLE + BUDGETS'!$C$6:$C$105,MATCH($C51,'PEOPLE + BUDGETS'!$B$6:$B$105,0))),""))))</f>
      </c>
      <c r="E51" s="79"/>
      <c r="F51" s="79"/>
      <c r="G51" s="79"/>
      <c r="H51" s="79"/>
      <c r="I51" s="86"/>
      <c r="J51" s="86"/>
      <c r="K51" s="79"/>
      <c r="L51" s="82"/>
      <c r="M51" s="79"/>
      <c r="N51" s="80"/>
      <c r="O51" s="78">
        <f>IF($B51="",0,IF(COUNTIF('CARDS + MAIL'!$B$6:$B$155,$B51)&gt;1,1,0))</f>
      </c>
      <c r="P51" s="78">
        <f>IF(OR(N($I51)&gt;0,N($J51)&gt;0),IF($H51="",1,IF(COUNTIF('MASTER BUDGET'!$D$6:$D$25,$H51)=0,1,0)),0)</f>
      </c>
      <c r="Q51" s="78">
        <f>IF($C51="",0,IF(COUNTIF('PEOPLE + BUDGETS'!$B$6:$B$105,$C51)=0,1,0))</f>
      </c>
      <c r="R51" s="75"/>
    </row>
    <row r="52" ht="17" customHeight="1" spans="1:18" x14ac:dyDescent="0.25">
      <c r="A52" s="75"/>
      <c r="B52" s="79"/>
      <c r="C52" s="79"/>
      <c r="D52" s="78">
        <f>IF($B52="","",IF($C52="",$E52,IF($C52="","",IFERROR(IF(INDEX('PEOPLE + BUDGETS'!$C$6:$C$105,MATCH($C52,'PEOPLE + BUDGETS'!$B$6:$B$105,0))="","",INDEX('PEOPLE + BUDGETS'!$C$6:$C$105,MATCH($C52,'PEOPLE + BUDGETS'!$B$6:$B$105,0))),""))))</f>
      </c>
      <c r="E52" s="79"/>
      <c r="F52" s="79"/>
      <c r="G52" s="79"/>
      <c r="H52" s="79"/>
      <c r="I52" s="86"/>
      <c r="J52" s="86"/>
      <c r="K52" s="79"/>
      <c r="L52" s="82"/>
      <c r="M52" s="79"/>
      <c r="N52" s="80"/>
      <c r="O52" s="78">
        <f>IF($B52="",0,IF(COUNTIF('CARDS + MAIL'!$B$6:$B$155,$B52)&gt;1,1,0))</f>
      </c>
      <c r="P52" s="78">
        <f>IF(OR(N($I52)&gt;0,N($J52)&gt;0),IF($H52="",1,IF(COUNTIF('MASTER BUDGET'!$D$6:$D$25,$H52)=0,1,0)),0)</f>
      </c>
      <c r="Q52" s="78">
        <f>IF($C52="",0,IF(COUNTIF('PEOPLE + BUDGETS'!$B$6:$B$105,$C52)=0,1,0))</f>
      </c>
      <c r="R52" s="75"/>
    </row>
    <row r="53" ht="17" customHeight="1" spans="1:18" x14ac:dyDescent="0.25">
      <c r="A53" s="75"/>
      <c r="B53" s="79"/>
      <c r="C53" s="79"/>
      <c r="D53" s="78">
        <f>IF($B53="","",IF($C53="",$E53,IF($C53="","",IFERROR(IF(INDEX('PEOPLE + BUDGETS'!$C$6:$C$105,MATCH($C53,'PEOPLE + BUDGETS'!$B$6:$B$105,0))="","",INDEX('PEOPLE + BUDGETS'!$C$6:$C$105,MATCH($C53,'PEOPLE + BUDGETS'!$B$6:$B$105,0))),""))))</f>
      </c>
      <c r="E53" s="79"/>
      <c r="F53" s="79"/>
      <c r="G53" s="79"/>
      <c r="H53" s="79"/>
      <c r="I53" s="86"/>
      <c r="J53" s="86"/>
      <c r="K53" s="79"/>
      <c r="L53" s="82"/>
      <c r="M53" s="79"/>
      <c r="N53" s="80"/>
      <c r="O53" s="78">
        <f>IF($B53="",0,IF(COUNTIF('CARDS + MAIL'!$B$6:$B$155,$B53)&gt;1,1,0))</f>
      </c>
      <c r="P53" s="78">
        <f>IF(OR(N($I53)&gt;0,N($J53)&gt;0),IF($H53="",1,IF(COUNTIF('MASTER BUDGET'!$D$6:$D$25,$H53)=0,1,0)),0)</f>
      </c>
      <c r="Q53" s="78">
        <f>IF($C53="",0,IF(COUNTIF('PEOPLE + BUDGETS'!$B$6:$B$105,$C53)=0,1,0))</f>
      </c>
      <c r="R53" s="75"/>
    </row>
    <row r="54" ht="17" customHeight="1" spans="1:18" x14ac:dyDescent="0.25">
      <c r="A54" s="75"/>
      <c r="B54" s="79"/>
      <c r="C54" s="79"/>
      <c r="D54" s="78">
        <f>IF($B54="","",IF($C54="",$E54,IF($C54="","",IFERROR(IF(INDEX('PEOPLE + BUDGETS'!$C$6:$C$105,MATCH($C54,'PEOPLE + BUDGETS'!$B$6:$B$105,0))="","",INDEX('PEOPLE + BUDGETS'!$C$6:$C$105,MATCH($C54,'PEOPLE + BUDGETS'!$B$6:$B$105,0))),""))))</f>
      </c>
      <c r="E54" s="79"/>
      <c r="F54" s="79"/>
      <c r="G54" s="79"/>
      <c r="H54" s="79"/>
      <c r="I54" s="86"/>
      <c r="J54" s="86"/>
      <c r="K54" s="79"/>
      <c r="L54" s="82"/>
      <c r="M54" s="79"/>
      <c r="N54" s="80"/>
      <c r="O54" s="78">
        <f>IF($B54="",0,IF(COUNTIF('CARDS + MAIL'!$B$6:$B$155,$B54)&gt;1,1,0))</f>
      </c>
      <c r="P54" s="78">
        <f>IF(OR(N($I54)&gt;0,N($J54)&gt;0),IF($H54="",1,IF(COUNTIF('MASTER BUDGET'!$D$6:$D$25,$H54)=0,1,0)),0)</f>
      </c>
      <c r="Q54" s="78">
        <f>IF($C54="",0,IF(COUNTIF('PEOPLE + BUDGETS'!$B$6:$B$105,$C54)=0,1,0))</f>
      </c>
      <c r="R54" s="75"/>
    </row>
    <row r="55" ht="17" customHeight="1" spans="1:18" x14ac:dyDescent="0.25">
      <c r="A55" s="75"/>
      <c r="B55" s="79"/>
      <c r="C55" s="79"/>
      <c r="D55" s="78">
        <f>IF($B55="","",IF($C55="",$E55,IF($C55="","",IFERROR(IF(INDEX('PEOPLE + BUDGETS'!$C$6:$C$105,MATCH($C55,'PEOPLE + BUDGETS'!$B$6:$B$105,0))="","",INDEX('PEOPLE + BUDGETS'!$C$6:$C$105,MATCH($C55,'PEOPLE + BUDGETS'!$B$6:$B$105,0))),""))))</f>
      </c>
      <c r="E55" s="79"/>
      <c r="F55" s="79"/>
      <c r="G55" s="79"/>
      <c r="H55" s="79"/>
      <c r="I55" s="86"/>
      <c r="J55" s="86"/>
      <c r="K55" s="79"/>
      <c r="L55" s="82"/>
      <c r="M55" s="79"/>
      <c r="N55" s="80"/>
      <c r="O55" s="78">
        <f>IF($B55="",0,IF(COUNTIF('CARDS + MAIL'!$B$6:$B$155,$B55)&gt;1,1,0))</f>
      </c>
      <c r="P55" s="78">
        <f>IF(OR(N($I55)&gt;0,N($J55)&gt;0),IF($H55="",1,IF(COUNTIF('MASTER BUDGET'!$D$6:$D$25,$H55)=0,1,0)),0)</f>
      </c>
      <c r="Q55" s="78">
        <f>IF($C55="",0,IF(COUNTIF('PEOPLE + BUDGETS'!$B$6:$B$105,$C55)=0,1,0))</f>
      </c>
      <c r="R55" s="75"/>
    </row>
    <row r="56" ht="17" customHeight="1" spans="1:18" x14ac:dyDescent="0.25">
      <c r="A56" s="75"/>
      <c r="B56" s="79"/>
      <c r="C56" s="79"/>
      <c r="D56" s="78">
        <f>IF($B56="","",IF($C56="",$E56,IF($C56="","",IFERROR(IF(INDEX('PEOPLE + BUDGETS'!$C$6:$C$105,MATCH($C56,'PEOPLE + BUDGETS'!$B$6:$B$105,0))="","",INDEX('PEOPLE + BUDGETS'!$C$6:$C$105,MATCH($C56,'PEOPLE + BUDGETS'!$B$6:$B$105,0))),""))))</f>
      </c>
      <c r="E56" s="79"/>
      <c r="F56" s="79"/>
      <c r="G56" s="79"/>
      <c r="H56" s="79"/>
      <c r="I56" s="86"/>
      <c r="J56" s="86"/>
      <c r="K56" s="79"/>
      <c r="L56" s="82"/>
      <c r="M56" s="79"/>
      <c r="N56" s="80"/>
      <c r="O56" s="78">
        <f>IF($B56="",0,IF(COUNTIF('CARDS + MAIL'!$B$6:$B$155,$B56)&gt;1,1,0))</f>
      </c>
      <c r="P56" s="78">
        <f>IF(OR(N($I56)&gt;0,N($J56)&gt;0),IF($H56="",1,IF(COUNTIF('MASTER BUDGET'!$D$6:$D$25,$H56)=0,1,0)),0)</f>
      </c>
      <c r="Q56" s="78">
        <f>IF($C56="",0,IF(COUNTIF('PEOPLE + BUDGETS'!$B$6:$B$105,$C56)=0,1,0))</f>
      </c>
      <c r="R56" s="75"/>
    </row>
    <row r="57" ht="17" customHeight="1" spans="1:18" x14ac:dyDescent="0.25">
      <c r="A57" s="75"/>
      <c r="B57" s="79"/>
      <c r="C57" s="79"/>
      <c r="D57" s="78">
        <f>IF($B57="","",IF($C57="",$E57,IF($C57="","",IFERROR(IF(INDEX('PEOPLE + BUDGETS'!$C$6:$C$105,MATCH($C57,'PEOPLE + BUDGETS'!$B$6:$B$105,0))="","",INDEX('PEOPLE + BUDGETS'!$C$6:$C$105,MATCH($C57,'PEOPLE + BUDGETS'!$B$6:$B$105,0))),""))))</f>
      </c>
      <c r="E57" s="79"/>
      <c r="F57" s="79"/>
      <c r="G57" s="79"/>
      <c r="H57" s="79"/>
      <c r="I57" s="86"/>
      <c r="J57" s="86"/>
      <c r="K57" s="79"/>
      <c r="L57" s="82"/>
      <c r="M57" s="79"/>
      <c r="N57" s="80"/>
      <c r="O57" s="78">
        <f>IF($B57="",0,IF(COUNTIF('CARDS + MAIL'!$B$6:$B$155,$B57)&gt;1,1,0))</f>
      </c>
      <c r="P57" s="78">
        <f>IF(OR(N($I57)&gt;0,N($J57)&gt;0),IF($H57="",1,IF(COUNTIF('MASTER BUDGET'!$D$6:$D$25,$H57)=0,1,0)),0)</f>
      </c>
      <c r="Q57" s="78">
        <f>IF($C57="",0,IF(COUNTIF('PEOPLE + BUDGETS'!$B$6:$B$105,$C57)=0,1,0))</f>
      </c>
      <c r="R57" s="75"/>
    </row>
    <row r="58" ht="17" customHeight="1" spans="1:18" x14ac:dyDescent="0.25">
      <c r="A58" s="75"/>
      <c r="B58" s="79"/>
      <c r="C58" s="79"/>
      <c r="D58" s="78">
        <f>IF($B58="","",IF($C58="",$E58,IF($C58="","",IFERROR(IF(INDEX('PEOPLE + BUDGETS'!$C$6:$C$105,MATCH($C58,'PEOPLE + BUDGETS'!$B$6:$B$105,0))="","",INDEX('PEOPLE + BUDGETS'!$C$6:$C$105,MATCH($C58,'PEOPLE + BUDGETS'!$B$6:$B$105,0))),""))))</f>
      </c>
      <c r="E58" s="79"/>
      <c r="F58" s="79"/>
      <c r="G58" s="79"/>
      <c r="H58" s="79"/>
      <c r="I58" s="86"/>
      <c r="J58" s="86"/>
      <c r="K58" s="79"/>
      <c r="L58" s="82"/>
      <c r="M58" s="79"/>
      <c r="N58" s="80"/>
      <c r="O58" s="78">
        <f>IF($B58="",0,IF(COUNTIF('CARDS + MAIL'!$B$6:$B$155,$B58)&gt;1,1,0))</f>
      </c>
      <c r="P58" s="78">
        <f>IF(OR(N($I58)&gt;0,N($J58)&gt;0),IF($H58="",1,IF(COUNTIF('MASTER BUDGET'!$D$6:$D$25,$H58)=0,1,0)),0)</f>
      </c>
      <c r="Q58" s="78">
        <f>IF($C58="",0,IF(COUNTIF('PEOPLE + BUDGETS'!$B$6:$B$105,$C58)=0,1,0))</f>
      </c>
      <c r="R58" s="75"/>
    </row>
    <row r="59" ht="17" customHeight="1" spans="1:18" x14ac:dyDescent="0.25">
      <c r="A59" s="75"/>
      <c r="B59" s="79"/>
      <c r="C59" s="79"/>
      <c r="D59" s="78">
        <f>IF($B59="","",IF($C59="",$E59,IF($C59="","",IFERROR(IF(INDEX('PEOPLE + BUDGETS'!$C$6:$C$105,MATCH($C59,'PEOPLE + BUDGETS'!$B$6:$B$105,0))="","",INDEX('PEOPLE + BUDGETS'!$C$6:$C$105,MATCH($C59,'PEOPLE + BUDGETS'!$B$6:$B$105,0))),""))))</f>
      </c>
      <c r="E59" s="79"/>
      <c r="F59" s="79"/>
      <c r="G59" s="79"/>
      <c r="H59" s="79"/>
      <c r="I59" s="86"/>
      <c r="J59" s="86"/>
      <c r="K59" s="79"/>
      <c r="L59" s="82"/>
      <c r="M59" s="79"/>
      <c r="N59" s="80"/>
      <c r="O59" s="78">
        <f>IF($B59="",0,IF(COUNTIF('CARDS + MAIL'!$B$6:$B$155,$B59)&gt;1,1,0))</f>
      </c>
      <c r="P59" s="78">
        <f>IF(OR(N($I59)&gt;0,N($J59)&gt;0),IF($H59="",1,IF(COUNTIF('MASTER BUDGET'!$D$6:$D$25,$H59)=0,1,0)),0)</f>
      </c>
      <c r="Q59" s="78">
        <f>IF($C59="",0,IF(COUNTIF('PEOPLE + BUDGETS'!$B$6:$B$105,$C59)=0,1,0))</f>
      </c>
      <c r="R59" s="75"/>
    </row>
    <row r="60" ht="17" customHeight="1" spans="1:18" x14ac:dyDescent="0.25">
      <c r="A60" s="75"/>
      <c r="B60" s="79"/>
      <c r="C60" s="79"/>
      <c r="D60" s="78">
        <f>IF($B60="","",IF($C60="",$E60,IF($C60="","",IFERROR(IF(INDEX('PEOPLE + BUDGETS'!$C$6:$C$105,MATCH($C60,'PEOPLE + BUDGETS'!$B$6:$B$105,0))="","",INDEX('PEOPLE + BUDGETS'!$C$6:$C$105,MATCH($C60,'PEOPLE + BUDGETS'!$B$6:$B$105,0))),""))))</f>
      </c>
      <c r="E60" s="79"/>
      <c r="F60" s="79"/>
      <c r="G60" s="79"/>
      <c r="H60" s="79"/>
      <c r="I60" s="86"/>
      <c r="J60" s="86"/>
      <c r="K60" s="79"/>
      <c r="L60" s="82"/>
      <c r="M60" s="79"/>
      <c r="N60" s="80"/>
      <c r="O60" s="78">
        <f>IF($B60="",0,IF(COUNTIF('CARDS + MAIL'!$B$6:$B$155,$B60)&gt;1,1,0))</f>
      </c>
      <c r="P60" s="78">
        <f>IF(OR(N($I60)&gt;0,N($J60)&gt;0),IF($H60="",1,IF(COUNTIF('MASTER BUDGET'!$D$6:$D$25,$H60)=0,1,0)),0)</f>
      </c>
      <c r="Q60" s="78">
        <f>IF($C60="",0,IF(COUNTIF('PEOPLE + BUDGETS'!$B$6:$B$105,$C60)=0,1,0))</f>
      </c>
      <c r="R60" s="75"/>
    </row>
    <row r="61" ht="17" customHeight="1" spans="1:18" x14ac:dyDescent="0.25">
      <c r="A61" s="75"/>
      <c r="B61" s="79"/>
      <c r="C61" s="79"/>
      <c r="D61" s="78">
        <f>IF($B61="","",IF($C61="",$E61,IF($C61="","",IFERROR(IF(INDEX('PEOPLE + BUDGETS'!$C$6:$C$105,MATCH($C61,'PEOPLE + BUDGETS'!$B$6:$B$105,0))="","",INDEX('PEOPLE + BUDGETS'!$C$6:$C$105,MATCH($C61,'PEOPLE + BUDGETS'!$B$6:$B$105,0))),""))))</f>
      </c>
      <c r="E61" s="79"/>
      <c r="F61" s="79"/>
      <c r="G61" s="79"/>
      <c r="H61" s="79"/>
      <c r="I61" s="86"/>
      <c r="J61" s="86"/>
      <c r="K61" s="79"/>
      <c r="L61" s="82"/>
      <c r="M61" s="79"/>
      <c r="N61" s="80"/>
      <c r="O61" s="78">
        <f>IF($B61="",0,IF(COUNTIF('CARDS + MAIL'!$B$6:$B$155,$B61)&gt;1,1,0))</f>
      </c>
      <c r="P61" s="78">
        <f>IF(OR(N($I61)&gt;0,N($J61)&gt;0),IF($H61="",1,IF(COUNTIF('MASTER BUDGET'!$D$6:$D$25,$H61)=0,1,0)),0)</f>
      </c>
      <c r="Q61" s="78">
        <f>IF($C61="",0,IF(COUNTIF('PEOPLE + BUDGETS'!$B$6:$B$105,$C61)=0,1,0))</f>
      </c>
      <c r="R61" s="75"/>
    </row>
    <row r="62" ht="17" customHeight="1" spans="1:18" x14ac:dyDescent="0.25">
      <c r="A62" s="75"/>
      <c r="B62" s="79"/>
      <c r="C62" s="79"/>
      <c r="D62" s="78">
        <f>IF($B62="","",IF($C62="",$E62,IF($C62="","",IFERROR(IF(INDEX('PEOPLE + BUDGETS'!$C$6:$C$105,MATCH($C62,'PEOPLE + BUDGETS'!$B$6:$B$105,0))="","",INDEX('PEOPLE + BUDGETS'!$C$6:$C$105,MATCH($C62,'PEOPLE + BUDGETS'!$B$6:$B$105,0))),""))))</f>
      </c>
      <c r="E62" s="79"/>
      <c r="F62" s="79"/>
      <c r="G62" s="79"/>
      <c r="H62" s="79"/>
      <c r="I62" s="86"/>
      <c r="J62" s="86"/>
      <c r="K62" s="79"/>
      <c r="L62" s="82"/>
      <c r="M62" s="79"/>
      <c r="N62" s="80"/>
      <c r="O62" s="78">
        <f>IF($B62="",0,IF(COUNTIF('CARDS + MAIL'!$B$6:$B$155,$B62)&gt;1,1,0))</f>
      </c>
      <c r="P62" s="78">
        <f>IF(OR(N($I62)&gt;0,N($J62)&gt;0),IF($H62="",1,IF(COUNTIF('MASTER BUDGET'!$D$6:$D$25,$H62)=0,1,0)),0)</f>
      </c>
      <c r="Q62" s="78">
        <f>IF($C62="",0,IF(COUNTIF('PEOPLE + BUDGETS'!$B$6:$B$105,$C62)=0,1,0))</f>
      </c>
      <c r="R62" s="75"/>
    </row>
    <row r="63" ht="17" customHeight="1" spans="1:18" x14ac:dyDescent="0.25">
      <c r="A63" s="75"/>
      <c r="B63" s="79"/>
      <c r="C63" s="79"/>
      <c r="D63" s="78">
        <f>IF($B63="","",IF($C63="",$E63,IF($C63="","",IFERROR(IF(INDEX('PEOPLE + BUDGETS'!$C$6:$C$105,MATCH($C63,'PEOPLE + BUDGETS'!$B$6:$B$105,0))="","",INDEX('PEOPLE + BUDGETS'!$C$6:$C$105,MATCH($C63,'PEOPLE + BUDGETS'!$B$6:$B$105,0))),""))))</f>
      </c>
      <c r="E63" s="79"/>
      <c r="F63" s="79"/>
      <c r="G63" s="79"/>
      <c r="H63" s="79"/>
      <c r="I63" s="86"/>
      <c r="J63" s="86"/>
      <c r="K63" s="79"/>
      <c r="L63" s="82"/>
      <c r="M63" s="79"/>
      <c r="N63" s="80"/>
      <c r="O63" s="78">
        <f>IF($B63="",0,IF(COUNTIF('CARDS + MAIL'!$B$6:$B$155,$B63)&gt;1,1,0))</f>
      </c>
      <c r="P63" s="78">
        <f>IF(OR(N($I63)&gt;0,N($J63)&gt;0),IF($H63="",1,IF(COUNTIF('MASTER BUDGET'!$D$6:$D$25,$H63)=0,1,0)),0)</f>
      </c>
      <c r="Q63" s="78">
        <f>IF($C63="",0,IF(COUNTIF('PEOPLE + BUDGETS'!$B$6:$B$105,$C63)=0,1,0))</f>
      </c>
      <c r="R63" s="75"/>
    </row>
    <row r="64" ht="17" customHeight="1" spans="1:18" x14ac:dyDescent="0.25">
      <c r="A64" s="75"/>
      <c r="B64" s="79"/>
      <c r="C64" s="79"/>
      <c r="D64" s="78">
        <f>IF($B64="","",IF($C64="",$E64,IF($C64="","",IFERROR(IF(INDEX('PEOPLE + BUDGETS'!$C$6:$C$105,MATCH($C64,'PEOPLE + BUDGETS'!$B$6:$B$105,0))="","",INDEX('PEOPLE + BUDGETS'!$C$6:$C$105,MATCH($C64,'PEOPLE + BUDGETS'!$B$6:$B$105,0))),""))))</f>
      </c>
      <c r="E64" s="79"/>
      <c r="F64" s="79"/>
      <c r="G64" s="79"/>
      <c r="H64" s="79"/>
      <c r="I64" s="86"/>
      <c r="J64" s="86"/>
      <c r="K64" s="79"/>
      <c r="L64" s="82"/>
      <c r="M64" s="79"/>
      <c r="N64" s="80"/>
      <c r="O64" s="78">
        <f>IF($B64="",0,IF(COUNTIF('CARDS + MAIL'!$B$6:$B$155,$B64)&gt;1,1,0))</f>
      </c>
      <c r="P64" s="78">
        <f>IF(OR(N($I64)&gt;0,N($J64)&gt;0),IF($H64="",1,IF(COUNTIF('MASTER BUDGET'!$D$6:$D$25,$H64)=0,1,0)),0)</f>
      </c>
      <c r="Q64" s="78">
        <f>IF($C64="",0,IF(COUNTIF('PEOPLE + BUDGETS'!$B$6:$B$105,$C64)=0,1,0))</f>
      </c>
      <c r="R64" s="75"/>
    </row>
    <row r="65" ht="17" customHeight="1" spans="1:18" x14ac:dyDescent="0.25">
      <c r="A65" s="75"/>
      <c r="B65" s="79"/>
      <c r="C65" s="79"/>
      <c r="D65" s="78">
        <f>IF($B65="","",IF($C65="",$E65,IF($C65="","",IFERROR(IF(INDEX('PEOPLE + BUDGETS'!$C$6:$C$105,MATCH($C65,'PEOPLE + BUDGETS'!$B$6:$B$105,0))="","",INDEX('PEOPLE + BUDGETS'!$C$6:$C$105,MATCH($C65,'PEOPLE + BUDGETS'!$B$6:$B$105,0))),""))))</f>
      </c>
      <c r="E65" s="79"/>
      <c r="F65" s="79"/>
      <c r="G65" s="79"/>
      <c r="H65" s="79"/>
      <c r="I65" s="86"/>
      <c r="J65" s="86"/>
      <c r="K65" s="79"/>
      <c r="L65" s="82"/>
      <c r="M65" s="79"/>
      <c r="N65" s="80"/>
      <c r="O65" s="78">
        <f>IF($B65="",0,IF(COUNTIF('CARDS + MAIL'!$B$6:$B$155,$B65)&gt;1,1,0))</f>
      </c>
      <c r="P65" s="78">
        <f>IF(OR(N($I65)&gt;0,N($J65)&gt;0),IF($H65="",1,IF(COUNTIF('MASTER BUDGET'!$D$6:$D$25,$H65)=0,1,0)),0)</f>
      </c>
      <c r="Q65" s="78">
        <f>IF($C65="",0,IF(COUNTIF('PEOPLE + BUDGETS'!$B$6:$B$105,$C65)=0,1,0))</f>
      </c>
      <c r="R65" s="75"/>
    </row>
    <row r="66" ht="17" customHeight="1" spans="1:18" x14ac:dyDescent="0.25">
      <c r="A66" s="75"/>
      <c r="B66" s="79"/>
      <c r="C66" s="79"/>
      <c r="D66" s="78">
        <f>IF($B66="","",IF($C66="",$E66,IF($C66="","",IFERROR(IF(INDEX('PEOPLE + BUDGETS'!$C$6:$C$105,MATCH($C66,'PEOPLE + BUDGETS'!$B$6:$B$105,0))="","",INDEX('PEOPLE + BUDGETS'!$C$6:$C$105,MATCH($C66,'PEOPLE + BUDGETS'!$B$6:$B$105,0))),""))))</f>
      </c>
      <c r="E66" s="79"/>
      <c r="F66" s="79"/>
      <c r="G66" s="79"/>
      <c r="H66" s="79"/>
      <c r="I66" s="86"/>
      <c r="J66" s="86"/>
      <c r="K66" s="79"/>
      <c r="L66" s="82"/>
      <c r="M66" s="79"/>
      <c r="N66" s="80"/>
      <c r="O66" s="78">
        <f>IF($B66="",0,IF(COUNTIF('CARDS + MAIL'!$B$6:$B$155,$B66)&gt;1,1,0))</f>
      </c>
      <c r="P66" s="78">
        <f>IF(OR(N($I66)&gt;0,N($J66)&gt;0),IF($H66="",1,IF(COUNTIF('MASTER BUDGET'!$D$6:$D$25,$H66)=0,1,0)),0)</f>
      </c>
      <c r="Q66" s="78">
        <f>IF($C66="",0,IF(COUNTIF('PEOPLE + BUDGETS'!$B$6:$B$105,$C66)=0,1,0))</f>
      </c>
      <c r="R66" s="75"/>
    </row>
    <row r="67" ht="17" customHeight="1" spans="1:18" x14ac:dyDescent="0.25">
      <c r="A67" s="75"/>
      <c r="B67" s="79"/>
      <c r="C67" s="79"/>
      <c r="D67" s="78">
        <f>IF($B67="","",IF($C67="",$E67,IF($C67="","",IFERROR(IF(INDEX('PEOPLE + BUDGETS'!$C$6:$C$105,MATCH($C67,'PEOPLE + BUDGETS'!$B$6:$B$105,0))="","",INDEX('PEOPLE + BUDGETS'!$C$6:$C$105,MATCH($C67,'PEOPLE + BUDGETS'!$B$6:$B$105,0))),""))))</f>
      </c>
      <c r="E67" s="79"/>
      <c r="F67" s="79"/>
      <c r="G67" s="79"/>
      <c r="H67" s="79"/>
      <c r="I67" s="86"/>
      <c r="J67" s="86"/>
      <c r="K67" s="79"/>
      <c r="L67" s="82"/>
      <c r="M67" s="79"/>
      <c r="N67" s="80"/>
      <c r="O67" s="78">
        <f>IF($B67="",0,IF(COUNTIF('CARDS + MAIL'!$B$6:$B$155,$B67)&gt;1,1,0))</f>
      </c>
      <c r="P67" s="78">
        <f>IF(OR(N($I67)&gt;0,N($J67)&gt;0),IF($H67="",1,IF(COUNTIF('MASTER BUDGET'!$D$6:$D$25,$H67)=0,1,0)),0)</f>
      </c>
      <c r="Q67" s="78">
        <f>IF($C67="",0,IF(COUNTIF('PEOPLE + BUDGETS'!$B$6:$B$105,$C67)=0,1,0))</f>
      </c>
      <c r="R67" s="75"/>
    </row>
    <row r="68" ht="17" customHeight="1" spans="1:18" x14ac:dyDescent="0.25">
      <c r="A68" s="75"/>
      <c r="B68" s="79"/>
      <c r="C68" s="79"/>
      <c r="D68" s="78">
        <f>IF($B68="","",IF($C68="",$E68,IF($C68="","",IFERROR(IF(INDEX('PEOPLE + BUDGETS'!$C$6:$C$105,MATCH($C68,'PEOPLE + BUDGETS'!$B$6:$B$105,0))="","",INDEX('PEOPLE + BUDGETS'!$C$6:$C$105,MATCH($C68,'PEOPLE + BUDGETS'!$B$6:$B$105,0))),""))))</f>
      </c>
      <c r="E68" s="79"/>
      <c r="F68" s="79"/>
      <c r="G68" s="79"/>
      <c r="H68" s="79"/>
      <c r="I68" s="86"/>
      <c r="J68" s="86"/>
      <c r="K68" s="79"/>
      <c r="L68" s="82"/>
      <c r="M68" s="79"/>
      <c r="N68" s="80"/>
      <c r="O68" s="78">
        <f>IF($B68="",0,IF(COUNTIF('CARDS + MAIL'!$B$6:$B$155,$B68)&gt;1,1,0))</f>
      </c>
      <c r="P68" s="78">
        <f>IF(OR(N($I68)&gt;0,N($J68)&gt;0),IF($H68="",1,IF(COUNTIF('MASTER BUDGET'!$D$6:$D$25,$H68)=0,1,0)),0)</f>
      </c>
      <c r="Q68" s="78">
        <f>IF($C68="",0,IF(COUNTIF('PEOPLE + BUDGETS'!$B$6:$B$105,$C68)=0,1,0))</f>
      </c>
      <c r="R68" s="75"/>
    </row>
    <row r="69" ht="17" customHeight="1" spans="1:18" x14ac:dyDescent="0.25">
      <c r="A69" s="75"/>
      <c r="B69" s="79"/>
      <c r="C69" s="79"/>
      <c r="D69" s="78">
        <f>IF($B69="","",IF($C69="",$E69,IF($C69="","",IFERROR(IF(INDEX('PEOPLE + BUDGETS'!$C$6:$C$105,MATCH($C69,'PEOPLE + BUDGETS'!$B$6:$B$105,0))="","",INDEX('PEOPLE + BUDGETS'!$C$6:$C$105,MATCH($C69,'PEOPLE + BUDGETS'!$B$6:$B$105,0))),""))))</f>
      </c>
      <c r="E69" s="79"/>
      <c r="F69" s="79"/>
      <c r="G69" s="79"/>
      <c r="H69" s="79"/>
      <c r="I69" s="86"/>
      <c r="J69" s="86"/>
      <c r="K69" s="79"/>
      <c r="L69" s="82"/>
      <c r="M69" s="79"/>
      <c r="N69" s="80"/>
      <c r="O69" s="78">
        <f>IF($B69="",0,IF(COUNTIF('CARDS + MAIL'!$B$6:$B$155,$B69)&gt;1,1,0))</f>
      </c>
      <c r="P69" s="78">
        <f>IF(OR(N($I69)&gt;0,N($J69)&gt;0),IF($H69="",1,IF(COUNTIF('MASTER BUDGET'!$D$6:$D$25,$H69)=0,1,0)),0)</f>
      </c>
      <c r="Q69" s="78">
        <f>IF($C69="",0,IF(COUNTIF('PEOPLE + BUDGETS'!$B$6:$B$105,$C69)=0,1,0))</f>
      </c>
      <c r="R69" s="75"/>
    </row>
    <row r="70" ht="17" customHeight="1" spans="1:18" x14ac:dyDescent="0.25">
      <c r="A70" s="75"/>
      <c r="B70" s="79"/>
      <c r="C70" s="79"/>
      <c r="D70" s="78">
        <f>IF($B70="","",IF($C70="",$E70,IF($C70="","",IFERROR(IF(INDEX('PEOPLE + BUDGETS'!$C$6:$C$105,MATCH($C70,'PEOPLE + BUDGETS'!$B$6:$B$105,0))="","",INDEX('PEOPLE + BUDGETS'!$C$6:$C$105,MATCH($C70,'PEOPLE + BUDGETS'!$B$6:$B$105,0))),""))))</f>
      </c>
      <c r="E70" s="79"/>
      <c r="F70" s="79"/>
      <c r="G70" s="79"/>
      <c r="H70" s="79"/>
      <c r="I70" s="86"/>
      <c r="J70" s="86"/>
      <c r="K70" s="79"/>
      <c r="L70" s="82"/>
      <c r="M70" s="79"/>
      <c r="N70" s="80"/>
      <c r="O70" s="78">
        <f>IF($B70="",0,IF(COUNTIF('CARDS + MAIL'!$B$6:$B$155,$B70)&gt;1,1,0))</f>
      </c>
      <c r="P70" s="78">
        <f>IF(OR(N($I70)&gt;0,N($J70)&gt;0),IF($H70="",1,IF(COUNTIF('MASTER BUDGET'!$D$6:$D$25,$H70)=0,1,0)),0)</f>
      </c>
      <c r="Q70" s="78">
        <f>IF($C70="",0,IF(COUNTIF('PEOPLE + BUDGETS'!$B$6:$B$105,$C70)=0,1,0))</f>
      </c>
      <c r="R70" s="75"/>
    </row>
    <row r="71" ht="17" customHeight="1" spans="1:18" x14ac:dyDescent="0.25">
      <c r="A71" s="75"/>
      <c r="B71" s="79"/>
      <c r="C71" s="79"/>
      <c r="D71" s="78">
        <f>IF($B71="","",IF($C71="",$E71,IF($C71="","",IFERROR(IF(INDEX('PEOPLE + BUDGETS'!$C$6:$C$105,MATCH($C71,'PEOPLE + BUDGETS'!$B$6:$B$105,0))="","",INDEX('PEOPLE + BUDGETS'!$C$6:$C$105,MATCH($C71,'PEOPLE + BUDGETS'!$B$6:$B$105,0))),""))))</f>
      </c>
      <c r="E71" s="79"/>
      <c r="F71" s="79"/>
      <c r="G71" s="79"/>
      <c r="H71" s="79"/>
      <c r="I71" s="86"/>
      <c r="J71" s="86"/>
      <c r="K71" s="79"/>
      <c r="L71" s="82"/>
      <c r="M71" s="79"/>
      <c r="N71" s="80"/>
      <c r="O71" s="78">
        <f>IF($B71="",0,IF(COUNTIF('CARDS + MAIL'!$B$6:$B$155,$B71)&gt;1,1,0))</f>
      </c>
      <c r="P71" s="78">
        <f>IF(OR(N($I71)&gt;0,N($J71)&gt;0),IF($H71="",1,IF(COUNTIF('MASTER BUDGET'!$D$6:$D$25,$H71)=0,1,0)),0)</f>
      </c>
      <c r="Q71" s="78">
        <f>IF($C71="",0,IF(COUNTIF('PEOPLE + BUDGETS'!$B$6:$B$105,$C71)=0,1,0))</f>
      </c>
      <c r="R71" s="75"/>
    </row>
    <row r="72" ht="17" customHeight="1" spans="1:18" x14ac:dyDescent="0.25">
      <c r="A72" s="75"/>
      <c r="B72" s="79"/>
      <c r="C72" s="79"/>
      <c r="D72" s="78">
        <f>IF($B72="","",IF($C72="",$E72,IF($C72="","",IFERROR(IF(INDEX('PEOPLE + BUDGETS'!$C$6:$C$105,MATCH($C72,'PEOPLE + BUDGETS'!$B$6:$B$105,0))="","",INDEX('PEOPLE + BUDGETS'!$C$6:$C$105,MATCH($C72,'PEOPLE + BUDGETS'!$B$6:$B$105,0))),""))))</f>
      </c>
      <c r="E72" s="79"/>
      <c r="F72" s="79"/>
      <c r="G72" s="79"/>
      <c r="H72" s="79"/>
      <c r="I72" s="86"/>
      <c r="J72" s="86"/>
      <c r="K72" s="79"/>
      <c r="L72" s="82"/>
      <c r="M72" s="79"/>
      <c r="N72" s="80"/>
      <c r="O72" s="78">
        <f>IF($B72="",0,IF(COUNTIF('CARDS + MAIL'!$B$6:$B$155,$B72)&gt;1,1,0))</f>
      </c>
      <c r="P72" s="78">
        <f>IF(OR(N($I72)&gt;0,N($J72)&gt;0),IF($H72="",1,IF(COUNTIF('MASTER BUDGET'!$D$6:$D$25,$H72)=0,1,0)),0)</f>
      </c>
      <c r="Q72" s="78">
        <f>IF($C72="",0,IF(COUNTIF('PEOPLE + BUDGETS'!$B$6:$B$105,$C72)=0,1,0))</f>
      </c>
      <c r="R72" s="75"/>
    </row>
    <row r="73" ht="17" customHeight="1" spans="1:18" x14ac:dyDescent="0.25">
      <c r="A73" s="75"/>
      <c r="B73" s="79"/>
      <c r="C73" s="79"/>
      <c r="D73" s="78">
        <f>IF($B73="","",IF($C73="",$E73,IF($C73="","",IFERROR(IF(INDEX('PEOPLE + BUDGETS'!$C$6:$C$105,MATCH($C73,'PEOPLE + BUDGETS'!$B$6:$B$105,0))="","",INDEX('PEOPLE + BUDGETS'!$C$6:$C$105,MATCH($C73,'PEOPLE + BUDGETS'!$B$6:$B$105,0))),""))))</f>
      </c>
      <c r="E73" s="79"/>
      <c r="F73" s="79"/>
      <c r="G73" s="79"/>
      <c r="H73" s="79"/>
      <c r="I73" s="86"/>
      <c r="J73" s="86"/>
      <c r="K73" s="79"/>
      <c r="L73" s="82"/>
      <c r="M73" s="79"/>
      <c r="N73" s="80"/>
      <c r="O73" s="78">
        <f>IF($B73="",0,IF(COUNTIF('CARDS + MAIL'!$B$6:$B$155,$B73)&gt;1,1,0))</f>
      </c>
      <c r="P73" s="78">
        <f>IF(OR(N($I73)&gt;0,N($J73)&gt;0),IF($H73="",1,IF(COUNTIF('MASTER BUDGET'!$D$6:$D$25,$H73)=0,1,0)),0)</f>
      </c>
      <c r="Q73" s="78">
        <f>IF($C73="",0,IF(COUNTIF('PEOPLE + BUDGETS'!$B$6:$B$105,$C73)=0,1,0))</f>
      </c>
      <c r="R73" s="75"/>
    </row>
    <row r="74" ht="17" customHeight="1" spans="1:18" x14ac:dyDescent="0.25">
      <c r="A74" s="75"/>
      <c r="B74" s="79"/>
      <c r="C74" s="79"/>
      <c r="D74" s="78">
        <f>IF($B74="","",IF($C74="",$E74,IF($C74="","",IFERROR(IF(INDEX('PEOPLE + BUDGETS'!$C$6:$C$105,MATCH($C74,'PEOPLE + BUDGETS'!$B$6:$B$105,0))="","",INDEX('PEOPLE + BUDGETS'!$C$6:$C$105,MATCH($C74,'PEOPLE + BUDGETS'!$B$6:$B$105,0))),""))))</f>
      </c>
      <c r="E74" s="79"/>
      <c r="F74" s="79"/>
      <c r="G74" s="79"/>
      <c r="H74" s="79"/>
      <c r="I74" s="86"/>
      <c r="J74" s="86"/>
      <c r="K74" s="79"/>
      <c r="L74" s="82"/>
      <c r="M74" s="79"/>
      <c r="N74" s="80"/>
      <c r="O74" s="78">
        <f>IF($B74="",0,IF(COUNTIF('CARDS + MAIL'!$B$6:$B$155,$B74)&gt;1,1,0))</f>
      </c>
      <c r="P74" s="78">
        <f>IF(OR(N($I74)&gt;0,N($J74)&gt;0),IF($H74="",1,IF(COUNTIF('MASTER BUDGET'!$D$6:$D$25,$H74)=0,1,0)),0)</f>
      </c>
      <c r="Q74" s="78">
        <f>IF($C74="",0,IF(COUNTIF('PEOPLE + BUDGETS'!$B$6:$B$105,$C74)=0,1,0))</f>
      </c>
      <c r="R74" s="75"/>
    </row>
    <row r="75" ht="17" customHeight="1" spans="1:18" x14ac:dyDescent="0.25">
      <c r="A75" s="75"/>
      <c r="B75" s="79"/>
      <c r="C75" s="79"/>
      <c r="D75" s="78">
        <f>IF($B75="","",IF($C75="",$E75,IF($C75="","",IFERROR(IF(INDEX('PEOPLE + BUDGETS'!$C$6:$C$105,MATCH($C75,'PEOPLE + BUDGETS'!$B$6:$B$105,0))="","",INDEX('PEOPLE + BUDGETS'!$C$6:$C$105,MATCH($C75,'PEOPLE + BUDGETS'!$B$6:$B$105,0))),""))))</f>
      </c>
      <c r="E75" s="79"/>
      <c r="F75" s="79"/>
      <c r="G75" s="79"/>
      <c r="H75" s="79"/>
      <c r="I75" s="86"/>
      <c r="J75" s="86"/>
      <c r="K75" s="79"/>
      <c r="L75" s="82"/>
      <c r="M75" s="79"/>
      <c r="N75" s="80"/>
      <c r="O75" s="78">
        <f>IF($B75="",0,IF(COUNTIF('CARDS + MAIL'!$B$6:$B$155,$B75)&gt;1,1,0))</f>
      </c>
      <c r="P75" s="78">
        <f>IF(OR(N($I75)&gt;0,N($J75)&gt;0),IF($H75="",1,IF(COUNTIF('MASTER BUDGET'!$D$6:$D$25,$H75)=0,1,0)),0)</f>
      </c>
      <c r="Q75" s="78">
        <f>IF($C75="",0,IF(COUNTIF('PEOPLE + BUDGETS'!$B$6:$B$105,$C75)=0,1,0))</f>
      </c>
      <c r="R75" s="75"/>
    </row>
    <row r="76" ht="17" customHeight="1" spans="1:18" x14ac:dyDescent="0.25">
      <c r="A76" s="75"/>
      <c r="B76" s="79"/>
      <c r="C76" s="79"/>
      <c r="D76" s="78">
        <f>IF($B76="","",IF($C76="",$E76,IF($C76="","",IFERROR(IF(INDEX('PEOPLE + BUDGETS'!$C$6:$C$105,MATCH($C76,'PEOPLE + BUDGETS'!$B$6:$B$105,0))="","",INDEX('PEOPLE + BUDGETS'!$C$6:$C$105,MATCH($C76,'PEOPLE + BUDGETS'!$B$6:$B$105,0))),""))))</f>
      </c>
      <c r="E76" s="79"/>
      <c r="F76" s="79"/>
      <c r="G76" s="79"/>
      <c r="H76" s="79"/>
      <c r="I76" s="86"/>
      <c r="J76" s="86"/>
      <c r="K76" s="79"/>
      <c r="L76" s="82"/>
      <c r="M76" s="79"/>
      <c r="N76" s="80"/>
      <c r="O76" s="78">
        <f>IF($B76="",0,IF(COUNTIF('CARDS + MAIL'!$B$6:$B$155,$B76)&gt;1,1,0))</f>
      </c>
      <c r="P76" s="78">
        <f>IF(OR(N($I76)&gt;0,N($J76)&gt;0),IF($H76="",1,IF(COUNTIF('MASTER BUDGET'!$D$6:$D$25,$H76)=0,1,0)),0)</f>
      </c>
      <c r="Q76" s="78">
        <f>IF($C76="",0,IF(COUNTIF('PEOPLE + BUDGETS'!$B$6:$B$105,$C76)=0,1,0))</f>
      </c>
      <c r="R76" s="75"/>
    </row>
    <row r="77" ht="17" customHeight="1" spans="1:18" x14ac:dyDescent="0.25">
      <c r="A77" s="75"/>
      <c r="B77" s="79"/>
      <c r="C77" s="79"/>
      <c r="D77" s="78">
        <f>IF($B77="","",IF($C77="",$E77,IF($C77="","",IFERROR(IF(INDEX('PEOPLE + BUDGETS'!$C$6:$C$105,MATCH($C77,'PEOPLE + BUDGETS'!$B$6:$B$105,0))="","",INDEX('PEOPLE + BUDGETS'!$C$6:$C$105,MATCH($C77,'PEOPLE + BUDGETS'!$B$6:$B$105,0))),""))))</f>
      </c>
      <c r="E77" s="79"/>
      <c r="F77" s="79"/>
      <c r="G77" s="79"/>
      <c r="H77" s="79"/>
      <c r="I77" s="86"/>
      <c r="J77" s="86"/>
      <c r="K77" s="79"/>
      <c r="L77" s="82"/>
      <c r="M77" s="79"/>
      <c r="N77" s="80"/>
      <c r="O77" s="78">
        <f>IF($B77="",0,IF(COUNTIF('CARDS + MAIL'!$B$6:$B$155,$B77)&gt;1,1,0))</f>
      </c>
      <c r="P77" s="78">
        <f>IF(OR(N($I77)&gt;0,N($J77)&gt;0),IF($H77="",1,IF(COUNTIF('MASTER BUDGET'!$D$6:$D$25,$H77)=0,1,0)),0)</f>
      </c>
      <c r="Q77" s="78">
        <f>IF($C77="",0,IF(COUNTIF('PEOPLE + BUDGETS'!$B$6:$B$105,$C77)=0,1,0))</f>
      </c>
      <c r="R77" s="75"/>
    </row>
    <row r="78" ht="17" customHeight="1" spans="1:18" x14ac:dyDescent="0.25">
      <c r="A78" s="75"/>
      <c r="B78" s="79"/>
      <c r="C78" s="79"/>
      <c r="D78" s="78">
        <f>IF($B78="","",IF($C78="",$E78,IF($C78="","",IFERROR(IF(INDEX('PEOPLE + BUDGETS'!$C$6:$C$105,MATCH($C78,'PEOPLE + BUDGETS'!$B$6:$B$105,0))="","",INDEX('PEOPLE + BUDGETS'!$C$6:$C$105,MATCH($C78,'PEOPLE + BUDGETS'!$B$6:$B$105,0))),""))))</f>
      </c>
      <c r="E78" s="79"/>
      <c r="F78" s="79"/>
      <c r="G78" s="79"/>
      <c r="H78" s="79"/>
      <c r="I78" s="86"/>
      <c r="J78" s="86"/>
      <c r="K78" s="79"/>
      <c r="L78" s="82"/>
      <c r="M78" s="79"/>
      <c r="N78" s="80"/>
      <c r="O78" s="78">
        <f>IF($B78="",0,IF(COUNTIF('CARDS + MAIL'!$B$6:$B$155,$B78)&gt;1,1,0))</f>
      </c>
      <c r="P78" s="78">
        <f>IF(OR(N($I78)&gt;0,N($J78)&gt;0),IF($H78="",1,IF(COUNTIF('MASTER BUDGET'!$D$6:$D$25,$H78)=0,1,0)),0)</f>
      </c>
      <c r="Q78" s="78">
        <f>IF($C78="",0,IF(COUNTIF('PEOPLE + BUDGETS'!$B$6:$B$105,$C78)=0,1,0))</f>
      </c>
      <c r="R78" s="75"/>
    </row>
    <row r="79" ht="17" customHeight="1" spans="1:18" x14ac:dyDescent="0.25">
      <c r="A79" s="75"/>
      <c r="B79" s="79"/>
      <c r="C79" s="79"/>
      <c r="D79" s="78">
        <f>IF($B79="","",IF($C79="",$E79,IF($C79="","",IFERROR(IF(INDEX('PEOPLE + BUDGETS'!$C$6:$C$105,MATCH($C79,'PEOPLE + BUDGETS'!$B$6:$B$105,0))="","",INDEX('PEOPLE + BUDGETS'!$C$6:$C$105,MATCH($C79,'PEOPLE + BUDGETS'!$B$6:$B$105,0))),""))))</f>
      </c>
      <c r="E79" s="79"/>
      <c r="F79" s="79"/>
      <c r="G79" s="79"/>
      <c r="H79" s="79"/>
      <c r="I79" s="86"/>
      <c r="J79" s="86"/>
      <c r="K79" s="79"/>
      <c r="L79" s="82"/>
      <c r="M79" s="79"/>
      <c r="N79" s="80"/>
      <c r="O79" s="78">
        <f>IF($B79="",0,IF(COUNTIF('CARDS + MAIL'!$B$6:$B$155,$B79)&gt;1,1,0))</f>
      </c>
      <c r="P79" s="78">
        <f>IF(OR(N($I79)&gt;0,N($J79)&gt;0),IF($H79="",1,IF(COUNTIF('MASTER BUDGET'!$D$6:$D$25,$H79)=0,1,0)),0)</f>
      </c>
      <c r="Q79" s="78">
        <f>IF($C79="",0,IF(COUNTIF('PEOPLE + BUDGETS'!$B$6:$B$105,$C79)=0,1,0))</f>
      </c>
      <c r="R79" s="75"/>
    </row>
    <row r="80" ht="17" customHeight="1" spans="1:18" x14ac:dyDescent="0.25">
      <c r="A80" s="75"/>
      <c r="B80" s="79"/>
      <c r="C80" s="79"/>
      <c r="D80" s="78">
        <f>IF($B80="","",IF($C80="",$E80,IF($C80="","",IFERROR(IF(INDEX('PEOPLE + BUDGETS'!$C$6:$C$105,MATCH($C80,'PEOPLE + BUDGETS'!$B$6:$B$105,0))="","",INDEX('PEOPLE + BUDGETS'!$C$6:$C$105,MATCH($C80,'PEOPLE + BUDGETS'!$B$6:$B$105,0))),""))))</f>
      </c>
      <c r="E80" s="79"/>
      <c r="F80" s="79"/>
      <c r="G80" s="79"/>
      <c r="H80" s="79"/>
      <c r="I80" s="86"/>
      <c r="J80" s="86"/>
      <c r="K80" s="79"/>
      <c r="L80" s="82"/>
      <c r="M80" s="79"/>
      <c r="N80" s="80"/>
      <c r="O80" s="78">
        <f>IF($B80="",0,IF(COUNTIF('CARDS + MAIL'!$B$6:$B$155,$B80)&gt;1,1,0))</f>
      </c>
      <c r="P80" s="78">
        <f>IF(OR(N($I80)&gt;0,N($J80)&gt;0),IF($H80="",1,IF(COUNTIF('MASTER BUDGET'!$D$6:$D$25,$H80)=0,1,0)),0)</f>
      </c>
      <c r="Q80" s="78">
        <f>IF($C80="",0,IF(COUNTIF('PEOPLE + BUDGETS'!$B$6:$B$105,$C80)=0,1,0))</f>
      </c>
      <c r="R80" s="75"/>
    </row>
    <row r="81" ht="17" customHeight="1" spans="1:18" x14ac:dyDescent="0.25">
      <c r="A81" s="75"/>
      <c r="B81" s="79"/>
      <c r="C81" s="79"/>
      <c r="D81" s="78">
        <f>IF($B81="","",IF($C81="",$E81,IF($C81="","",IFERROR(IF(INDEX('PEOPLE + BUDGETS'!$C$6:$C$105,MATCH($C81,'PEOPLE + BUDGETS'!$B$6:$B$105,0))="","",INDEX('PEOPLE + BUDGETS'!$C$6:$C$105,MATCH($C81,'PEOPLE + BUDGETS'!$B$6:$B$105,0))),""))))</f>
      </c>
      <c r="E81" s="79"/>
      <c r="F81" s="79"/>
      <c r="G81" s="79"/>
      <c r="H81" s="79"/>
      <c r="I81" s="86"/>
      <c r="J81" s="86"/>
      <c r="K81" s="79"/>
      <c r="L81" s="82"/>
      <c r="M81" s="79"/>
      <c r="N81" s="80"/>
      <c r="O81" s="78">
        <f>IF($B81="",0,IF(COUNTIF('CARDS + MAIL'!$B$6:$B$155,$B81)&gt;1,1,0))</f>
      </c>
      <c r="P81" s="78">
        <f>IF(OR(N($I81)&gt;0,N($J81)&gt;0),IF($H81="",1,IF(COUNTIF('MASTER BUDGET'!$D$6:$D$25,$H81)=0,1,0)),0)</f>
      </c>
      <c r="Q81" s="78">
        <f>IF($C81="",0,IF(COUNTIF('PEOPLE + BUDGETS'!$B$6:$B$105,$C81)=0,1,0))</f>
      </c>
      <c r="R81" s="75"/>
    </row>
    <row r="82" ht="17" customHeight="1" spans="1:18" x14ac:dyDescent="0.25">
      <c r="A82" s="75"/>
      <c r="B82" s="79"/>
      <c r="C82" s="79"/>
      <c r="D82" s="78">
        <f>IF($B82="","",IF($C82="",$E82,IF($C82="","",IFERROR(IF(INDEX('PEOPLE + BUDGETS'!$C$6:$C$105,MATCH($C82,'PEOPLE + BUDGETS'!$B$6:$B$105,0))="","",INDEX('PEOPLE + BUDGETS'!$C$6:$C$105,MATCH($C82,'PEOPLE + BUDGETS'!$B$6:$B$105,0))),""))))</f>
      </c>
      <c r="E82" s="79"/>
      <c r="F82" s="79"/>
      <c r="G82" s="79"/>
      <c r="H82" s="79"/>
      <c r="I82" s="86"/>
      <c r="J82" s="86"/>
      <c r="K82" s="79"/>
      <c r="L82" s="82"/>
      <c r="M82" s="79"/>
      <c r="N82" s="80"/>
      <c r="O82" s="78">
        <f>IF($B82="",0,IF(COUNTIF('CARDS + MAIL'!$B$6:$B$155,$B82)&gt;1,1,0))</f>
      </c>
      <c r="P82" s="78">
        <f>IF(OR(N($I82)&gt;0,N($J82)&gt;0),IF($H82="",1,IF(COUNTIF('MASTER BUDGET'!$D$6:$D$25,$H82)=0,1,0)),0)</f>
      </c>
      <c r="Q82" s="78">
        <f>IF($C82="",0,IF(COUNTIF('PEOPLE + BUDGETS'!$B$6:$B$105,$C82)=0,1,0))</f>
      </c>
      <c r="R82" s="75"/>
    </row>
    <row r="83" ht="17" customHeight="1" spans="1:18" x14ac:dyDescent="0.25">
      <c r="A83" s="75"/>
      <c r="B83" s="79"/>
      <c r="C83" s="79"/>
      <c r="D83" s="78">
        <f>IF($B83="","",IF($C83="",$E83,IF($C83="","",IFERROR(IF(INDEX('PEOPLE + BUDGETS'!$C$6:$C$105,MATCH($C83,'PEOPLE + BUDGETS'!$B$6:$B$105,0))="","",INDEX('PEOPLE + BUDGETS'!$C$6:$C$105,MATCH($C83,'PEOPLE + BUDGETS'!$B$6:$B$105,0))),""))))</f>
      </c>
      <c r="E83" s="79"/>
      <c r="F83" s="79"/>
      <c r="G83" s="79"/>
      <c r="H83" s="79"/>
      <c r="I83" s="86"/>
      <c r="J83" s="86"/>
      <c r="K83" s="79"/>
      <c r="L83" s="82"/>
      <c r="M83" s="79"/>
      <c r="N83" s="80"/>
      <c r="O83" s="78">
        <f>IF($B83="",0,IF(COUNTIF('CARDS + MAIL'!$B$6:$B$155,$B83)&gt;1,1,0))</f>
      </c>
      <c r="P83" s="78">
        <f>IF(OR(N($I83)&gt;0,N($J83)&gt;0),IF($H83="",1,IF(COUNTIF('MASTER BUDGET'!$D$6:$D$25,$H83)=0,1,0)),0)</f>
      </c>
      <c r="Q83" s="78">
        <f>IF($C83="",0,IF(COUNTIF('PEOPLE + BUDGETS'!$B$6:$B$105,$C83)=0,1,0))</f>
      </c>
      <c r="R83" s="75"/>
    </row>
    <row r="84" ht="17" customHeight="1" spans="1:18" x14ac:dyDescent="0.25">
      <c r="A84" s="75"/>
      <c r="B84" s="79"/>
      <c r="C84" s="79"/>
      <c r="D84" s="78">
        <f>IF($B84="","",IF($C84="",$E84,IF($C84="","",IFERROR(IF(INDEX('PEOPLE + BUDGETS'!$C$6:$C$105,MATCH($C84,'PEOPLE + BUDGETS'!$B$6:$B$105,0))="","",INDEX('PEOPLE + BUDGETS'!$C$6:$C$105,MATCH($C84,'PEOPLE + BUDGETS'!$B$6:$B$105,0))),""))))</f>
      </c>
      <c r="E84" s="79"/>
      <c r="F84" s="79"/>
      <c r="G84" s="79"/>
      <c r="H84" s="79"/>
      <c r="I84" s="86"/>
      <c r="J84" s="86"/>
      <c r="K84" s="79"/>
      <c r="L84" s="82"/>
      <c r="M84" s="79"/>
      <c r="N84" s="80"/>
      <c r="O84" s="78">
        <f>IF($B84="",0,IF(COUNTIF('CARDS + MAIL'!$B$6:$B$155,$B84)&gt;1,1,0))</f>
      </c>
      <c r="P84" s="78">
        <f>IF(OR(N($I84)&gt;0,N($J84)&gt;0),IF($H84="",1,IF(COUNTIF('MASTER BUDGET'!$D$6:$D$25,$H84)=0,1,0)),0)</f>
      </c>
      <c r="Q84" s="78">
        <f>IF($C84="",0,IF(COUNTIF('PEOPLE + BUDGETS'!$B$6:$B$105,$C84)=0,1,0))</f>
      </c>
      <c r="R84" s="75"/>
    </row>
    <row r="85" ht="17" customHeight="1" spans="1:18" x14ac:dyDescent="0.25">
      <c r="A85" s="75"/>
      <c r="B85" s="79"/>
      <c r="C85" s="79"/>
      <c r="D85" s="78">
        <f>IF($B85="","",IF($C85="",$E85,IF($C85="","",IFERROR(IF(INDEX('PEOPLE + BUDGETS'!$C$6:$C$105,MATCH($C85,'PEOPLE + BUDGETS'!$B$6:$B$105,0))="","",INDEX('PEOPLE + BUDGETS'!$C$6:$C$105,MATCH($C85,'PEOPLE + BUDGETS'!$B$6:$B$105,0))),""))))</f>
      </c>
      <c r="E85" s="79"/>
      <c r="F85" s="79"/>
      <c r="G85" s="79"/>
      <c r="H85" s="79"/>
      <c r="I85" s="86"/>
      <c r="J85" s="86"/>
      <c r="K85" s="79"/>
      <c r="L85" s="82"/>
      <c r="M85" s="79"/>
      <c r="N85" s="80"/>
      <c r="O85" s="78">
        <f>IF($B85="",0,IF(COUNTIF('CARDS + MAIL'!$B$6:$B$155,$B85)&gt;1,1,0))</f>
      </c>
      <c r="P85" s="78">
        <f>IF(OR(N($I85)&gt;0,N($J85)&gt;0),IF($H85="",1,IF(COUNTIF('MASTER BUDGET'!$D$6:$D$25,$H85)=0,1,0)),0)</f>
      </c>
      <c r="Q85" s="78">
        <f>IF($C85="",0,IF(COUNTIF('PEOPLE + BUDGETS'!$B$6:$B$105,$C85)=0,1,0))</f>
      </c>
      <c r="R85" s="75"/>
    </row>
    <row r="86" ht="17" customHeight="1" spans="1:18" x14ac:dyDescent="0.25">
      <c r="A86" s="75"/>
      <c r="B86" s="79"/>
      <c r="C86" s="79"/>
      <c r="D86" s="78">
        <f>IF($B86="","",IF($C86="",$E86,IF($C86="","",IFERROR(IF(INDEX('PEOPLE + BUDGETS'!$C$6:$C$105,MATCH($C86,'PEOPLE + BUDGETS'!$B$6:$B$105,0))="","",INDEX('PEOPLE + BUDGETS'!$C$6:$C$105,MATCH($C86,'PEOPLE + BUDGETS'!$B$6:$B$105,0))),""))))</f>
      </c>
      <c r="E86" s="79"/>
      <c r="F86" s="79"/>
      <c r="G86" s="79"/>
      <c r="H86" s="79"/>
      <c r="I86" s="86"/>
      <c r="J86" s="86"/>
      <c r="K86" s="79"/>
      <c r="L86" s="82"/>
      <c r="M86" s="79"/>
      <c r="N86" s="80"/>
      <c r="O86" s="78">
        <f>IF($B86="",0,IF(COUNTIF('CARDS + MAIL'!$B$6:$B$155,$B86)&gt;1,1,0))</f>
      </c>
      <c r="P86" s="78">
        <f>IF(OR(N($I86)&gt;0,N($J86)&gt;0),IF($H86="",1,IF(COUNTIF('MASTER BUDGET'!$D$6:$D$25,$H86)=0,1,0)),0)</f>
      </c>
      <c r="Q86" s="78">
        <f>IF($C86="",0,IF(COUNTIF('PEOPLE + BUDGETS'!$B$6:$B$105,$C86)=0,1,0))</f>
      </c>
      <c r="R86" s="75"/>
    </row>
    <row r="87" ht="17" customHeight="1" spans="1:18" x14ac:dyDescent="0.25">
      <c r="A87" s="75"/>
      <c r="B87" s="79"/>
      <c r="C87" s="79"/>
      <c r="D87" s="78">
        <f>IF($B87="","",IF($C87="",$E87,IF($C87="","",IFERROR(IF(INDEX('PEOPLE + BUDGETS'!$C$6:$C$105,MATCH($C87,'PEOPLE + BUDGETS'!$B$6:$B$105,0))="","",INDEX('PEOPLE + BUDGETS'!$C$6:$C$105,MATCH($C87,'PEOPLE + BUDGETS'!$B$6:$B$105,0))),""))))</f>
      </c>
      <c r="E87" s="79"/>
      <c r="F87" s="79"/>
      <c r="G87" s="79"/>
      <c r="H87" s="79"/>
      <c r="I87" s="86"/>
      <c r="J87" s="86"/>
      <c r="K87" s="79"/>
      <c r="L87" s="82"/>
      <c r="M87" s="79"/>
      <c r="N87" s="80"/>
      <c r="O87" s="78">
        <f>IF($B87="",0,IF(COUNTIF('CARDS + MAIL'!$B$6:$B$155,$B87)&gt;1,1,0))</f>
      </c>
      <c r="P87" s="78">
        <f>IF(OR(N($I87)&gt;0,N($J87)&gt;0),IF($H87="",1,IF(COUNTIF('MASTER BUDGET'!$D$6:$D$25,$H87)=0,1,0)),0)</f>
      </c>
      <c r="Q87" s="78">
        <f>IF($C87="",0,IF(COUNTIF('PEOPLE + BUDGETS'!$B$6:$B$105,$C87)=0,1,0))</f>
      </c>
      <c r="R87" s="75"/>
    </row>
    <row r="88" ht="17" customHeight="1" spans="1:18" x14ac:dyDescent="0.25">
      <c r="A88" s="75"/>
      <c r="B88" s="79"/>
      <c r="C88" s="79"/>
      <c r="D88" s="78">
        <f>IF($B88="","",IF($C88="",$E88,IF($C88="","",IFERROR(IF(INDEX('PEOPLE + BUDGETS'!$C$6:$C$105,MATCH($C88,'PEOPLE + BUDGETS'!$B$6:$B$105,0))="","",INDEX('PEOPLE + BUDGETS'!$C$6:$C$105,MATCH($C88,'PEOPLE + BUDGETS'!$B$6:$B$105,0))),""))))</f>
      </c>
      <c r="E88" s="79"/>
      <c r="F88" s="79"/>
      <c r="G88" s="79"/>
      <c r="H88" s="79"/>
      <c r="I88" s="86"/>
      <c r="J88" s="86"/>
      <c r="K88" s="79"/>
      <c r="L88" s="82"/>
      <c r="M88" s="79"/>
      <c r="N88" s="80"/>
      <c r="O88" s="78">
        <f>IF($B88="",0,IF(COUNTIF('CARDS + MAIL'!$B$6:$B$155,$B88)&gt;1,1,0))</f>
      </c>
      <c r="P88" s="78">
        <f>IF(OR(N($I88)&gt;0,N($J88)&gt;0),IF($H88="",1,IF(COUNTIF('MASTER BUDGET'!$D$6:$D$25,$H88)=0,1,0)),0)</f>
      </c>
      <c r="Q88" s="78">
        <f>IF($C88="",0,IF(COUNTIF('PEOPLE + BUDGETS'!$B$6:$B$105,$C88)=0,1,0))</f>
      </c>
      <c r="R88" s="75"/>
    </row>
    <row r="89" ht="17" customHeight="1" spans="1:18" x14ac:dyDescent="0.25">
      <c r="A89" s="75"/>
      <c r="B89" s="79"/>
      <c r="C89" s="79"/>
      <c r="D89" s="78">
        <f>IF($B89="","",IF($C89="",$E89,IF($C89="","",IFERROR(IF(INDEX('PEOPLE + BUDGETS'!$C$6:$C$105,MATCH($C89,'PEOPLE + BUDGETS'!$B$6:$B$105,0))="","",INDEX('PEOPLE + BUDGETS'!$C$6:$C$105,MATCH($C89,'PEOPLE + BUDGETS'!$B$6:$B$105,0))),""))))</f>
      </c>
      <c r="E89" s="79"/>
      <c r="F89" s="79"/>
      <c r="G89" s="79"/>
      <c r="H89" s="79"/>
      <c r="I89" s="86"/>
      <c r="J89" s="86"/>
      <c r="K89" s="79"/>
      <c r="L89" s="82"/>
      <c r="M89" s="79"/>
      <c r="N89" s="80"/>
      <c r="O89" s="78">
        <f>IF($B89="",0,IF(COUNTIF('CARDS + MAIL'!$B$6:$B$155,$B89)&gt;1,1,0))</f>
      </c>
      <c r="P89" s="78">
        <f>IF(OR(N($I89)&gt;0,N($J89)&gt;0),IF($H89="",1,IF(COUNTIF('MASTER BUDGET'!$D$6:$D$25,$H89)=0,1,0)),0)</f>
      </c>
      <c r="Q89" s="78">
        <f>IF($C89="",0,IF(COUNTIF('PEOPLE + BUDGETS'!$B$6:$B$105,$C89)=0,1,0))</f>
      </c>
      <c r="R89" s="75"/>
    </row>
    <row r="90" ht="17" customHeight="1" spans="1:18" x14ac:dyDescent="0.25">
      <c r="A90" s="75"/>
      <c r="B90" s="79"/>
      <c r="C90" s="79"/>
      <c r="D90" s="78">
        <f>IF($B90="","",IF($C90="",$E90,IF($C90="","",IFERROR(IF(INDEX('PEOPLE + BUDGETS'!$C$6:$C$105,MATCH($C90,'PEOPLE + BUDGETS'!$B$6:$B$105,0))="","",INDEX('PEOPLE + BUDGETS'!$C$6:$C$105,MATCH($C90,'PEOPLE + BUDGETS'!$B$6:$B$105,0))),""))))</f>
      </c>
      <c r="E90" s="79"/>
      <c r="F90" s="79"/>
      <c r="G90" s="79"/>
      <c r="H90" s="79"/>
      <c r="I90" s="86"/>
      <c r="J90" s="86"/>
      <c r="K90" s="79"/>
      <c r="L90" s="82"/>
      <c r="M90" s="79"/>
      <c r="N90" s="80"/>
      <c r="O90" s="78">
        <f>IF($B90="",0,IF(COUNTIF('CARDS + MAIL'!$B$6:$B$155,$B90)&gt;1,1,0))</f>
      </c>
      <c r="P90" s="78">
        <f>IF(OR(N($I90)&gt;0,N($J90)&gt;0),IF($H90="",1,IF(COUNTIF('MASTER BUDGET'!$D$6:$D$25,$H90)=0,1,0)),0)</f>
      </c>
      <c r="Q90" s="78">
        <f>IF($C90="",0,IF(COUNTIF('PEOPLE + BUDGETS'!$B$6:$B$105,$C90)=0,1,0))</f>
      </c>
      <c r="R90" s="75"/>
    </row>
    <row r="91" ht="17" customHeight="1" spans="1:18" x14ac:dyDescent="0.25">
      <c r="A91" s="75"/>
      <c r="B91" s="79"/>
      <c r="C91" s="79"/>
      <c r="D91" s="78">
        <f>IF($B91="","",IF($C91="",$E91,IF($C91="","",IFERROR(IF(INDEX('PEOPLE + BUDGETS'!$C$6:$C$105,MATCH($C91,'PEOPLE + BUDGETS'!$B$6:$B$105,0))="","",INDEX('PEOPLE + BUDGETS'!$C$6:$C$105,MATCH($C91,'PEOPLE + BUDGETS'!$B$6:$B$105,0))),""))))</f>
      </c>
      <c r="E91" s="79"/>
      <c r="F91" s="79"/>
      <c r="G91" s="79"/>
      <c r="H91" s="79"/>
      <c r="I91" s="86"/>
      <c r="J91" s="86"/>
      <c r="K91" s="79"/>
      <c r="L91" s="82"/>
      <c r="M91" s="79"/>
      <c r="N91" s="80"/>
      <c r="O91" s="78">
        <f>IF($B91="",0,IF(COUNTIF('CARDS + MAIL'!$B$6:$B$155,$B91)&gt;1,1,0))</f>
      </c>
      <c r="P91" s="78">
        <f>IF(OR(N($I91)&gt;0,N($J91)&gt;0),IF($H91="",1,IF(COUNTIF('MASTER BUDGET'!$D$6:$D$25,$H91)=0,1,0)),0)</f>
      </c>
      <c r="Q91" s="78">
        <f>IF($C91="",0,IF(COUNTIF('PEOPLE + BUDGETS'!$B$6:$B$105,$C91)=0,1,0))</f>
      </c>
      <c r="R91" s="75"/>
    </row>
    <row r="92" ht="17" customHeight="1" spans="1:18" x14ac:dyDescent="0.25">
      <c r="A92" s="75"/>
      <c r="B92" s="79"/>
      <c r="C92" s="79"/>
      <c r="D92" s="78">
        <f>IF($B92="","",IF($C92="",$E92,IF($C92="","",IFERROR(IF(INDEX('PEOPLE + BUDGETS'!$C$6:$C$105,MATCH($C92,'PEOPLE + BUDGETS'!$B$6:$B$105,0))="","",INDEX('PEOPLE + BUDGETS'!$C$6:$C$105,MATCH($C92,'PEOPLE + BUDGETS'!$B$6:$B$105,0))),""))))</f>
      </c>
      <c r="E92" s="79"/>
      <c r="F92" s="79"/>
      <c r="G92" s="79"/>
      <c r="H92" s="79"/>
      <c r="I92" s="86"/>
      <c r="J92" s="86"/>
      <c r="K92" s="79"/>
      <c r="L92" s="82"/>
      <c r="M92" s="79"/>
      <c r="N92" s="80"/>
      <c r="O92" s="78">
        <f>IF($B92="",0,IF(COUNTIF('CARDS + MAIL'!$B$6:$B$155,$B92)&gt;1,1,0))</f>
      </c>
      <c r="P92" s="78">
        <f>IF(OR(N($I92)&gt;0,N($J92)&gt;0),IF($H92="",1,IF(COUNTIF('MASTER BUDGET'!$D$6:$D$25,$H92)=0,1,0)),0)</f>
      </c>
      <c r="Q92" s="78">
        <f>IF($C92="",0,IF(COUNTIF('PEOPLE + BUDGETS'!$B$6:$B$105,$C92)=0,1,0))</f>
      </c>
      <c r="R92" s="75"/>
    </row>
    <row r="93" ht="17" customHeight="1" spans="1:18" x14ac:dyDescent="0.25">
      <c r="A93" s="75"/>
      <c r="B93" s="79"/>
      <c r="C93" s="79"/>
      <c r="D93" s="78">
        <f>IF($B93="","",IF($C93="",$E93,IF($C93="","",IFERROR(IF(INDEX('PEOPLE + BUDGETS'!$C$6:$C$105,MATCH($C93,'PEOPLE + BUDGETS'!$B$6:$B$105,0))="","",INDEX('PEOPLE + BUDGETS'!$C$6:$C$105,MATCH($C93,'PEOPLE + BUDGETS'!$B$6:$B$105,0))),""))))</f>
      </c>
      <c r="E93" s="79"/>
      <c r="F93" s="79"/>
      <c r="G93" s="79"/>
      <c r="H93" s="79"/>
      <c r="I93" s="86"/>
      <c r="J93" s="86"/>
      <c r="K93" s="79"/>
      <c r="L93" s="82"/>
      <c r="M93" s="79"/>
      <c r="N93" s="80"/>
      <c r="O93" s="78">
        <f>IF($B93="",0,IF(COUNTIF('CARDS + MAIL'!$B$6:$B$155,$B93)&gt;1,1,0))</f>
      </c>
      <c r="P93" s="78">
        <f>IF(OR(N($I93)&gt;0,N($J93)&gt;0),IF($H93="",1,IF(COUNTIF('MASTER BUDGET'!$D$6:$D$25,$H93)=0,1,0)),0)</f>
      </c>
      <c r="Q93" s="78">
        <f>IF($C93="",0,IF(COUNTIF('PEOPLE + BUDGETS'!$B$6:$B$105,$C93)=0,1,0))</f>
      </c>
      <c r="R93" s="75"/>
    </row>
    <row r="94" ht="17" customHeight="1" spans="1:18" x14ac:dyDescent="0.25">
      <c r="A94" s="75"/>
      <c r="B94" s="79"/>
      <c r="C94" s="79"/>
      <c r="D94" s="78">
        <f>IF($B94="","",IF($C94="",$E94,IF($C94="","",IFERROR(IF(INDEX('PEOPLE + BUDGETS'!$C$6:$C$105,MATCH($C94,'PEOPLE + BUDGETS'!$B$6:$B$105,0))="","",INDEX('PEOPLE + BUDGETS'!$C$6:$C$105,MATCH($C94,'PEOPLE + BUDGETS'!$B$6:$B$105,0))),""))))</f>
      </c>
      <c r="E94" s="79"/>
      <c r="F94" s="79"/>
      <c r="G94" s="79"/>
      <c r="H94" s="79"/>
      <c r="I94" s="86"/>
      <c r="J94" s="86"/>
      <c r="K94" s="79"/>
      <c r="L94" s="82"/>
      <c r="M94" s="79"/>
      <c r="N94" s="80"/>
      <c r="O94" s="78">
        <f>IF($B94="",0,IF(COUNTIF('CARDS + MAIL'!$B$6:$B$155,$B94)&gt;1,1,0))</f>
      </c>
      <c r="P94" s="78">
        <f>IF(OR(N($I94)&gt;0,N($J94)&gt;0),IF($H94="",1,IF(COUNTIF('MASTER BUDGET'!$D$6:$D$25,$H94)=0,1,0)),0)</f>
      </c>
      <c r="Q94" s="78">
        <f>IF($C94="",0,IF(COUNTIF('PEOPLE + BUDGETS'!$B$6:$B$105,$C94)=0,1,0))</f>
      </c>
      <c r="R94" s="75"/>
    </row>
    <row r="95" ht="17" customHeight="1" spans="1:18" x14ac:dyDescent="0.25">
      <c r="A95" s="75"/>
      <c r="B95" s="79"/>
      <c r="C95" s="79"/>
      <c r="D95" s="78">
        <f>IF($B95="","",IF($C95="",$E95,IF($C95="","",IFERROR(IF(INDEX('PEOPLE + BUDGETS'!$C$6:$C$105,MATCH($C95,'PEOPLE + BUDGETS'!$B$6:$B$105,0))="","",INDEX('PEOPLE + BUDGETS'!$C$6:$C$105,MATCH($C95,'PEOPLE + BUDGETS'!$B$6:$B$105,0))),""))))</f>
      </c>
      <c r="E95" s="79"/>
      <c r="F95" s="79"/>
      <c r="G95" s="79"/>
      <c r="H95" s="79"/>
      <c r="I95" s="86"/>
      <c r="J95" s="86"/>
      <c r="K95" s="79"/>
      <c r="L95" s="82"/>
      <c r="M95" s="79"/>
      <c r="N95" s="80"/>
      <c r="O95" s="78">
        <f>IF($B95="",0,IF(COUNTIF('CARDS + MAIL'!$B$6:$B$155,$B95)&gt;1,1,0))</f>
      </c>
      <c r="P95" s="78">
        <f>IF(OR(N($I95)&gt;0,N($J95)&gt;0),IF($H95="",1,IF(COUNTIF('MASTER BUDGET'!$D$6:$D$25,$H95)=0,1,0)),0)</f>
      </c>
      <c r="Q95" s="78">
        <f>IF($C95="",0,IF(COUNTIF('PEOPLE + BUDGETS'!$B$6:$B$105,$C95)=0,1,0))</f>
      </c>
      <c r="R95" s="75"/>
    </row>
    <row r="96" ht="17" customHeight="1" spans="1:18" x14ac:dyDescent="0.25">
      <c r="A96" s="75"/>
      <c r="B96" s="79"/>
      <c r="C96" s="79"/>
      <c r="D96" s="78">
        <f>IF($B96="","",IF($C96="",$E96,IF($C96="","",IFERROR(IF(INDEX('PEOPLE + BUDGETS'!$C$6:$C$105,MATCH($C96,'PEOPLE + BUDGETS'!$B$6:$B$105,0))="","",INDEX('PEOPLE + BUDGETS'!$C$6:$C$105,MATCH($C96,'PEOPLE + BUDGETS'!$B$6:$B$105,0))),""))))</f>
      </c>
      <c r="E96" s="79"/>
      <c r="F96" s="79"/>
      <c r="G96" s="79"/>
      <c r="H96" s="79"/>
      <c r="I96" s="86"/>
      <c r="J96" s="86"/>
      <c r="K96" s="79"/>
      <c r="L96" s="82"/>
      <c r="M96" s="79"/>
      <c r="N96" s="80"/>
      <c r="O96" s="78">
        <f>IF($B96="",0,IF(COUNTIF('CARDS + MAIL'!$B$6:$B$155,$B96)&gt;1,1,0))</f>
      </c>
      <c r="P96" s="78">
        <f>IF(OR(N($I96)&gt;0,N($J96)&gt;0),IF($H96="",1,IF(COUNTIF('MASTER BUDGET'!$D$6:$D$25,$H96)=0,1,0)),0)</f>
      </c>
      <c r="Q96" s="78">
        <f>IF($C96="",0,IF(COUNTIF('PEOPLE + BUDGETS'!$B$6:$B$105,$C96)=0,1,0))</f>
      </c>
      <c r="R96" s="75"/>
    </row>
    <row r="97" ht="17" customHeight="1" spans="1:18" x14ac:dyDescent="0.25">
      <c r="A97" s="75"/>
      <c r="B97" s="79"/>
      <c r="C97" s="79"/>
      <c r="D97" s="78">
        <f>IF($B97="","",IF($C97="",$E97,IF($C97="","",IFERROR(IF(INDEX('PEOPLE + BUDGETS'!$C$6:$C$105,MATCH($C97,'PEOPLE + BUDGETS'!$B$6:$B$105,0))="","",INDEX('PEOPLE + BUDGETS'!$C$6:$C$105,MATCH($C97,'PEOPLE + BUDGETS'!$B$6:$B$105,0))),""))))</f>
      </c>
      <c r="E97" s="79"/>
      <c r="F97" s="79"/>
      <c r="G97" s="79"/>
      <c r="H97" s="79"/>
      <c r="I97" s="86"/>
      <c r="J97" s="86"/>
      <c r="K97" s="79"/>
      <c r="L97" s="82"/>
      <c r="M97" s="79"/>
      <c r="N97" s="80"/>
      <c r="O97" s="78">
        <f>IF($B97="",0,IF(COUNTIF('CARDS + MAIL'!$B$6:$B$155,$B97)&gt;1,1,0))</f>
      </c>
      <c r="P97" s="78">
        <f>IF(OR(N($I97)&gt;0,N($J97)&gt;0),IF($H97="",1,IF(COUNTIF('MASTER BUDGET'!$D$6:$D$25,$H97)=0,1,0)),0)</f>
      </c>
      <c r="Q97" s="78">
        <f>IF($C97="",0,IF(COUNTIF('PEOPLE + BUDGETS'!$B$6:$B$105,$C97)=0,1,0))</f>
      </c>
      <c r="R97" s="75"/>
    </row>
    <row r="98" ht="17" customHeight="1" spans="1:18" x14ac:dyDescent="0.25">
      <c r="A98" s="75"/>
      <c r="B98" s="79"/>
      <c r="C98" s="79"/>
      <c r="D98" s="78">
        <f>IF($B98="","",IF($C98="",$E98,IF($C98="","",IFERROR(IF(INDEX('PEOPLE + BUDGETS'!$C$6:$C$105,MATCH($C98,'PEOPLE + BUDGETS'!$B$6:$B$105,0))="","",INDEX('PEOPLE + BUDGETS'!$C$6:$C$105,MATCH($C98,'PEOPLE + BUDGETS'!$B$6:$B$105,0))),""))))</f>
      </c>
      <c r="E98" s="79"/>
      <c r="F98" s="79"/>
      <c r="G98" s="79"/>
      <c r="H98" s="79"/>
      <c r="I98" s="86"/>
      <c r="J98" s="86"/>
      <c r="K98" s="79"/>
      <c r="L98" s="82"/>
      <c r="M98" s="79"/>
      <c r="N98" s="80"/>
      <c r="O98" s="78">
        <f>IF($B98="",0,IF(COUNTIF('CARDS + MAIL'!$B$6:$B$155,$B98)&gt;1,1,0))</f>
      </c>
      <c r="P98" s="78">
        <f>IF(OR(N($I98)&gt;0,N($J98)&gt;0),IF($H98="",1,IF(COUNTIF('MASTER BUDGET'!$D$6:$D$25,$H98)=0,1,0)),0)</f>
      </c>
      <c r="Q98" s="78">
        <f>IF($C98="",0,IF(COUNTIF('PEOPLE + BUDGETS'!$B$6:$B$105,$C98)=0,1,0))</f>
      </c>
      <c r="R98" s="75"/>
    </row>
    <row r="99" ht="17" customHeight="1" spans="1:18" x14ac:dyDescent="0.25">
      <c r="A99" s="75"/>
      <c r="B99" s="79"/>
      <c r="C99" s="79"/>
      <c r="D99" s="78">
        <f>IF($B99="","",IF($C99="",$E99,IF($C99="","",IFERROR(IF(INDEX('PEOPLE + BUDGETS'!$C$6:$C$105,MATCH($C99,'PEOPLE + BUDGETS'!$B$6:$B$105,0))="","",INDEX('PEOPLE + BUDGETS'!$C$6:$C$105,MATCH($C99,'PEOPLE + BUDGETS'!$B$6:$B$105,0))),""))))</f>
      </c>
      <c r="E99" s="79"/>
      <c r="F99" s="79"/>
      <c r="G99" s="79"/>
      <c r="H99" s="79"/>
      <c r="I99" s="86"/>
      <c r="J99" s="86"/>
      <c r="K99" s="79"/>
      <c r="L99" s="82"/>
      <c r="M99" s="79"/>
      <c r="N99" s="80"/>
      <c r="O99" s="78">
        <f>IF($B99="",0,IF(COUNTIF('CARDS + MAIL'!$B$6:$B$155,$B99)&gt;1,1,0))</f>
      </c>
      <c r="P99" s="78">
        <f>IF(OR(N($I99)&gt;0,N($J99)&gt;0),IF($H99="",1,IF(COUNTIF('MASTER BUDGET'!$D$6:$D$25,$H99)=0,1,0)),0)</f>
      </c>
      <c r="Q99" s="78">
        <f>IF($C99="",0,IF(COUNTIF('PEOPLE + BUDGETS'!$B$6:$B$105,$C99)=0,1,0))</f>
      </c>
      <c r="R99" s="75"/>
    </row>
    <row r="100" ht="17" customHeight="1" spans="1:18" x14ac:dyDescent="0.25">
      <c r="A100" s="75"/>
      <c r="B100" s="79"/>
      <c r="C100" s="79"/>
      <c r="D100" s="78">
        <f>IF($B100="","",IF($C100="",$E100,IF($C100="","",IFERROR(IF(INDEX('PEOPLE + BUDGETS'!$C$6:$C$105,MATCH($C100,'PEOPLE + BUDGETS'!$B$6:$B$105,0))="","",INDEX('PEOPLE + BUDGETS'!$C$6:$C$105,MATCH($C100,'PEOPLE + BUDGETS'!$B$6:$B$105,0))),""))))</f>
      </c>
      <c r="E100" s="79"/>
      <c r="F100" s="79"/>
      <c r="G100" s="79"/>
      <c r="H100" s="79"/>
      <c r="I100" s="86"/>
      <c r="J100" s="86"/>
      <c r="K100" s="79"/>
      <c r="L100" s="82"/>
      <c r="M100" s="79"/>
      <c r="N100" s="80"/>
      <c r="O100" s="78">
        <f>IF($B100="",0,IF(COUNTIF('CARDS + MAIL'!$B$6:$B$155,$B100)&gt;1,1,0))</f>
      </c>
      <c r="P100" s="78">
        <f>IF(OR(N($I100)&gt;0,N($J100)&gt;0),IF($H100="",1,IF(COUNTIF('MASTER BUDGET'!$D$6:$D$25,$H100)=0,1,0)),0)</f>
      </c>
      <c r="Q100" s="78">
        <f>IF($C100="",0,IF(COUNTIF('PEOPLE + BUDGETS'!$B$6:$B$105,$C100)=0,1,0))</f>
      </c>
      <c r="R100" s="75"/>
    </row>
    <row r="101" ht="17" customHeight="1" spans="1:18" x14ac:dyDescent="0.25">
      <c r="A101" s="75"/>
      <c r="B101" s="79"/>
      <c r="C101" s="79"/>
      <c r="D101" s="78">
        <f>IF($B101="","",IF($C101="",$E101,IF($C101="","",IFERROR(IF(INDEX('PEOPLE + BUDGETS'!$C$6:$C$105,MATCH($C101,'PEOPLE + BUDGETS'!$B$6:$B$105,0))="","",INDEX('PEOPLE + BUDGETS'!$C$6:$C$105,MATCH($C101,'PEOPLE + BUDGETS'!$B$6:$B$105,0))),""))))</f>
      </c>
      <c r="E101" s="79"/>
      <c r="F101" s="79"/>
      <c r="G101" s="79"/>
      <c r="H101" s="79"/>
      <c r="I101" s="86"/>
      <c r="J101" s="86"/>
      <c r="K101" s="79"/>
      <c r="L101" s="82"/>
      <c r="M101" s="79"/>
      <c r="N101" s="80"/>
      <c r="O101" s="78">
        <f>IF($B101="",0,IF(COUNTIF('CARDS + MAIL'!$B$6:$B$155,$B101)&gt;1,1,0))</f>
      </c>
      <c r="P101" s="78">
        <f>IF(OR(N($I101)&gt;0,N($J101)&gt;0),IF($H101="",1,IF(COUNTIF('MASTER BUDGET'!$D$6:$D$25,$H101)=0,1,0)),0)</f>
      </c>
      <c r="Q101" s="78">
        <f>IF($C101="",0,IF(COUNTIF('PEOPLE + BUDGETS'!$B$6:$B$105,$C101)=0,1,0))</f>
      </c>
      <c r="R101" s="75"/>
    </row>
    <row r="102" ht="17" customHeight="1" spans="1:18" x14ac:dyDescent="0.25">
      <c r="A102" s="75"/>
      <c r="B102" s="79"/>
      <c r="C102" s="79"/>
      <c r="D102" s="78">
        <f>IF($B102="","",IF($C102="",$E102,IF($C102="","",IFERROR(IF(INDEX('PEOPLE + BUDGETS'!$C$6:$C$105,MATCH($C102,'PEOPLE + BUDGETS'!$B$6:$B$105,0))="","",INDEX('PEOPLE + BUDGETS'!$C$6:$C$105,MATCH($C102,'PEOPLE + BUDGETS'!$B$6:$B$105,0))),""))))</f>
      </c>
      <c r="E102" s="79"/>
      <c r="F102" s="79"/>
      <c r="G102" s="79"/>
      <c r="H102" s="79"/>
      <c r="I102" s="86"/>
      <c r="J102" s="86"/>
      <c r="K102" s="79"/>
      <c r="L102" s="82"/>
      <c r="M102" s="79"/>
      <c r="N102" s="80"/>
      <c r="O102" s="78">
        <f>IF($B102="",0,IF(COUNTIF('CARDS + MAIL'!$B$6:$B$155,$B102)&gt;1,1,0))</f>
      </c>
      <c r="P102" s="78">
        <f>IF(OR(N($I102)&gt;0,N($J102)&gt;0),IF($H102="",1,IF(COUNTIF('MASTER BUDGET'!$D$6:$D$25,$H102)=0,1,0)),0)</f>
      </c>
      <c r="Q102" s="78">
        <f>IF($C102="",0,IF(COUNTIF('PEOPLE + BUDGETS'!$B$6:$B$105,$C102)=0,1,0))</f>
      </c>
      <c r="R102" s="75"/>
    </row>
    <row r="103" ht="17" customHeight="1" spans="1:18" x14ac:dyDescent="0.25">
      <c r="A103" s="75"/>
      <c r="B103" s="79"/>
      <c r="C103" s="79"/>
      <c r="D103" s="78">
        <f>IF($B103="","",IF($C103="",$E103,IF($C103="","",IFERROR(IF(INDEX('PEOPLE + BUDGETS'!$C$6:$C$105,MATCH($C103,'PEOPLE + BUDGETS'!$B$6:$B$105,0))="","",INDEX('PEOPLE + BUDGETS'!$C$6:$C$105,MATCH($C103,'PEOPLE + BUDGETS'!$B$6:$B$105,0))),""))))</f>
      </c>
      <c r="E103" s="79"/>
      <c r="F103" s="79"/>
      <c r="G103" s="79"/>
      <c r="H103" s="79"/>
      <c r="I103" s="86"/>
      <c r="J103" s="86"/>
      <c r="K103" s="79"/>
      <c r="L103" s="82"/>
      <c r="M103" s="79"/>
      <c r="N103" s="80"/>
      <c r="O103" s="78">
        <f>IF($B103="",0,IF(COUNTIF('CARDS + MAIL'!$B$6:$B$155,$B103)&gt;1,1,0))</f>
      </c>
      <c r="P103" s="78">
        <f>IF(OR(N($I103)&gt;0,N($J103)&gt;0),IF($H103="",1,IF(COUNTIF('MASTER BUDGET'!$D$6:$D$25,$H103)=0,1,0)),0)</f>
      </c>
      <c r="Q103" s="78">
        <f>IF($C103="",0,IF(COUNTIF('PEOPLE + BUDGETS'!$B$6:$B$105,$C103)=0,1,0))</f>
      </c>
      <c r="R103" s="75"/>
    </row>
    <row r="104" ht="17" customHeight="1" spans="1:18" x14ac:dyDescent="0.25">
      <c r="A104" s="75"/>
      <c r="B104" s="79"/>
      <c r="C104" s="79"/>
      <c r="D104" s="78">
        <f>IF($B104="","",IF($C104="",$E104,IF($C104="","",IFERROR(IF(INDEX('PEOPLE + BUDGETS'!$C$6:$C$105,MATCH($C104,'PEOPLE + BUDGETS'!$B$6:$B$105,0))="","",INDEX('PEOPLE + BUDGETS'!$C$6:$C$105,MATCH($C104,'PEOPLE + BUDGETS'!$B$6:$B$105,0))),""))))</f>
      </c>
      <c r="E104" s="79"/>
      <c r="F104" s="79"/>
      <c r="G104" s="79"/>
      <c r="H104" s="79"/>
      <c r="I104" s="86"/>
      <c r="J104" s="86"/>
      <c r="K104" s="79"/>
      <c r="L104" s="82"/>
      <c r="M104" s="79"/>
      <c r="N104" s="80"/>
      <c r="O104" s="78">
        <f>IF($B104="",0,IF(COUNTIF('CARDS + MAIL'!$B$6:$B$155,$B104)&gt;1,1,0))</f>
      </c>
      <c r="P104" s="78">
        <f>IF(OR(N($I104)&gt;0,N($J104)&gt;0),IF($H104="",1,IF(COUNTIF('MASTER BUDGET'!$D$6:$D$25,$H104)=0,1,0)),0)</f>
      </c>
      <c r="Q104" s="78">
        <f>IF($C104="",0,IF(COUNTIF('PEOPLE + BUDGETS'!$B$6:$B$105,$C104)=0,1,0))</f>
      </c>
      <c r="R104" s="75"/>
    </row>
    <row r="105" ht="17" customHeight="1" spans="1:18" x14ac:dyDescent="0.25">
      <c r="A105" s="75"/>
      <c r="B105" s="79"/>
      <c r="C105" s="79"/>
      <c r="D105" s="78">
        <f>IF($B105="","",IF($C105="",$E105,IF($C105="","",IFERROR(IF(INDEX('PEOPLE + BUDGETS'!$C$6:$C$105,MATCH($C105,'PEOPLE + BUDGETS'!$B$6:$B$105,0))="","",INDEX('PEOPLE + BUDGETS'!$C$6:$C$105,MATCH($C105,'PEOPLE + BUDGETS'!$B$6:$B$105,0))),""))))</f>
      </c>
      <c r="E105" s="79"/>
      <c r="F105" s="79"/>
      <c r="G105" s="79"/>
      <c r="H105" s="79"/>
      <c r="I105" s="86"/>
      <c r="J105" s="86"/>
      <c r="K105" s="79"/>
      <c r="L105" s="82"/>
      <c r="M105" s="79"/>
      <c r="N105" s="80"/>
      <c r="O105" s="78">
        <f>IF($B105="",0,IF(COUNTIF('CARDS + MAIL'!$B$6:$B$155,$B105)&gt;1,1,0))</f>
      </c>
      <c r="P105" s="78">
        <f>IF(OR(N($I105)&gt;0,N($J105)&gt;0),IF($H105="",1,IF(COUNTIF('MASTER BUDGET'!$D$6:$D$25,$H105)=0,1,0)),0)</f>
      </c>
      <c r="Q105" s="78">
        <f>IF($C105="",0,IF(COUNTIF('PEOPLE + BUDGETS'!$B$6:$B$105,$C105)=0,1,0))</f>
      </c>
      <c r="R105" s="75"/>
    </row>
    <row r="106" ht="17" customHeight="1" spans="1:18" x14ac:dyDescent="0.25">
      <c r="A106" s="75"/>
      <c r="B106" s="79"/>
      <c r="C106" s="79"/>
      <c r="D106" s="78">
        <f>IF($B106="","",IF($C106="",$E106,IF($C106="","",IFERROR(IF(INDEX('PEOPLE + BUDGETS'!$C$6:$C$105,MATCH($C106,'PEOPLE + BUDGETS'!$B$6:$B$105,0))="","",INDEX('PEOPLE + BUDGETS'!$C$6:$C$105,MATCH($C106,'PEOPLE + BUDGETS'!$B$6:$B$105,0))),""))))</f>
      </c>
      <c r="E106" s="79"/>
      <c r="F106" s="79"/>
      <c r="G106" s="79"/>
      <c r="H106" s="79"/>
      <c r="I106" s="86"/>
      <c r="J106" s="86"/>
      <c r="K106" s="79"/>
      <c r="L106" s="82"/>
      <c r="M106" s="79"/>
      <c r="N106" s="80"/>
      <c r="O106" s="78">
        <f>IF($B106="",0,IF(COUNTIF('CARDS + MAIL'!$B$6:$B$155,$B106)&gt;1,1,0))</f>
      </c>
      <c r="P106" s="78">
        <f>IF(OR(N($I106)&gt;0,N($J106)&gt;0),IF($H106="",1,IF(COUNTIF('MASTER BUDGET'!$D$6:$D$25,$H106)=0,1,0)),0)</f>
      </c>
      <c r="Q106" s="78">
        <f>IF($C106="",0,IF(COUNTIF('PEOPLE + BUDGETS'!$B$6:$B$105,$C106)=0,1,0))</f>
      </c>
      <c r="R106" s="75"/>
    </row>
    <row r="107" ht="17" customHeight="1" spans="1:18" x14ac:dyDescent="0.25">
      <c r="A107" s="75"/>
      <c r="B107" s="79"/>
      <c r="C107" s="79"/>
      <c r="D107" s="78">
        <f>IF($B107="","",IF($C107="",$E107,IF($C107="","",IFERROR(IF(INDEX('PEOPLE + BUDGETS'!$C$6:$C$105,MATCH($C107,'PEOPLE + BUDGETS'!$B$6:$B$105,0))="","",INDEX('PEOPLE + BUDGETS'!$C$6:$C$105,MATCH($C107,'PEOPLE + BUDGETS'!$B$6:$B$105,0))),""))))</f>
      </c>
      <c r="E107" s="79"/>
      <c r="F107" s="79"/>
      <c r="G107" s="79"/>
      <c r="H107" s="79"/>
      <c r="I107" s="86"/>
      <c r="J107" s="86"/>
      <c r="K107" s="79"/>
      <c r="L107" s="82"/>
      <c r="M107" s="79"/>
      <c r="N107" s="80"/>
      <c r="O107" s="78">
        <f>IF($B107="",0,IF(COUNTIF('CARDS + MAIL'!$B$6:$B$155,$B107)&gt;1,1,0))</f>
      </c>
      <c r="P107" s="78">
        <f>IF(OR(N($I107)&gt;0,N($J107)&gt;0),IF($H107="",1,IF(COUNTIF('MASTER BUDGET'!$D$6:$D$25,$H107)=0,1,0)),0)</f>
      </c>
      <c r="Q107" s="78">
        <f>IF($C107="",0,IF(COUNTIF('PEOPLE + BUDGETS'!$B$6:$B$105,$C107)=0,1,0))</f>
      </c>
      <c r="R107" s="75"/>
    </row>
    <row r="108" ht="17" customHeight="1" spans="1:18" x14ac:dyDescent="0.25">
      <c r="A108" s="75"/>
      <c r="B108" s="79"/>
      <c r="C108" s="79"/>
      <c r="D108" s="78">
        <f>IF($B108="","",IF($C108="",$E108,IF($C108="","",IFERROR(IF(INDEX('PEOPLE + BUDGETS'!$C$6:$C$105,MATCH($C108,'PEOPLE + BUDGETS'!$B$6:$B$105,0))="","",INDEX('PEOPLE + BUDGETS'!$C$6:$C$105,MATCH($C108,'PEOPLE + BUDGETS'!$B$6:$B$105,0))),""))))</f>
      </c>
      <c r="E108" s="79"/>
      <c r="F108" s="79"/>
      <c r="G108" s="79"/>
      <c r="H108" s="79"/>
      <c r="I108" s="86"/>
      <c r="J108" s="86"/>
      <c r="K108" s="79"/>
      <c r="L108" s="82"/>
      <c r="M108" s="79"/>
      <c r="N108" s="80"/>
      <c r="O108" s="78">
        <f>IF($B108="",0,IF(COUNTIF('CARDS + MAIL'!$B$6:$B$155,$B108)&gt;1,1,0))</f>
      </c>
      <c r="P108" s="78">
        <f>IF(OR(N($I108)&gt;0,N($J108)&gt;0),IF($H108="",1,IF(COUNTIF('MASTER BUDGET'!$D$6:$D$25,$H108)=0,1,0)),0)</f>
      </c>
      <c r="Q108" s="78">
        <f>IF($C108="",0,IF(COUNTIF('PEOPLE + BUDGETS'!$B$6:$B$105,$C108)=0,1,0))</f>
      </c>
      <c r="R108" s="75"/>
    </row>
    <row r="109" ht="17" customHeight="1" spans="1:18" x14ac:dyDescent="0.25">
      <c r="A109" s="75"/>
      <c r="B109" s="79"/>
      <c r="C109" s="79"/>
      <c r="D109" s="78">
        <f>IF($B109="","",IF($C109="",$E109,IF($C109="","",IFERROR(IF(INDEX('PEOPLE + BUDGETS'!$C$6:$C$105,MATCH($C109,'PEOPLE + BUDGETS'!$B$6:$B$105,0))="","",INDEX('PEOPLE + BUDGETS'!$C$6:$C$105,MATCH($C109,'PEOPLE + BUDGETS'!$B$6:$B$105,0))),""))))</f>
      </c>
      <c r="E109" s="79"/>
      <c r="F109" s="79"/>
      <c r="G109" s="79"/>
      <c r="H109" s="79"/>
      <c r="I109" s="86"/>
      <c r="J109" s="86"/>
      <c r="K109" s="79"/>
      <c r="L109" s="82"/>
      <c r="M109" s="79"/>
      <c r="N109" s="80"/>
      <c r="O109" s="78">
        <f>IF($B109="",0,IF(COUNTIF('CARDS + MAIL'!$B$6:$B$155,$B109)&gt;1,1,0))</f>
      </c>
      <c r="P109" s="78">
        <f>IF(OR(N($I109)&gt;0,N($J109)&gt;0),IF($H109="",1,IF(COUNTIF('MASTER BUDGET'!$D$6:$D$25,$H109)=0,1,0)),0)</f>
      </c>
      <c r="Q109" s="78">
        <f>IF($C109="",0,IF(COUNTIF('PEOPLE + BUDGETS'!$B$6:$B$105,$C109)=0,1,0))</f>
      </c>
      <c r="R109" s="75"/>
    </row>
    <row r="110" ht="17" customHeight="1" spans="1:18" x14ac:dyDescent="0.25">
      <c r="A110" s="75"/>
      <c r="B110" s="79"/>
      <c r="C110" s="79"/>
      <c r="D110" s="78">
        <f>IF($B110="","",IF($C110="",$E110,IF($C110="","",IFERROR(IF(INDEX('PEOPLE + BUDGETS'!$C$6:$C$105,MATCH($C110,'PEOPLE + BUDGETS'!$B$6:$B$105,0))="","",INDEX('PEOPLE + BUDGETS'!$C$6:$C$105,MATCH($C110,'PEOPLE + BUDGETS'!$B$6:$B$105,0))),""))))</f>
      </c>
      <c r="E110" s="79"/>
      <c r="F110" s="79"/>
      <c r="G110" s="79"/>
      <c r="H110" s="79"/>
      <c r="I110" s="86"/>
      <c r="J110" s="86"/>
      <c r="K110" s="79"/>
      <c r="L110" s="82"/>
      <c r="M110" s="79"/>
      <c r="N110" s="80"/>
      <c r="O110" s="78">
        <f>IF($B110="",0,IF(COUNTIF('CARDS + MAIL'!$B$6:$B$155,$B110)&gt;1,1,0))</f>
      </c>
      <c r="P110" s="78">
        <f>IF(OR(N($I110)&gt;0,N($J110)&gt;0),IF($H110="",1,IF(COUNTIF('MASTER BUDGET'!$D$6:$D$25,$H110)=0,1,0)),0)</f>
      </c>
      <c r="Q110" s="78">
        <f>IF($C110="",0,IF(COUNTIF('PEOPLE + BUDGETS'!$B$6:$B$105,$C110)=0,1,0))</f>
      </c>
      <c r="R110" s="75"/>
    </row>
    <row r="111" ht="17" customHeight="1" spans="1:18" x14ac:dyDescent="0.25">
      <c r="A111" s="75"/>
      <c r="B111" s="79"/>
      <c r="C111" s="79"/>
      <c r="D111" s="78">
        <f>IF($B111="","",IF($C111="",$E111,IF($C111="","",IFERROR(IF(INDEX('PEOPLE + BUDGETS'!$C$6:$C$105,MATCH($C111,'PEOPLE + BUDGETS'!$B$6:$B$105,0))="","",INDEX('PEOPLE + BUDGETS'!$C$6:$C$105,MATCH($C111,'PEOPLE + BUDGETS'!$B$6:$B$105,0))),""))))</f>
      </c>
      <c r="E111" s="79"/>
      <c r="F111" s="79"/>
      <c r="G111" s="79"/>
      <c r="H111" s="79"/>
      <c r="I111" s="86"/>
      <c r="J111" s="86"/>
      <c r="K111" s="79"/>
      <c r="L111" s="82"/>
      <c r="M111" s="79"/>
      <c r="N111" s="80"/>
      <c r="O111" s="78">
        <f>IF($B111="",0,IF(COUNTIF('CARDS + MAIL'!$B$6:$B$155,$B111)&gt;1,1,0))</f>
      </c>
      <c r="P111" s="78">
        <f>IF(OR(N($I111)&gt;0,N($J111)&gt;0),IF($H111="",1,IF(COUNTIF('MASTER BUDGET'!$D$6:$D$25,$H111)=0,1,0)),0)</f>
      </c>
      <c r="Q111" s="78">
        <f>IF($C111="",0,IF(COUNTIF('PEOPLE + BUDGETS'!$B$6:$B$105,$C111)=0,1,0))</f>
      </c>
      <c r="R111" s="75"/>
    </row>
    <row r="112" ht="17" customHeight="1" spans="1:18" x14ac:dyDescent="0.25">
      <c r="A112" s="75"/>
      <c r="B112" s="79"/>
      <c r="C112" s="79"/>
      <c r="D112" s="78">
        <f>IF($B112="","",IF($C112="",$E112,IF($C112="","",IFERROR(IF(INDEX('PEOPLE + BUDGETS'!$C$6:$C$105,MATCH($C112,'PEOPLE + BUDGETS'!$B$6:$B$105,0))="","",INDEX('PEOPLE + BUDGETS'!$C$6:$C$105,MATCH($C112,'PEOPLE + BUDGETS'!$B$6:$B$105,0))),""))))</f>
      </c>
      <c r="E112" s="79"/>
      <c r="F112" s="79"/>
      <c r="G112" s="79"/>
      <c r="H112" s="79"/>
      <c r="I112" s="86"/>
      <c r="J112" s="86"/>
      <c r="K112" s="79"/>
      <c r="L112" s="82"/>
      <c r="M112" s="79"/>
      <c r="N112" s="80"/>
      <c r="O112" s="78">
        <f>IF($B112="",0,IF(COUNTIF('CARDS + MAIL'!$B$6:$B$155,$B112)&gt;1,1,0))</f>
      </c>
      <c r="P112" s="78">
        <f>IF(OR(N($I112)&gt;0,N($J112)&gt;0),IF($H112="",1,IF(COUNTIF('MASTER BUDGET'!$D$6:$D$25,$H112)=0,1,0)),0)</f>
      </c>
      <c r="Q112" s="78">
        <f>IF($C112="",0,IF(COUNTIF('PEOPLE + BUDGETS'!$B$6:$B$105,$C112)=0,1,0))</f>
      </c>
      <c r="R112" s="75"/>
    </row>
    <row r="113" ht="17" customHeight="1" spans="1:18" x14ac:dyDescent="0.25">
      <c r="A113" s="75"/>
      <c r="B113" s="79"/>
      <c r="C113" s="79"/>
      <c r="D113" s="78">
        <f>IF($B113="","",IF($C113="",$E113,IF($C113="","",IFERROR(IF(INDEX('PEOPLE + BUDGETS'!$C$6:$C$105,MATCH($C113,'PEOPLE + BUDGETS'!$B$6:$B$105,0))="","",INDEX('PEOPLE + BUDGETS'!$C$6:$C$105,MATCH($C113,'PEOPLE + BUDGETS'!$B$6:$B$105,0))),""))))</f>
      </c>
      <c r="E113" s="79"/>
      <c r="F113" s="79"/>
      <c r="G113" s="79"/>
      <c r="H113" s="79"/>
      <c r="I113" s="86"/>
      <c r="J113" s="86"/>
      <c r="K113" s="79"/>
      <c r="L113" s="82"/>
      <c r="M113" s="79"/>
      <c r="N113" s="80"/>
      <c r="O113" s="78">
        <f>IF($B113="",0,IF(COUNTIF('CARDS + MAIL'!$B$6:$B$155,$B113)&gt;1,1,0))</f>
      </c>
      <c r="P113" s="78">
        <f>IF(OR(N($I113)&gt;0,N($J113)&gt;0),IF($H113="",1,IF(COUNTIF('MASTER BUDGET'!$D$6:$D$25,$H113)=0,1,0)),0)</f>
      </c>
      <c r="Q113" s="78">
        <f>IF($C113="",0,IF(COUNTIF('PEOPLE + BUDGETS'!$B$6:$B$105,$C113)=0,1,0))</f>
      </c>
      <c r="R113" s="75"/>
    </row>
    <row r="114" ht="17" customHeight="1" spans="1:18" x14ac:dyDescent="0.25">
      <c r="A114" s="75"/>
      <c r="B114" s="79"/>
      <c r="C114" s="79"/>
      <c r="D114" s="78">
        <f>IF($B114="","",IF($C114="",$E114,IF($C114="","",IFERROR(IF(INDEX('PEOPLE + BUDGETS'!$C$6:$C$105,MATCH($C114,'PEOPLE + BUDGETS'!$B$6:$B$105,0))="","",INDEX('PEOPLE + BUDGETS'!$C$6:$C$105,MATCH($C114,'PEOPLE + BUDGETS'!$B$6:$B$105,0))),""))))</f>
      </c>
      <c r="E114" s="79"/>
      <c r="F114" s="79"/>
      <c r="G114" s="79"/>
      <c r="H114" s="79"/>
      <c r="I114" s="86"/>
      <c r="J114" s="86"/>
      <c r="K114" s="79"/>
      <c r="L114" s="82"/>
      <c r="M114" s="79"/>
      <c r="N114" s="80"/>
      <c r="O114" s="78">
        <f>IF($B114="",0,IF(COUNTIF('CARDS + MAIL'!$B$6:$B$155,$B114)&gt;1,1,0))</f>
      </c>
      <c r="P114" s="78">
        <f>IF(OR(N($I114)&gt;0,N($J114)&gt;0),IF($H114="",1,IF(COUNTIF('MASTER BUDGET'!$D$6:$D$25,$H114)=0,1,0)),0)</f>
      </c>
      <c r="Q114" s="78">
        <f>IF($C114="",0,IF(COUNTIF('PEOPLE + BUDGETS'!$B$6:$B$105,$C114)=0,1,0))</f>
      </c>
      <c r="R114" s="75"/>
    </row>
    <row r="115" ht="17" customHeight="1" spans="1:18" x14ac:dyDescent="0.25">
      <c r="A115" s="75"/>
      <c r="B115" s="79"/>
      <c r="C115" s="79"/>
      <c r="D115" s="78">
        <f>IF($B115="","",IF($C115="",$E115,IF($C115="","",IFERROR(IF(INDEX('PEOPLE + BUDGETS'!$C$6:$C$105,MATCH($C115,'PEOPLE + BUDGETS'!$B$6:$B$105,0))="","",INDEX('PEOPLE + BUDGETS'!$C$6:$C$105,MATCH($C115,'PEOPLE + BUDGETS'!$B$6:$B$105,0))),""))))</f>
      </c>
      <c r="E115" s="79"/>
      <c r="F115" s="79"/>
      <c r="G115" s="79"/>
      <c r="H115" s="79"/>
      <c r="I115" s="86"/>
      <c r="J115" s="86"/>
      <c r="K115" s="79"/>
      <c r="L115" s="82"/>
      <c r="M115" s="79"/>
      <c r="N115" s="80"/>
      <c r="O115" s="78">
        <f>IF($B115="",0,IF(COUNTIF('CARDS + MAIL'!$B$6:$B$155,$B115)&gt;1,1,0))</f>
      </c>
      <c r="P115" s="78">
        <f>IF(OR(N($I115)&gt;0,N($J115)&gt;0),IF($H115="",1,IF(COUNTIF('MASTER BUDGET'!$D$6:$D$25,$H115)=0,1,0)),0)</f>
      </c>
      <c r="Q115" s="78">
        <f>IF($C115="",0,IF(COUNTIF('PEOPLE + BUDGETS'!$B$6:$B$105,$C115)=0,1,0))</f>
      </c>
      <c r="R115" s="75"/>
    </row>
    <row r="116" ht="17" customHeight="1" spans="1:18" x14ac:dyDescent="0.25">
      <c r="A116" s="75"/>
      <c r="B116" s="79"/>
      <c r="C116" s="79"/>
      <c r="D116" s="78">
        <f>IF($B116="","",IF($C116="",$E116,IF($C116="","",IFERROR(IF(INDEX('PEOPLE + BUDGETS'!$C$6:$C$105,MATCH($C116,'PEOPLE + BUDGETS'!$B$6:$B$105,0))="","",INDEX('PEOPLE + BUDGETS'!$C$6:$C$105,MATCH($C116,'PEOPLE + BUDGETS'!$B$6:$B$105,0))),""))))</f>
      </c>
      <c r="E116" s="79"/>
      <c r="F116" s="79"/>
      <c r="G116" s="79"/>
      <c r="H116" s="79"/>
      <c r="I116" s="86"/>
      <c r="J116" s="86"/>
      <c r="K116" s="79"/>
      <c r="L116" s="82"/>
      <c r="M116" s="79"/>
      <c r="N116" s="80"/>
      <c r="O116" s="78">
        <f>IF($B116="",0,IF(COUNTIF('CARDS + MAIL'!$B$6:$B$155,$B116)&gt;1,1,0))</f>
      </c>
      <c r="P116" s="78">
        <f>IF(OR(N($I116)&gt;0,N($J116)&gt;0),IF($H116="",1,IF(COUNTIF('MASTER BUDGET'!$D$6:$D$25,$H116)=0,1,0)),0)</f>
      </c>
      <c r="Q116" s="78">
        <f>IF($C116="",0,IF(COUNTIF('PEOPLE + BUDGETS'!$B$6:$B$105,$C116)=0,1,0))</f>
      </c>
      <c r="R116" s="75"/>
    </row>
    <row r="117" ht="17" customHeight="1" spans="1:18" x14ac:dyDescent="0.25">
      <c r="A117" s="75"/>
      <c r="B117" s="79"/>
      <c r="C117" s="79"/>
      <c r="D117" s="78">
        <f>IF($B117="","",IF($C117="",$E117,IF($C117="","",IFERROR(IF(INDEX('PEOPLE + BUDGETS'!$C$6:$C$105,MATCH($C117,'PEOPLE + BUDGETS'!$B$6:$B$105,0))="","",INDEX('PEOPLE + BUDGETS'!$C$6:$C$105,MATCH($C117,'PEOPLE + BUDGETS'!$B$6:$B$105,0))),""))))</f>
      </c>
      <c r="E117" s="79"/>
      <c r="F117" s="79"/>
      <c r="G117" s="79"/>
      <c r="H117" s="79"/>
      <c r="I117" s="86"/>
      <c r="J117" s="86"/>
      <c r="K117" s="79"/>
      <c r="L117" s="82"/>
      <c r="M117" s="79"/>
      <c r="N117" s="80"/>
      <c r="O117" s="78">
        <f>IF($B117="",0,IF(COUNTIF('CARDS + MAIL'!$B$6:$B$155,$B117)&gt;1,1,0))</f>
      </c>
      <c r="P117" s="78">
        <f>IF(OR(N($I117)&gt;0,N($J117)&gt;0),IF($H117="",1,IF(COUNTIF('MASTER BUDGET'!$D$6:$D$25,$H117)=0,1,0)),0)</f>
      </c>
      <c r="Q117" s="78">
        <f>IF($C117="",0,IF(COUNTIF('PEOPLE + BUDGETS'!$B$6:$B$105,$C117)=0,1,0))</f>
      </c>
      <c r="R117" s="75"/>
    </row>
    <row r="118" ht="17" customHeight="1" spans="1:18" x14ac:dyDescent="0.25">
      <c r="A118" s="75"/>
      <c r="B118" s="79"/>
      <c r="C118" s="79"/>
      <c r="D118" s="78">
        <f>IF($B118="","",IF($C118="",$E118,IF($C118="","",IFERROR(IF(INDEX('PEOPLE + BUDGETS'!$C$6:$C$105,MATCH($C118,'PEOPLE + BUDGETS'!$B$6:$B$105,0))="","",INDEX('PEOPLE + BUDGETS'!$C$6:$C$105,MATCH($C118,'PEOPLE + BUDGETS'!$B$6:$B$105,0))),""))))</f>
      </c>
      <c r="E118" s="79"/>
      <c r="F118" s="79"/>
      <c r="G118" s="79"/>
      <c r="H118" s="79"/>
      <c r="I118" s="86"/>
      <c r="J118" s="86"/>
      <c r="K118" s="79"/>
      <c r="L118" s="82"/>
      <c r="M118" s="79"/>
      <c r="N118" s="80"/>
      <c r="O118" s="78">
        <f>IF($B118="",0,IF(COUNTIF('CARDS + MAIL'!$B$6:$B$155,$B118)&gt;1,1,0))</f>
      </c>
      <c r="P118" s="78">
        <f>IF(OR(N($I118)&gt;0,N($J118)&gt;0),IF($H118="",1,IF(COUNTIF('MASTER BUDGET'!$D$6:$D$25,$H118)=0,1,0)),0)</f>
      </c>
      <c r="Q118" s="78">
        <f>IF($C118="",0,IF(COUNTIF('PEOPLE + BUDGETS'!$B$6:$B$105,$C118)=0,1,0))</f>
      </c>
      <c r="R118" s="75"/>
    </row>
    <row r="119" ht="17" customHeight="1" spans="1:18" x14ac:dyDescent="0.25">
      <c r="A119" s="75"/>
      <c r="B119" s="79"/>
      <c r="C119" s="79"/>
      <c r="D119" s="78">
        <f>IF($B119="","",IF($C119="",$E119,IF($C119="","",IFERROR(IF(INDEX('PEOPLE + BUDGETS'!$C$6:$C$105,MATCH($C119,'PEOPLE + BUDGETS'!$B$6:$B$105,0))="","",INDEX('PEOPLE + BUDGETS'!$C$6:$C$105,MATCH($C119,'PEOPLE + BUDGETS'!$B$6:$B$105,0))),""))))</f>
      </c>
      <c r="E119" s="79"/>
      <c r="F119" s="79"/>
      <c r="G119" s="79"/>
      <c r="H119" s="79"/>
      <c r="I119" s="86"/>
      <c r="J119" s="86"/>
      <c r="K119" s="79"/>
      <c r="L119" s="82"/>
      <c r="M119" s="79"/>
      <c r="N119" s="80"/>
      <c r="O119" s="78">
        <f>IF($B119="",0,IF(COUNTIF('CARDS + MAIL'!$B$6:$B$155,$B119)&gt;1,1,0))</f>
      </c>
      <c r="P119" s="78">
        <f>IF(OR(N($I119)&gt;0,N($J119)&gt;0),IF($H119="",1,IF(COUNTIF('MASTER BUDGET'!$D$6:$D$25,$H119)=0,1,0)),0)</f>
      </c>
      <c r="Q119" s="78">
        <f>IF($C119="",0,IF(COUNTIF('PEOPLE + BUDGETS'!$B$6:$B$105,$C119)=0,1,0))</f>
      </c>
      <c r="R119" s="75"/>
    </row>
    <row r="120" ht="17" customHeight="1" spans="1:18" x14ac:dyDescent="0.25">
      <c r="A120" s="75"/>
      <c r="B120" s="79"/>
      <c r="C120" s="79"/>
      <c r="D120" s="78">
        <f>IF($B120="","",IF($C120="",$E120,IF($C120="","",IFERROR(IF(INDEX('PEOPLE + BUDGETS'!$C$6:$C$105,MATCH($C120,'PEOPLE + BUDGETS'!$B$6:$B$105,0))="","",INDEX('PEOPLE + BUDGETS'!$C$6:$C$105,MATCH($C120,'PEOPLE + BUDGETS'!$B$6:$B$105,0))),""))))</f>
      </c>
      <c r="E120" s="79"/>
      <c r="F120" s="79"/>
      <c r="G120" s="79"/>
      <c r="H120" s="79"/>
      <c r="I120" s="86"/>
      <c r="J120" s="86"/>
      <c r="K120" s="79"/>
      <c r="L120" s="82"/>
      <c r="M120" s="79"/>
      <c r="N120" s="80"/>
      <c r="O120" s="78">
        <f>IF($B120="",0,IF(COUNTIF('CARDS + MAIL'!$B$6:$B$155,$B120)&gt;1,1,0))</f>
      </c>
      <c r="P120" s="78">
        <f>IF(OR(N($I120)&gt;0,N($J120)&gt;0),IF($H120="",1,IF(COUNTIF('MASTER BUDGET'!$D$6:$D$25,$H120)=0,1,0)),0)</f>
      </c>
      <c r="Q120" s="78">
        <f>IF($C120="",0,IF(COUNTIF('PEOPLE + BUDGETS'!$B$6:$B$105,$C120)=0,1,0))</f>
      </c>
      <c r="R120" s="75"/>
    </row>
    <row r="121" ht="17" customHeight="1" spans="1:18" x14ac:dyDescent="0.25">
      <c r="A121" s="75"/>
      <c r="B121" s="79"/>
      <c r="C121" s="79"/>
      <c r="D121" s="78">
        <f>IF($B121="","",IF($C121="",$E121,IF($C121="","",IFERROR(IF(INDEX('PEOPLE + BUDGETS'!$C$6:$C$105,MATCH($C121,'PEOPLE + BUDGETS'!$B$6:$B$105,0))="","",INDEX('PEOPLE + BUDGETS'!$C$6:$C$105,MATCH($C121,'PEOPLE + BUDGETS'!$B$6:$B$105,0))),""))))</f>
      </c>
      <c r="E121" s="79"/>
      <c r="F121" s="79"/>
      <c r="G121" s="79"/>
      <c r="H121" s="79"/>
      <c r="I121" s="86"/>
      <c r="J121" s="86"/>
      <c r="K121" s="79"/>
      <c r="L121" s="82"/>
      <c r="M121" s="79"/>
      <c r="N121" s="80"/>
      <c r="O121" s="78">
        <f>IF($B121="",0,IF(COUNTIF('CARDS + MAIL'!$B$6:$B$155,$B121)&gt;1,1,0))</f>
      </c>
      <c r="P121" s="78">
        <f>IF(OR(N($I121)&gt;0,N($J121)&gt;0),IF($H121="",1,IF(COUNTIF('MASTER BUDGET'!$D$6:$D$25,$H121)=0,1,0)),0)</f>
      </c>
      <c r="Q121" s="78">
        <f>IF($C121="",0,IF(COUNTIF('PEOPLE + BUDGETS'!$B$6:$B$105,$C121)=0,1,0))</f>
      </c>
      <c r="R121" s="75"/>
    </row>
    <row r="122" ht="17" customHeight="1" spans="1:18" x14ac:dyDescent="0.25">
      <c r="A122" s="75"/>
      <c r="B122" s="79"/>
      <c r="C122" s="79"/>
      <c r="D122" s="78">
        <f>IF($B122="","",IF($C122="",$E122,IF($C122="","",IFERROR(IF(INDEX('PEOPLE + BUDGETS'!$C$6:$C$105,MATCH($C122,'PEOPLE + BUDGETS'!$B$6:$B$105,0))="","",INDEX('PEOPLE + BUDGETS'!$C$6:$C$105,MATCH($C122,'PEOPLE + BUDGETS'!$B$6:$B$105,0))),""))))</f>
      </c>
      <c r="E122" s="79"/>
      <c r="F122" s="79"/>
      <c r="G122" s="79"/>
      <c r="H122" s="79"/>
      <c r="I122" s="86"/>
      <c r="J122" s="86"/>
      <c r="K122" s="79"/>
      <c r="L122" s="82"/>
      <c r="M122" s="79"/>
      <c r="N122" s="80"/>
      <c r="O122" s="78">
        <f>IF($B122="",0,IF(COUNTIF('CARDS + MAIL'!$B$6:$B$155,$B122)&gt;1,1,0))</f>
      </c>
      <c r="P122" s="78">
        <f>IF(OR(N($I122)&gt;0,N($J122)&gt;0),IF($H122="",1,IF(COUNTIF('MASTER BUDGET'!$D$6:$D$25,$H122)=0,1,0)),0)</f>
      </c>
      <c r="Q122" s="78">
        <f>IF($C122="",0,IF(COUNTIF('PEOPLE + BUDGETS'!$B$6:$B$105,$C122)=0,1,0))</f>
      </c>
      <c r="R122" s="75"/>
    </row>
    <row r="123" ht="17" customHeight="1" spans="1:18" x14ac:dyDescent="0.25">
      <c r="A123" s="75"/>
      <c r="B123" s="79"/>
      <c r="C123" s="79"/>
      <c r="D123" s="78">
        <f>IF($B123="","",IF($C123="",$E123,IF($C123="","",IFERROR(IF(INDEX('PEOPLE + BUDGETS'!$C$6:$C$105,MATCH($C123,'PEOPLE + BUDGETS'!$B$6:$B$105,0))="","",INDEX('PEOPLE + BUDGETS'!$C$6:$C$105,MATCH($C123,'PEOPLE + BUDGETS'!$B$6:$B$105,0))),""))))</f>
      </c>
      <c r="E123" s="79"/>
      <c r="F123" s="79"/>
      <c r="G123" s="79"/>
      <c r="H123" s="79"/>
      <c r="I123" s="86"/>
      <c r="J123" s="86"/>
      <c r="K123" s="79"/>
      <c r="L123" s="82"/>
      <c r="M123" s="79"/>
      <c r="N123" s="80"/>
      <c r="O123" s="78">
        <f>IF($B123="",0,IF(COUNTIF('CARDS + MAIL'!$B$6:$B$155,$B123)&gt;1,1,0))</f>
      </c>
      <c r="P123" s="78">
        <f>IF(OR(N($I123)&gt;0,N($J123)&gt;0),IF($H123="",1,IF(COUNTIF('MASTER BUDGET'!$D$6:$D$25,$H123)=0,1,0)),0)</f>
      </c>
      <c r="Q123" s="78">
        <f>IF($C123="",0,IF(COUNTIF('PEOPLE + BUDGETS'!$B$6:$B$105,$C123)=0,1,0))</f>
      </c>
      <c r="R123" s="75"/>
    </row>
    <row r="124" ht="17" customHeight="1" spans="1:18" x14ac:dyDescent="0.25">
      <c r="A124" s="75"/>
      <c r="B124" s="79"/>
      <c r="C124" s="79"/>
      <c r="D124" s="78">
        <f>IF($B124="","",IF($C124="",$E124,IF($C124="","",IFERROR(IF(INDEX('PEOPLE + BUDGETS'!$C$6:$C$105,MATCH($C124,'PEOPLE + BUDGETS'!$B$6:$B$105,0))="","",INDEX('PEOPLE + BUDGETS'!$C$6:$C$105,MATCH($C124,'PEOPLE + BUDGETS'!$B$6:$B$105,0))),""))))</f>
      </c>
      <c r="E124" s="79"/>
      <c r="F124" s="79"/>
      <c r="G124" s="79"/>
      <c r="H124" s="79"/>
      <c r="I124" s="86"/>
      <c r="J124" s="86"/>
      <c r="K124" s="79"/>
      <c r="L124" s="82"/>
      <c r="M124" s="79"/>
      <c r="N124" s="80"/>
      <c r="O124" s="78">
        <f>IF($B124="",0,IF(COUNTIF('CARDS + MAIL'!$B$6:$B$155,$B124)&gt;1,1,0))</f>
      </c>
      <c r="P124" s="78">
        <f>IF(OR(N($I124)&gt;0,N($J124)&gt;0),IF($H124="",1,IF(COUNTIF('MASTER BUDGET'!$D$6:$D$25,$H124)=0,1,0)),0)</f>
      </c>
      <c r="Q124" s="78">
        <f>IF($C124="",0,IF(COUNTIF('PEOPLE + BUDGETS'!$B$6:$B$105,$C124)=0,1,0))</f>
      </c>
      <c r="R124" s="75"/>
    </row>
    <row r="125" ht="17" customHeight="1" spans="1:18" x14ac:dyDescent="0.25">
      <c r="A125" s="75"/>
      <c r="B125" s="79"/>
      <c r="C125" s="79"/>
      <c r="D125" s="78">
        <f>IF($B125="","",IF($C125="",$E125,IF($C125="","",IFERROR(IF(INDEX('PEOPLE + BUDGETS'!$C$6:$C$105,MATCH($C125,'PEOPLE + BUDGETS'!$B$6:$B$105,0))="","",INDEX('PEOPLE + BUDGETS'!$C$6:$C$105,MATCH($C125,'PEOPLE + BUDGETS'!$B$6:$B$105,0))),""))))</f>
      </c>
      <c r="E125" s="79"/>
      <c r="F125" s="79"/>
      <c r="G125" s="79"/>
      <c r="H125" s="79"/>
      <c r="I125" s="86"/>
      <c r="J125" s="86"/>
      <c r="K125" s="79"/>
      <c r="L125" s="82"/>
      <c r="M125" s="79"/>
      <c r="N125" s="80"/>
      <c r="O125" s="78">
        <f>IF($B125="",0,IF(COUNTIF('CARDS + MAIL'!$B$6:$B$155,$B125)&gt;1,1,0))</f>
      </c>
      <c r="P125" s="78">
        <f>IF(OR(N($I125)&gt;0,N($J125)&gt;0),IF($H125="",1,IF(COUNTIF('MASTER BUDGET'!$D$6:$D$25,$H125)=0,1,0)),0)</f>
      </c>
      <c r="Q125" s="78">
        <f>IF($C125="",0,IF(COUNTIF('PEOPLE + BUDGETS'!$B$6:$B$105,$C125)=0,1,0))</f>
      </c>
      <c r="R125" s="75"/>
    </row>
    <row r="126" ht="17" customHeight="1" spans="1:18" x14ac:dyDescent="0.25">
      <c r="A126" s="75"/>
      <c r="B126" s="79"/>
      <c r="C126" s="79"/>
      <c r="D126" s="78">
        <f>IF($B126="","",IF($C126="",$E126,IF($C126="","",IFERROR(IF(INDEX('PEOPLE + BUDGETS'!$C$6:$C$105,MATCH($C126,'PEOPLE + BUDGETS'!$B$6:$B$105,0))="","",INDEX('PEOPLE + BUDGETS'!$C$6:$C$105,MATCH($C126,'PEOPLE + BUDGETS'!$B$6:$B$105,0))),""))))</f>
      </c>
      <c r="E126" s="79"/>
      <c r="F126" s="79"/>
      <c r="G126" s="79"/>
      <c r="H126" s="79"/>
      <c r="I126" s="86"/>
      <c r="J126" s="86"/>
      <c r="K126" s="79"/>
      <c r="L126" s="82"/>
      <c r="M126" s="79"/>
      <c r="N126" s="80"/>
      <c r="O126" s="78">
        <f>IF($B126="",0,IF(COUNTIF('CARDS + MAIL'!$B$6:$B$155,$B126)&gt;1,1,0))</f>
      </c>
      <c r="P126" s="78">
        <f>IF(OR(N($I126)&gt;0,N($J126)&gt;0),IF($H126="",1,IF(COUNTIF('MASTER BUDGET'!$D$6:$D$25,$H126)=0,1,0)),0)</f>
      </c>
      <c r="Q126" s="78">
        <f>IF($C126="",0,IF(COUNTIF('PEOPLE + BUDGETS'!$B$6:$B$105,$C126)=0,1,0))</f>
      </c>
      <c r="R126" s="75"/>
    </row>
    <row r="127" ht="17" customHeight="1" spans="1:18" x14ac:dyDescent="0.25">
      <c r="A127" s="75"/>
      <c r="B127" s="79"/>
      <c r="C127" s="79"/>
      <c r="D127" s="78">
        <f>IF($B127="","",IF($C127="",$E127,IF($C127="","",IFERROR(IF(INDEX('PEOPLE + BUDGETS'!$C$6:$C$105,MATCH($C127,'PEOPLE + BUDGETS'!$B$6:$B$105,0))="","",INDEX('PEOPLE + BUDGETS'!$C$6:$C$105,MATCH($C127,'PEOPLE + BUDGETS'!$B$6:$B$105,0))),""))))</f>
      </c>
      <c r="E127" s="79"/>
      <c r="F127" s="79"/>
      <c r="G127" s="79"/>
      <c r="H127" s="79"/>
      <c r="I127" s="86"/>
      <c r="J127" s="86"/>
      <c r="K127" s="79"/>
      <c r="L127" s="82"/>
      <c r="M127" s="79"/>
      <c r="N127" s="80"/>
      <c r="O127" s="78">
        <f>IF($B127="",0,IF(COUNTIF('CARDS + MAIL'!$B$6:$B$155,$B127)&gt;1,1,0))</f>
      </c>
      <c r="P127" s="78">
        <f>IF(OR(N($I127)&gt;0,N($J127)&gt;0),IF($H127="",1,IF(COUNTIF('MASTER BUDGET'!$D$6:$D$25,$H127)=0,1,0)),0)</f>
      </c>
      <c r="Q127" s="78">
        <f>IF($C127="",0,IF(COUNTIF('PEOPLE + BUDGETS'!$B$6:$B$105,$C127)=0,1,0))</f>
      </c>
      <c r="R127" s="75"/>
    </row>
    <row r="128" ht="17" customHeight="1" spans="1:18" x14ac:dyDescent="0.25">
      <c r="A128" s="75"/>
      <c r="B128" s="79"/>
      <c r="C128" s="79"/>
      <c r="D128" s="78">
        <f>IF($B128="","",IF($C128="",$E128,IF($C128="","",IFERROR(IF(INDEX('PEOPLE + BUDGETS'!$C$6:$C$105,MATCH($C128,'PEOPLE + BUDGETS'!$B$6:$B$105,0))="","",INDEX('PEOPLE + BUDGETS'!$C$6:$C$105,MATCH($C128,'PEOPLE + BUDGETS'!$B$6:$B$105,0))),""))))</f>
      </c>
      <c r="E128" s="79"/>
      <c r="F128" s="79"/>
      <c r="G128" s="79"/>
      <c r="H128" s="79"/>
      <c r="I128" s="86"/>
      <c r="J128" s="86"/>
      <c r="K128" s="79"/>
      <c r="L128" s="82"/>
      <c r="M128" s="79"/>
      <c r="N128" s="80"/>
      <c r="O128" s="78">
        <f>IF($B128="",0,IF(COUNTIF('CARDS + MAIL'!$B$6:$B$155,$B128)&gt;1,1,0))</f>
      </c>
      <c r="P128" s="78">
        <f>IF(OR(N($I128)&gt;0,N($J128)&gt;0),IF($H128="",1,IF(COUNTIF('MASTER BUDGET'!$D$6:$D$25,$H128)=0,1,0)),0)</f>
      </c>
      <c r="Q128" s="78">
        <f>IF($C128="",0,IF(COUNTIF('PEOPLE + BUDGETS'!$B$6:$B$105,$C128)=0,1,0))</f>
      </c>
      <c r="R128" s="75"/>
    </row>
    <row r="129" ht="17" customHeight="1" spans="1:18" x14ac:dyDescent="0.25">
      <c r="A129" s="75"/>
      <c r="B129" s="79"/>
      <c r="C129" s="79"/>
      <c r="D129" s="78">
        <f>IF($B129="","",IF($C129="",$E129,IF($C129="","",IFERROR(IF(INDEX('PEOPLE + BUDGETS'!$C$6:$C$105,MATCH($C129,'PEOPLE + BUDGETS'!$B$6:$B$105,0))="","",INDEX('PEOPLE + BUDGETS'!$C$6:$C$105,MATCH($C129,'PEOPLE + BUDGETS'!$B$6:$B$105,0))),""))))</f>
      </c>
      <c r="E129" s="79"/>
      <c r="F129" s="79"/>
      <c r="G129" s="79"/>
      <c r="H129" s="79"/>
      <c r="I129" s="86"/>
      <c r="J129" s="86"/>
      <c r="K129" s="79"/>
      <c r="L129" s="82"/>
      <c r="M129" s="79"/>
      <c r="N129" s="80"/>
      <c r="O129" s="78">
        <f>IF($B129="",0,IF(COUNTIF('CARDS + MAIL'!$B$6:$B$155,$B129)&gt;1,1,0))</f>
      </c>
      <c r="P129" s="78">
        <f>IF(OR(N($I129)&gt;0,N($J129)&gt;0),IF($H129="",1,IF(COUNTIF('MASTER BUDGET'!$D$6:$D$25,$H129)=0,1,0)),0)</f>
      </c>
      <c r="Q129" s="78">
        <f>IF($C129="",0,IF(COUNTIF('PEOPLE + BUDGETS'!$B$6:$B$105,$C129)=0,1,0))</f>
      </c>
      <c r="R129" s="75"/>
    </row>
    <row r="130" ht="17" customHeight="1" spans="1:18" x14ac:dyDescent="0.25">
      <c r="A130" s="75"/>
      <c r="B130" s="79"/>
      <c r="C130" s="79"/>
      <c r="D130" s="78">
        <f>IF($B130="","",IF($C130="",$E130,IF($C130="","",IFERROR(IF(INDEX('PEOPLE + BUDGETS'!$C$6:$C$105,MATCH($C130,'PEOPLE + BUDGETS'!$B$6:$B$105,0))="","",INDEX('PEOPLE + BUDGETS'!$C$6:$C$105,MATCH($C130,'PEOPLE + BUDGETS'!$B$6:$B$105,0))),""))))</f>
      </c>
      <c r="E130" s="79"/>
      <c r="F130" s="79"/>
      <c r="G130" s="79"/>
      <c r="H130" s="79"/>
      <c r="I130" s="86"/>
      <c r="J130" s="86"/>
      <c r="K130" s="79"/>
      <c r="L130" s="82"/>
      <c r="M130" s="79"/>
      <c r="N130" s="80"/>
      <c r="O130" s="78">
        <f>IF($B130="",0,IF(COUNTIF('CARDS + MAIL'!$B$6:$B$155,$B130)&gt;1,1,0))</f>
      </c>
      <c r="P130" s="78">
        <f>IF(OR(N($I130)&gt;0,N($J130)&gt;0),IF($H130="",1,IF(COUNTIF('MASTER BUDGET'!$D$6:$D$25,$H130)=0,1,0)),0)</f>
      </c>
      <c r="Q130" s="78">
        <f>IF($C130="",0,IF(COUNTIF('PEOPLE + BUDGETS'!$B$6:$B$105,$C130)=0,1,0))</f>
      </c>
      <c r="R130" s="75"/>
    </row>
    <row r="131" ht="17" customHeight="1" spans="1:18" x14ac:dyDescent="0.25">
      <c r="A131" s="75"/>
      <c r="B131" s="79"/>
      <c r="C131" s="79"/>
      <c r="D131" s="78">
        <f>IF($B131="","",IF($C131="",$E131,IF($C131="","",IFERROR(IF(INDEX('PEOPLE + BUDGETS'!$C$6:$C$105,MATCH($C131,'PEOPLE + BUDGETS'!$B$6:$B$105,0))="","",INDEX('PEOPLE + BUDGETS'!$C$6:$C$105,MATCH($C131,'PEOPLE + BUDGETS'!$B$6:$B$105,0))),""))))</f>
      </c>
      <c r="E131" s="79"/>
      <c r="F131" s="79"/>
      <c r="G131" s="79"/>
      <c r="H131" s="79"/>
      <c r="I131" s="86"/>
      <c r="J131" s="86"/>
      <c r="K131" s="79"/>
      <c r="L131" s="82"/>
      <c r="M131" s="79"/>
      <c r="N131" s="80"/>
      <c r="O131" s="78">
        <f>IF($B131="",0,IF(COUNTIF('CARDS + MAIL'!$B$6:$B$155,$B131)&gt;1,1,0))</f>
      </c>
      <c r="P131" s="78">
        <f>IF(OR(N($I131)&gt;0,N($J131)&gt;0),IF($H131="",1,IF(COUNTIF('MASTER BUDGET'!$D$6:$D$25,$H131)=0,1,0)),0)</f>
      </c>
      <c r="Q131" s="78">
        <f>IF($C131="",0,IF(COUNTIF('PEOPLE + BUDGETS'!$B$6:$B$105,$C131)=0,1,0))</f>
      </c>
      <c r="R131" s="75"/>
    </row>
    <row r="132" ht="17" customHeight="1" spans="1:18" x14ac:dyDescent="0.25">
      <c r="A132" s="75"/>
      <c r="B132" s="79"/>
      <c r="C132" s="79"/>
      <c r="D132" s="78">
        <f>IF($B132="","",IF($C132="",$E132,IF($C132="","",IFERROR(IF(INDEX('PEOPLE + BUDGETS'!$C$6:$C$105,MATCH($C132,'PEOPLE + BUDGETS'!$B$6:$B$105,0))="","",INDEX('PEOPLE + BUDGETS'!$C$6:$C$105,MATCH($C132,'PEOPLE + BUDGETS'!$B$6:$B$105,0))),""))))</f>
      </c>
      <c r="E132" s="79"/>
      <c r="F132" s="79"/>
      <c r="G132" s="79"/>
      <c r="H132" s="79"/>
      <c r="I132" s="86"/>
      <c r="J132" s="86"/>
      <c r="K132" s="79"/>
      <c r="L132" s="82"/>
      <c r="M132" s="79"/>
      <c r="N132" s="80"/>
      <c r="O132" s="78">
        <f>IF($B132="",0,IF(COUNTIF('CARDS + MAIL'!$B$6:$B$155,$B132)&gt;1,1,0))</f>
      </c>
      <c r="P132" s="78">
        <f>IF(OR(N($I132)&gt;0,N($J132)&gt;0),IF($H132="",1,IF(COUNTIF('MASTER BUDGET'!$D$6:$D$25,$H132)=0,1,0)),0)</f>
      </c>
      <c r="Q132" s="78">
        <f>IF($C132="",0,IF(COUNTIF('PEOPLE + BUDGETS'!$B$6:$B$105,$C132)=0,1,0))</f>
      </c>
      <c r="R132" s="75"/>
    </row>
    <row r="133" ht="17" customHeight="1" spans="1:18" x14ac:dyDescent="0.25">
      <c r="A133" s="75"/>
      <c r="B133" s="79"/>
      <c r="C133" s="79"/>
      <c r="D133" s="78">
        <f>IF($B133="","",IF($C133="",$E133,IF($C133="","",IFERROR(IF(INDEX('PEOPLE + BUDGETS'!$C$6:$C$105,MATCH($C133,'PEOPLE + BUDGETS'!$B$6:$B$105,0))="","",INDEX('PEOPLE + BUDGETS'!$C$6:$C$105,MATCH($C133,'PEOPLE + BUDGETS'!$B$6:$B$105,0))),""))))</f>
      </c>
      <c r="E133" s="79"/>
      <c r="F133" s="79"/>
      <c r="G133" s="79"/>
      <c r="H133" s="79"/>
      <c r="I133" s="86"/>
      <c r="J133" s="86"/>
      <c r="K133" s="79"/>
      <c r="L133" s="82"/>
      <c r="M133" s="79"/>
      <c r="N133" s="80"/>
      <c r="O133" s="78">
        <f>IF($B133="",0,IF(COUNTIF('CARDS + MAIL'!$B$6:$B$155,$B133)&gt;1,1,0))</f>
      </c>
      <c r="P133" s="78">
        <f>IF(OR(N($I133)&gt;0,N($J133)&gt;0),IF($H133="",1,IF(COUNTIF('MASTER BUDGET'!$D$6:$D$25,$H133)=0,1,0)),0)</f>
      </c>
      <c r="Q133" s="78">
        <f>IF($C133="",0,IF(COUNTIF('PEOPLE + BUDGETS'!$B$6:$B$105,$C133)=0,1,0))</f>
      </c>
      <c r="R133" s="75"/>
    </row>
    <row r="134" ht="17" customHeight="1" spans="1:18" x14ac:dyDescent="0.25">
      <c r="A134" s="75"/>
      <c r="B134" s="79"/>
      <c r="C134" s="79"/>
      <c r="D134" s="78">
        <f>IF($B134="","",IF($C134="",$E134,IF($C134="","",IFERROR(IF(INDEX('PEOPLE + BUDGETS'!$C$6:$C$105,MATCH($C134,'PEOPLE + BUDGETS'!$B$6:$B$105,0))="","",INDEX('PEOPLE + BUDGETS'!$C$6:$C$105,MATCH($C134,'PEOPLE + BUDGETS'!$B$6:$B$105,0))),""))))</f>
      </c>
      <c r="E134" s="79"/>
      <c r="F134" s="79"/>
      <c r="G134" s="79"/>
      <c r="H134" s="79"/>
      <c r="I134" s="86"/>
      <c r="J134" s="86"/>
      <c r="K134" s="79"/>
      <c r="L134" s="82"/>
      <c r="M134" s="79"/>
      <c r="N134" s="80"/>
      <c r="O134" s="78">
        <f>IF($B134="",0,IF(COUNTIF('CARDS + MAIL'!$B$6:$B$155,$B134)&gt;1,1,0))</f>
      </c>
      <c r="P134" s="78">
        <f>IF(OR(N($I134)&gt;0,N($J134)&gt;0),IF($H134="",1,IF(COUNTIF('MASTER BUDGET'!$D$6:$D$25,$H134)=0,1,0)),0)</f>
      </c>
      <c r="Q134" s="78">
        <f>IF($C134="",0,IF(COUNTIF('PEOPLE + BUDGETS'!$B$6:$B$105,$C134)=0,1,0))</f>
      </c>
      <c r="R134" s="75"/>
    </row>
    <row r="135" ht="17" customHeight="1" spans="1:18" x14ac:dyDescent="0.25">
      <c r="A135" s="75"/>
      <c r="B135" s="79"/>
      <c r="C135" s="79"/>
      <c r="D135" s="78">
        <f>IF($B135="","",IF($C135="",$E135,IF($C135="","",IFERROR(IF(INDEX('PEOPLE + BUDGETS'!$C$6:$C$105,MATCH($C135,'PEOPLE + BUDGETS'!$B$6:$B$105,0))="","",INDEX('PEOPLE + BUDGETS'!$C$6:$C$105,MATCH($C135,'PEOPLE + BUDGETS'!$B$6:$B$105,0))),""))))</f>
      </c>
      <c r="E135" s="79"/>
      <c r="F135" s="79"/>
      <c r="G135" s="79"/>
      <c r="H135" s="79"/>
      <c r="I135" s="86"/>
      <c r="J135" s="86"/>
      <c r="K135" s="79"/>
      <c r="L135" s="82"/>
      <c r="M135" s="79"/>
      <c r="N135" s="80"/>
      <c r="O135" s="78">
        <f>IF($B135="",0,IF(COUNTIF('CARDS + MAIL'!$B$6:$B$155,$B135)&gt;1,1,0))</f>
      </c>
      <c r="P135" s="78">
        <f>IF(OR(N($I135)&gt;0,N($J135)&gt;0),IF($H135="",1,IF(COUNTIF('MASTER BUDGET'!$D$6:$D$25,$H135)=0,1,0)),0)</f>
      </c>
      <c r="Q135" s="78">
        <f>IF($C135="",0,IF(COUNTIF('PEOPLE + BUDGETS'!$B$6:$B$105,$C135)=0,1,0))</f>
      </c>
      <c r="R135" s="75"/>
    </row>
    <row r="136" ht="17" customHeight="1" spans="1:18" x14ac:dyDescent="0.25">
      <c r="A136" s="75"/>
      <c r="B136" s="79"/>
      <c r="C136" s="79"/>
      <c r="D136" s="78">
        <f>IF($B136="","",IF($C136="",$E136,IF($C136="","",IFERROR(IF(INDEX('PEOPLE + BUDGETS'!$C$6:$C$105,MATCH($C136,'PEOPLE + BUDGETS'!$B$6:$B$105,0))="","",INDEX('PEOPLE + BUDGETS'!$C$6:$C$105,MATCH($C136,'PEOPLE + BUDGETS'!$B$6:$B$105,0))),""))))</f>
      </c>
      <c r="E136" s="79"/>
      <c r="F136" s="79"/>
      <c r="G136" s="79"/>
      <c r="H136" s="79"/>
      <c r="I136" s="86"/>
      <c r="J136" s="86"/>
      <c r="K136" s="79"/>
      <c r="L136" s="82"/>
      <c r="M136" s="79"/>
      <c r="N136" s="80"/>
      <c r="O136" s="78">
        <f>IF($B136="",0,IF(COUNTIF('CARDS + MAIL'!$B$6:$B$155,$B136)&gt;1,1,0))</f>
      </c>
      <c r="P136" s="78">
        <f>IF(OR(N($I136)&gt;0,N($J136)&gt;0),IF($H136="",1,IF(COUNTIF('MASTER BUDGET'!$D$6:$D$25,$H136)=0,1,0)),0)</f>
      </c>
      <c r="Q136" s="78">
        <f>IF($C136="",0,IF(COUNTIF('PEOPLE + BUDGETS'!$B$6:$B$105,$C136)=0,1,0))</f>
      </c>
      <c r="R136" s="75"/>
    </row>
    <row r="137" ht="17" customHeight="1" spans="1:18" x14ac:dyDescent="0.25">
      <c r="A137" s="75"/>
      <c r="B137" s="79"/>
      <c r="C137" s="79"/>
      <c r="D137" s="78">
        <f>IF($B137="","",IF($C137="",$E137,IF($C137="","",IFERROR(IF(INDEX('PEOPLE + BUDGETS'!$C$6:$C$105,MATCH($C137,'PEOPLE + BUDGETS'!$B$6:$B$105,0))="","",INDEX('PEOPLE + BUDGETS'!$C$6:$C$105,MATCH($C137,'PEOPLE + BUDGETS'!$B$6:$B$105,0))),""))))</f>
      </c>
      <c r="E137" s="79"/>
      <c r="F137" s="79"/>
      <c r="G137" s="79"/>
      <c r="H137" s="79"/>
      <c r="I137" s="86"/>
      <c r="J137" s="86"/>
      <c r="K137" s="79"/>
      <c r="L137" s="82"/>
      <c r="M137" s="79"/>
      <c r="N137" s="80"/>
      <c r="O137" s="78">
        <f>IF($B137="",0,IF(COUNTIF('CARDS + MAIL'!$B$6:$B$155,$B137)&gt;1,1,0))</f>
      </c>
      <c r="P137" s="78">
        <f>IF(OR(N($I137)&gt;0,N($J137)&gt;0),IF($H137="",1,IF(COUNTIF('MASTER BUDGET'!$D$6:$D$25,$H137)=0,1,0)),0)</f>
      </c>
      <c r="Q137" s="78">
        <f>IF($C137="",0,IF(COUNTIF('PEOPLE + BUDGETS'!$B$6:$B$105,$C137)=0,1,0))</f>
      </c>
      <c r="R137" s="75"/>
    </row>
    <row r="138" ht="17" customHeight="1" spans="1:18" x14ac:dyDescent="0.25">
      <c r="A138" s="75"/>
      <c r="B138" s="79"/>
      <c r="C138" s="79"/>
      <c r="D138" s="78">
        <f>IF($B138="","",IF($C138="",$E138,IF($C138="","",IFERROR(IF(INDEX('PEOPLE + BUDGETS'!$C$6:$C$105,MATCH($C138,'PEOPLE + BUDGETS'!$B$6:$B$105,0))="","",INDEX('PEOPLE + BUDGETS'!$C$6:$C$105,MATCH($C138,'PEOPLE + BUDGETS'!$B$6:$B$105,0))),""))))</f>
      </c>
      <c r="E138" s="79"/>
      <c r="F138" s="79"/>
      <c r="G138" s="79"/>
      <c r="H138" s="79"/>
      <c r="I138" s="86"/>
      <c r="J138" s="86"/>
      <c r="K138" s="79"/>
      <c r="L138" s="82"/>
      <c r="M138" s="79"/>
      <c r="N138" s="80"/>
      <c r="O138" s="78">
        <f>IF($B138="",0,IF(COUNTIF('CARDS + MAIL'!$B$6:$B$155,$B138)&gt;1,1,0))</f>
      </c>
      <c r="P138" s="78">
        <f>IF(OR(N($I138)&gt;0,N($J138)&gt;0),IF($H138="",1,IF(COUNTIF('MASTER BUDGET'!$D$6:$D$25,$H138)=0,1,0)),0)</f>
      </c>
      <c r="Q138" s="78">
        <f>IF($C138="",0,IF(COUNTIF('PEOPLE + BUDGETS'!$B$6:$B$105,$C138)=0,1,0))</f>
      </c>
      <c r="R138" s="75"/>
    </row>
    <row r="139" ht="17" customHeight="1" spans="1:18" x14ac:dyDescent="0.25">
      <c r="A139" s="75"/>
      <c r="B139" s="79"/>
      <c r="C139" s="79"/>
      <c r="D139" s="78">
        <f>IF($B139="","",IF($C139="",$E139,IF($C139="","",IFERROR(IF(INDEX('PEOPLE + BUDGETS'!$C$6:$C$105,MATCH($C139,'PEOPLE + BUDGETS'!$B$6:$B$105,0))="","",INDEX('PEOPLE + BUDGETS'!$C$6:$C$105,MATCH($C139,'PEOPLE + BUDGETS'!$B$6:$B$105,0))),""))))</f>
      </c>
      <c r="E139" s="79"/>
      <c r="F139" s="79"/>
      <c r="G139" s="79"/>
      <c r="H139" s="79"/>
      <c r="I139" s="86"/>
      <c r="J139" s="86"/>
      <c r="K139" s="79"/>
      <c r="L139" s="82"/>
      <c r="M139" s="79"/>
      <c r="N139" s="80"/>
      <c r="O139" s="78">
        <f>IF($B139="",0,IF(COUNTIF('CARDS + MAIL'!$B$6:$B$155,$B139)&gt;1,1,0))</f>
      </c>
      <c r="P139" s="78">
        <f>IF(OR(N($I139)&gt;0,N($J139)&gt;0),IF($H139="",1,IF(COUNTIF('MASTER BUDGET'!$D$6:$D$25,$H139)=0,1,0)),0)</f>
      </c>
      <c r="Q139" s="78">
        <f>IF($C139="",0,IF(COUNTIF('PEOPLE + BUDGETS'!$B$6:$B$105,$C139)=0,1,0))</f>
      </c>
      <c r="R139" s="75"/>
    </row>
    <row r="140" ht="17" customHeight="1" spans="1:18" x14ac:dyDescent="0.25">
      <c r="A140" s="75"/>
      <c r="B140" s="79"/>
      <c r="C140" s="79"/>
      <c r="D140" s="78">
        <f>IF($B140="","",IF($C140="",$E140,IF($C140="","",IFERROR(IF(INDEX('PEOPLE + BUDGETS'!$C$6:$C$105,MATCH($C140,'PEOPLE + BUDGETS'!$B$6:$B$105,0))="","",INDEX('PEOPLE + BUDGETS'!$C$6:$C$105,MATCH($C140,'PEOPLE + BUDGETS'!$B$6:$B$105,0))),""))))</f>
      </c>
      <c r="E140" s="79"/>
      <c r="F140" s="79"/>
      <c r="G140" s="79"/>
      <c r="H140" s="79"/>
      <c r="I140" s="86"/>
      <c r="J140" s="86"/>
      <c r="K140" s="79"/>
      <c r="L140" s="82"/>
      <c r="M140" s="79"/>
      <c r="N140" s="80"/>
      <c r="O140" s="78">
        <f>IF($B140="",0,IF(COUNTIF('CARDS + MAIL'!$B$6:$B$155,$B140)&gt;1,1,0))</f>
      </c>
      <c r="P140" s="78">
        <f>IF(OR(N($I140)&gt;0,N($J140)&gt;0),IF($H140="",1,IF(COUNTIF('MASTER BUDGET'!$D$6:$D$25,$H140)=0,1,0)),0)</f>
      </c>
      <c r="Q140" s="78">
        <f>IF($C140="",0,IF(COUNTIF('PEOPLE + BUDGETS'!$B$6:$B$105,$C140)=0,1,0))</f>
      </c>
      <c r="R140" s="75"/>
    </row>
    <row r="141" ht="17" customHeight="1" spans="1:18" x14ac:dyDescent="0.25">
      <c r="A141" s="75"/>
      <c r="B141" s="79"/>
      <c r="C141" s="79"/>
      <c r="D141" s="78">
        <f>IF($B141="","",IF($C141="",$E141,IF($C141="","",IFERROR(IF(INDEX('PEOPLE + BUDGETS'!$C$6:$C$105,MATCH($C141,'PEOPLE + BUDGETS'!$B$6:$B$105,0))="","",INDEX('PEOPLE + BUDGETS'!$C$6:$C$105,MATCH($C141,'PEOPLE + BUDGETS'!$B$6:$B$105,0))),""))))</f>
      </c>
      <c r="E141" s="79"/>
      <c r="F141" s="79"/>
      <c r="G141" s="79"/>
      <c r="H141" s="79"/>
      <c r="I141" s="86"/>
      <c r="J141" s="86"/>
      <c r="K141" s="79"/>
      <c r="L141" s="82"/>
      <c r="M141" s="79"/>
      <c r="N141" s="80"/>
      <c r="O141" s="78">
        <f>IF($B141="",0,IF(COUNTIF('CARDS + MAIL'!$B$6:$B$155,$B141)&gt;1,1,0))</f>
      </c>
      <c r="P141" s="78">
        <f>IF(OR(N($I141)&gt;0,N($J141)&gt;0),IF($H141="",1,IF(COUNTIF('MASTER BUDGET'!$D$6:$D$25,$H141)=0,1,0)),0)</f>
      </c>
      <c r="Q141" s="78">
        <f>IF($C141="",0,IF(COUNTIF('PEOPLE + BUDGETS'!$B$6:$B$105,$C141)=0,1,0))</f>
      </c>
      <c r="R141" s="75"/>
    </row>
    <row r="142" ht="17" customHeight="1" spans="1:18" x14ac:dyDescent="0.25">
      <c r="A142" s="75"/>
      <c r="B142" s="79"/>
      <c r="C142" s="79"/>
      <c r="D142" s="78">
        <f>IF($B142="","",IF($C142="",$E142,IF($C142="","",IFERROR(IF(INDEX('PEOPLE + BUDGETS'!$C$6:$C$105,MATCH($C142,'PEOPLE + BUDGETS'!$B$6:$B$105,0))="","",INDEX('PEOPLE + BUDGETS'!$C$6:$C$105,MATCH($C142,'PEOPLE + BUDGETS'!$B$6:$B$105,0))),""))))</f>
      </c>
      <c r="E142" s="79"/>
      <c r="F142" s="79"/>
      <c r="G142" s="79"/>
      <c r="H142" s="79"/>
      <c r="I142" s="86"/>
      <c r="J142" s="86"/>
      <c r="K142" s="79"/>
      <c r="L142" s="82"/>
      <c r="M142" s="79"/>
      <c r="N142" s="80"/>
      <c r="O142" s="78">
        <f>IF($B142="",0,IF(COUNTIF('CARDS + MAIL'!$B$6:$B$155,$B142)&gt;1,1,0))</f>
      </c>
      <c r="P142" s="78">
        <f>IF(OR(N($I142)&gt;0,N($J142)&gt;0),IF($H142="",1,IF(COUNTIF('MASTER BUDGET'!$D$6:$D$25,$H142)=0,1,0)),0)</f>
      </c>
      <c r="Q142" s="78">
        <f>IF($C142="",0,IF(COUNTIF('PEOPLE + BUDGETS'!$B$6:$B$105,$C142)=0,1,0))</f>
      </c>
      <c r="R142" s="75"/>
    </row>
    <row r="143" ht="17" customHeight="1" spans="1:18" x14ac:dyDescent="0.25">
      <c r="A143" s="75"/>
      <c r="B143" s="79"/>
      <c r="C143" s="79"/>
      <c r="D143" s="78">
        <f>IF($B143="","",IF($C143="",$E143,IF($C143="","",IFERROR(IF(INDEX('PEOPLE + BUDGETS'!$C$6:$C$105,MATCH($C143,'PEOPLE + BUDGETS'!$B$6:$B$105,0))="","",INDEX('PEOPLE + BUDGETS'!$C$6:$C$105,MATCH($C143,'PEOPLE + BUDGETS'!$B$6:$B$105,0))),""))))</f>
      </c>
      <c r="E143" s="79"/>
      <c r="F143" s="79"/>
      <c r="G143" s="79"/>
      <c r="H143" s="79"/>
      <c r="I143" s="86"/>
      <c r="J143" s="86"/>
      <c r="K143" s="79"/>
      <c r="L143" s="82"/>
      <c r="M143" s="79"/>
      <c r="N143" s="80"/>
      <c r="O143" s="78">
        <f>IF($B143="",0,IF(COUNTIF('CARDS + MAIL'!$B$6:$B$155,$B143)&gt;1,1,0))</f>
      </c>
      <c r="P143" s="78">
        <f>IF(OR(N($I143)&gt;0,N($J143)&gt;0),IF($H143="",1,IF(COUNTIF('MASTER BUDGET'!$D$6:$D$25,$H143)=0,1,0)),0)</f>
      </c>
      <c r="Q143" s="78">
        <f>IF($C143="",0,IF(COUNTIF('PEOPLE + BUDGETS'!$B$6:$B$105,$C143)=0,1,0))</f>
      </c>
      <c r="R143" s="75"/>
    </row>
    <row r="144" ht="17" customHeight="1" spans="1:18" x14ac:dyDescent="0.25">
      <c r="A144" s="75"/>
      <c r="B144" s="79"/>
      <c r="C144" s="79"/>
      <c r="D144" s="78">
        <f>IF($B144="","",IF($C144="",$E144,IF($C144="","",IFERROR(IF(INDEX('PEOPLE + BUDGETS'!$C$6:$C$105,MATCH($C144,'PEOPLE + BUDGETS'!$B$6:$B$105,0))="","",INDEX('PEOPLE + BUDGETS'!$C$6:$C$105,MATCH($C144,'PEOPLE + BUDGETS'!$B$6:$B$105,0))),""))))</f>
      </c>
      <c r="E144" s="79"/>
      <c r="F144" s="79"/>
      <c r="G144" s="79"/>
      <c r="H144" s="79"/>
      <c r="I144" s="86"/>
      <c r="J144" s="86"/>
      <c r="K144" s="79"/>
      <c r="L144" s="82"/>
      <c r="M144" s="79"/>
      <c r="N144" s="80"/>
      <c r="O144" s="78">
        <f>IF($B144="",0,IF(COUNTIF('CARDS + MAIL'!$B$6:$B$155,$B144)&gt;1,1,0))</f>
      </c>
      <c r="P144" s="78">
        <f>IF(OR(N($I144)&gt;0,N($J144)&gt;0),IF($H144="",1,IF(COUNTIF('MASTER BUDGET'!$D$6:$D$25,$H144)=0,1,0)),0)</f>
      </c>
      <c r="Q144" s="78">
        <f>IF($C144="",0,IF(COUNTIF('PEOPLE + BUDGETS'!$B$6:$B$105,$C144)=0,1,0))</f>
      </c>
      <c r="R144" s="75"/>
    </row>
    <row r="145" ht="17" customHeight="1" spans="1:18" x14ac:dyDescent="0.25">
      <c r="A145" s="75"/>
      <c r="B145" s="79"/>
      <c r="C145" s="79"/>
      <c r="D145" s="78">
        <f>IF($B145="","",IF($C145="",$E145,IF($C145="","",IFERROR(IF(INDEX('PEOPLE + BUDGETS'!$C$6:$C$105,MATCH($C145,'PEOPLE + BUDGETS'!$B$6:$B$105,0))="","",INDEX('PEOPLE + BUDGETS'!$C$6:$C$105,MATCH($C145,'PEOPLE + BUDGETS'!$B$6:$B$105,0))),""))))</f>
      </c>
      <c r="E145" s="79"/>
      <c r="F145" s="79"/>
      <c r="G145" s="79"/>
      <c r="H145" s="79"/>
      <c r="I145" s="86"/>
      <c r="J145" s="86"/>
      <c r="K145" s="79"/>
      <c r="L145" s="82"/>
      <c r="M145" s="79"/>
      <c r="N145" s="80"/>
      <c r="O145" s="78">
        <f>IF($B145="",0,IF(COUNTIF('CARDS + MAIL'!$B$6:$B$155,$B145)&gt;1,1,0))</f>
      </c>
      <c r="P145" s="78">
        <f>IF(OR(N($I145)&gt;0,N($J145)&gt;0),IF($H145="",1,IF(COUNTIF('MASTER BUDGET'!$D$6:$D$25,$H145)=0,1,0)),0)</f>
      </c>
      <c r="Q145" s="78">
        <f>IF($C145="",0,IF(COUNTIF('PEOPLE + BUDGETS'!$B$6:$B$105,$C145)=0,1,0))</f>
      </c>
      <c r="R145" s="75"/>
    </row>
    <row r="146" ht="17" customHeight="1" spans="1:18" x14ac:dyDescent="0.25">
      <c r="A146" s="75"/>
      <c r="B146" s="79"/>
      <c r="C146" s="79"/>
      <c r="D146" s="78">
        <f>IF($B146="","",IF($C146="",$E146,IF($C146="","",IFERROR(IF(INDEX('PEOPLE + BUDGETS'!$C$6:$C$105,MATCH($C146,'PEOPLE + BUDGETS'!$B$6:$B$105,0))="","",INDEX('PEOPLE + BUDGETS'!$C$6:$C$105,MATCH($C146,'PEOPLE + BUDGETS'!$B$6:$B$105,0))),""))))</f>
      </c>
      <c r="E146" s="79"/>
      <c r="F146" s="79"/>
      <c r="G146" s="79"/>
      <c r="H146" s="79"/>
      <c r="I146" s="86"/>
      <c r="J146" s="86"/>
      <c r="K146" s="79"/>
      <c r="L146" s="82"/>
      <c r="M146" s="79"/>
      <c r="N146" s="80"/>
      <c r="O146" s="78">
        <f>IF($B146="",0,IF(COUNTIF('CARDS + MAIL'!$B$6:$B$155,$B146)&gt;1,1,0))</f>
      </c>
      <c r="P146" s="78">
        <f>IF(OR(N($I146)&gt;0,N($J146)&gt;0),IF($H146="",1,IF(COUNTIF('MASTER BUDGET'!$D$6:$D$25,$H146)=0,1,0)),0)</f>
      </c>
      <c r="Q146" s="78">
        <f>IF($C146="",0,IF(COUNTIF('PEOPLE + BUDGETS'!$B$6:$B$105,$C146)=0,1,0))</f>
      </c>
      <c r="R146" s="75"/>
    </row>
    <row r="147" ht="17" customHeight="1" spans="1:18" x14ac:dyDescent="0.25">
      <c r="A147" s="75"/>
      <c r="B147" s="79"/>
      <c r="C147" s="79"/>
      <c r="D147" s="78">
        <f>IF($B147="","",IF($C147="",$E147,IF($C147="","",IFERROR(IF(INDEX('PEOPLE + BUDGETS'!$C$6:$C$105,MATCH($C147,'PEOPLE + BUDGETS'!$B$6:$B$105,0))="","",INDEX('PEOPLE + BUDGETS'!$C$6:$C$105,MATCH($C147,'PEOPLE + BUDGETS'!$B$6:$B$105,0))),""))))</f>
      </c>
      <c r="E147" s="79"/>
      <c r="F147" s="79"/>
      <c r="G147" s="79"/>
      <c r="H147" s="79"/>
      <c r="I147" s="86"/>
      <c r="J147" s="86"/>
      <c r="K147" s="79"/>
      <c r="L147" s="82"/>
      <c r="M147" s="79"/>
      <c r="N147" s="80"/>
      <c r="O147" s="78">
        <f>IF($B147="",0,IF(COUNTIF('CARDS + MAIL'!$B$6:$B$155,$B147)&gt;1,1,0))</f>
      </c>
      <c r="P147" s="78">
        <f>IF(OR(N($I147)&gt;0,N($J147)&gt;0),IF($H147="",1,IF(COUNTIF('MASTER BUDGET'!$D$6:$D$25,$H147)=0,1,0)),0)</f>
      </c>
      <c r="Q147" s="78">
        <f>IF($C147="",0,IF(COUNTIF('PEOPLE + BUDGETS'!$B$6:$B$105,$C147)=0,1,0))</f>
      </c>
      <c r="R147" s="75"/>
    </row>
    <row r="148" ht="17" customHeight="1" spans="1:18" x14ac:dyDescent="0.25">
      <c r="A148" s="75"/>
      <c r="B148" s="79"/>
      <c r="C148" s="79"/>
      <c r="D148" s="78">
        <f>IF($B148="","",IF($C148="",$E148,IF($C148="","",IFERROR(IF(INDEX('PEOPLE + BUDGETS'!$C$6:$C$105,MATCH($C148,'PEOPLE + BUDGETS'!$B$6:$B$105,0))="","",INDEX('PEOPLE + BUDGETS'!$C$6:$C$105,MATCH($C148,'PEOPLE + BUDGETS'!$B$6:$B$105,0))),""))))</f>
      </c>
      <c r="E148" s="79"/>
      <c r="F148" s="79"/>
      <c r="G148" s="79"/>
      <c r="H148" s="79"/>
      <c r="I148" s="86"/>
      <c r="J148" s="86"/>
      <c r="K148" s="79"/>
      <c r="L148" s="82"/>
      <c r="M148" s="79"/>
      <c r="N148" s="80"/>
      <c r="O148" s="78">
        <f>IF($B148="",0,IF(COUNTIF('CARDS + MAIL'!$B$6:$B$155,$B148)&gt;1,1,0))</f>
      </c>
      <c r="P148" s="78">
        <f>IF(OR(N($I148)&gt;0,N($J148)&gt;0),IF($H148="",1,IF(COUNTIF('MASTER BUDGET'!$D$6:$D$25,$H148)=0,1,0)),0)</f>
      </c>
      <c r="Q148" s="78">
        <f>IF($C148="",0,IF(COUNTIF('PEOPLE + BUDGETS'!$B$6:$B$105,$C148)=0,1,0))</f>
      </c>
      <c r="R148" s="75"/>
    </row>
    <row r="149" ht="17" customHeight="1" spans="1:18" x14ac:dyDescent="0.25">
      <c r="A149" s="75"/>
      <c r="B149" s="79"/>
      <c r="C149" s="79"/>
      <c r="D149" s="78">
        <f>IF($B149="","",IF($C149="",$E149,IF($C149="","",IFERROR(IF(INDEX('PEOPLE + BUDGETS'!$C$6:$C$105,MATCH($C149,'PEOPLE + BUDGETS'!$B$6:$B$105,0))="","",INDEX('PEOPLE + BUDGETS'!$C$6:$C$105,MATCH($C149,'PEOPLE + BUDGETS'!$B$6:$B$105,0))),""))))</f>
      </c>
      <c r="E149" s="79"/>
      <c r="F149" s="79"/>
      <c r="G149" s="79"/>
      <c r="H149" s="79"/>
      <c r="I149" s="86"/>
      <c r="J149" s="86"/>
      <c r="K149" s="79"/>
      <c r="L149" s="82"/>
      <c r="M149" s="79"/>
      <c r="N149" s="80"/>
      <c r="O149" s="78">
        <f>IF($B149="",0,IF(COUNTIF('CARDS + MAIL'!$B$6:$B$155,$B149)&gt;1,1,0))</f>
      </c>
      <c r="P149" s="78">
        <f>IF(OR(N($I149)&gt;0,N($J149)&gt;0),IF($H149="",1,IF(COUNTIF('MASTER BUDGET'!$D$6:$D$25,$H149)=0,1,0)),0)</f>
      </c>
      <c r="Q149" s="78">
        <f>IF($C149="",0,IF(COUNTIF('PEOPLE + BUDGETS'!$B$6:$B$105,$C149)=0,1,0))</f>
      </c>
      <c r="R149" s="75"/>
    </row>
    <row r="150" ht="17" customHeight="1" spans="1:18" x14ac:dyDescent="0.25">
      <c r="A150" s="75"/>
      <c r="B150" s="79"/>
      <c r="C150" s="79"/>
      <c r="D150" s="78">
        <f>IF($B150="","",IF($C150="",$E150,IF($C150="","",IFERROR(IF(INDEX('PEOPLE + BUDGETS'!$C$6:$C$105,MATCH($C150,'PEOPLE + BUDGETS'!$B$6:$B$105,0))="","",INDEX('PEOPLE + BUDGETS'!$C$6:$C$105,MATCH($C150,'PEOPLE + BUDGETS'!$B$6:$B$105,0))),""))))</f>
      </c>
      <c r="E150" s="79"/>
      <c r="F150" s="79"/>
      <c r="G150" s="79"/>
      <c r="H150" s="79"/>
      <c r="I150" s="86"/>
      <c r="J150" s="86"/>
      <c r="K150" s="79"/>
      <c r="L150" s="82"/>
      <c r="M150" s="79"/>
      <c r="N150" s="80"/>
      <c r="O150" s="78">
        <f>IF($B150="",0,IF(COUNTIF('CARDS + MAIL'!$B$6:$B$155,$B150)&gt;1,1,0))</f>
      </c>
      <c r="P150" s="78">
        <f>IF(OR(N($I150)&gt;0,N($J150)&gt;0),IF($H150="",1,IF(COUNTIF('MASTER BUDGET'!$D$6:$D$25,$H150)=0,1,0)),0)</f>
      </c>
      <c r="Q150" s="78">
        <f>IF($C150="",0,IF(COUNTIF('PEOPLE + BUDGETS'!$B$6:$B$105,$C150)=0,1,0))</f>
      </c>
      <c r="R150" s="75"/>
    </row>
    <row r="151" ht="17" customHeight="1" spans="1:18" x14ac:dyDescent="0.25">
      <c r="A151" s="75"/>
      <c r="B151" s="79"/>
      <c r="C151" s="79"/>
      <c r="D151" s="78">
        <f>IF($B151="","",IF($C151="",$E151,IF($C151="","",IFERROR(IF(INDEX('PEOPLE + BUDGETS'!$C$6:$C$105,MATCH($C151,'PEOPLE + BUDGETS'!$B$6:$B$105,0))="","",INDEX('PEOPLE + BUDGETS'!$C$6:$C$105,MATCH($C151,'PEOPLE + BUDGETS'!$B$6:$B$105,0))),""))))</f>
      </c>
      <c r="E151" s="79"/>
      <c r="F151" s="79"/>
      <c r="G151" s="79"/>
      <c r="H151" s="79"/>
      <c r="I151" s="86"/>
      <c r="J151" s="86"/>
      <c r="K151" s="79"/>
      <c r="L151" s="82"/>
      <c r="M151" s="79"/>
      <c r="N151" s="80"/>
      <c r="O151" s="78">
        <f>IF($B151="",0,IF(COUNTIF('CARDS + MAIL'!$B$6:$B$155,$B151)&gt;1,1,0))</f>
      </c>
      <c r="P151" s="78">
        <f>IF(OR(N($I151)&gt;0,N($J151)&gt;0),IF($H151="",1,IF(COUNTIF('MASTER BUDGET'!$D$6:$D$25,$H151)=0,1,0)),0)</f>
      </c>
      <c r="Q151" s="78">
        <f>IF($C151="",0,IF(COUNTIF('PEOPLE + BUDGETS'!$B$6:$B$105,$C151)=0,1,0))</f>
      </c>
      <c r="R151" s="75"/>
    </row>
    <row r="152" ht="17" customHeight="1" spans="1:18" x14ac:dyDescent="0.25">
      <c r="A152" s="75"/>
      <c r="B152" s="79"/>
      <c r="C152" s="79"/>
      <c r="D152" s="78">
        <f>IF($B152="","",IF($C152="",$E152,IF($C152="","",IFERROR(IF(INDEX('PEOPLE + BUDGETS'!$C$6:$C$105,MATCH($C152,'PEOPLE + BUDGETS'!$B$6:$B$105,0))="","",INDEX('PEOPLE + BUDGETS'!$C$6:$C$105,MATCH($C152,'PEOPLE + BUDGETS'!$B$6:$B$105,0))),""))))</f>
      </c>
      <c r="E152" s="79"/>
      <c r="F152" s="79"/>
      <c r="G152" s="79"/>
      <c r="H152" s="79"/>
      <c r="I152" s="86"/>
      <c r="J152" s="86"/>
      <c r="K152" s="79"/>
      <c r="L152" s="82"/>
      <c r="M152" s="79"/>
      <c r="N152" s="80"/>
      <c r="O152" s="78">
        <f>IF($B152="",0,IF(COUNTIF('CARDS + MAIL'!$B$6:$B$155,$B152)&gt;1,1,0))</f>
      </c>
      <c r="P152" s="78">
        <f>IF(OR(N($I152)&gt;0,N($J152)&gt;0),IF($H152="",1,IF(COUNTIF('MASTER BUDGET'!$D$6:$D$25,$H152)=0,1,0)),0)</f>
      </c>
      <c r="Q152" s="78">
        <f>IF($C152="",0,IF(COUNTIF('PEOPLE + BUDGETS'!$B$6:$B$105,$C152)=0,1,0))</f>
      </c>
      <c r="R152" s="75"/>
    </row>
    <row r="153" ht="17" customHeight="1" spans="1:18" x14ac:dyDescent="0.25">
      <c r="A153" s="75"/>
      <c r="B153" s="79"/>
      <c r="C153" s="79"/>
      <c r="D153" s="78">
        <f>IF($B153="","",IF($C153="",$E153,IF($C153="","",IFERROR(IF(INDEX('PEOPLE + BUDGETS'!$C$6:$C$105,MATCH($C153,'PEOPLE + BUDGETS'!$B$6:$B$105,0))="","",INDEX('PEOPLE + BUDGETS'!$C$6:$C$105,MATCH($C153,'PEOPLE + BUDGETS'!$B$6:$B$105,0))),""))))</f>
      </c>
      <c r="E153" s="79"/>
      <c r="F153" s="79"/>
      <c r="G153" s="79"/>
      <c r="H153" s="79"/>
      <c r="I153" s="86"/>
      <c r="J153" s="86"/>
      <c r="K153" s="79"/>
      <c r="L153" s="82"/>
      <c r="M153" s="79"/>
      <c r="N153" s="80"/>
      <c r="O153" s="78">
        <f>IF($B153="",0,IF(COUNTIF('CARDS + MAIL'!$B$6:$B$155,$B153)&gt;1,1,0))</f>
      </c>
      <c r="P153" s="78">
        <f>IF(OR(N($I153)&gt;0,N($J153)&gt;0),IF($H153="",1,IF(COUNTIF('MASTER BUDGET'!$D$6:$D$25,$H153)=0,1,0)),0)</f>
      </c>
      <c r="Q153" s="78">
        <f>IF($C153="",0,IF(COUNTIF('PEOPLE + BUDGETS'!$B$6:$B$105,$C153)=0,1,0))</f>
      </c>
      <c r="R153" s="75"/>
    </row>
    <row r="154" ht="17" customHeight="1" spans="1:18" x14ac:dyDescent="0.25">
      <c r="A154" s="75"/>
      <c r="B154" s="79"/>
      <c r="C154" s="79"/>
      <c r="D154" s="78">
        <f>IF($B154="","",IF($C154="",$E154,IF($C154="","",IFERROR(IF(INDEX('PEOPLE + BUDGETS'!$C$6:$C$105,MATCH($C154,'PEOPLE + BUDGETS'!$B$6:$B$105,0))="","",INDEX('PEOPLE + BUDGETS'!$C$6:$C$105,MATCH($C154,'PEOPLE + BUDGETS'!$B$6:$B$105,0))),""))))</f>
      </c>
      <c r="E154" s="79"/>
      <c r="F154" s="79"/>
      <c r="G154" s="79"/>
      <c r="H154" s="79"/>
      <c r="I154" s="86"/>
      <c r="J154" s="86"/>
      <c r="K154" s="79"/>
      <c r="L154" s="82"/>
      <c r="M154" s="79"/>
      <c r="N154" s="80"/>
      <c r="O154" s="78">
        <f>IF($B154="",0,IF(COUNTIF('CARDS + MAIL'!$B$6:$B$155,$B154)&gt;1,1,0))</f>
      </c>
      <c r="P154" s="78">
        <f>IF(OR(N($I154)&gt;0,N($J154)&gt;0),IF($H154="",1,IF(COUNTIF('MASTER BUDGET'!$D$6:$D$25,$H154)=0,1,0)),0)</f>
      </c>
      <c r="Q154" s="78">
        <f>IF($C154="",0,IF(COUNTIF('PEOPLE + BUDGETS'!$B$6:$B$105,$C154)=0,1,0))</f>
      </c>
      <c r="R154" s="75"/>
    </row>
    <row r="155" ht="17" customHeight="1" spans="1:18" x14ac:dyDescent="0.25">
      <c r="A155" s="75"/>
      <c r="B155" s="79"/>
      <c r="C155" s="79"/>
      <c r="D155" s="78">
        <f>IF($B155="","",IF($C155="",$E155,IF($C155="","",IFERROR(IF(INDEX('PEOPLE + BUDGETS'!$C$6:$C$105,MATCH($C155,'PEOPLE + BUDGETS'!$B$6:$B$105,0))="","",INDEX('PEOPLE + BUDGETS'!$C$6:$C$105,MATCH($C155,'PEOPLE + BUDGETS'!$B$6:$B$105,0))),""))))</f>
      </c>
      <c r="E155" s="79"/>
      <c r="F155" s="79"/>
      <c r="G155" s="79"/>
      <c r="H155" s="79"/>
      <c r="I155" s="86"/>
      <c r="J155" s="86"/>
      <c r="K155" s="79"/>
      <c r="L155" s="82"/>
      <c r="M155" s="79"/>
      <c r="N155" s="80"/>
      <c r="O155" s="78">
        <f>IF($B155="",0,IF(COUNTIF('CARDS + MAIL'!$B$6:$B$155,$B155)&gt;1,1,0))</f>
      </c>
      <c r="P155" s="78">
        <f>IF(OR(N($I155)&gt;0,N($J155)&gt;0),IF($H155="",1,IF(COUNTIF('MASTER BUDGET'!$D$6:$D$25,$H155)=0,1,0)),0)</f>
      </c>
      <c r="Q155" s="78">
        <f>IF($C155="",0,IF(COUNTIF('PEOPLE + BUDGETS'!$B$6:$B$105,$C155)=0,1,0))</f>
      </c>
      <c r="R155" s="75"/>
    </row>
  </sheetData>
  <autoFilter ref="B5:Q155"/>
  <mergeCells count="1">
    <mergeCell ref="B1:C1"/>
  </mergeCells>
  <dataValidations count="7">
    <dataValidation type="list" allowBlank="1" showErrorMessage="1" errorStyle="warning" errorTitle="Not one of the usual values" error="This column normally uses a value from the AddressStatus list on LISTS. You can keep what you typed, or add it to the list so it appears in the dropdown." sqref="F6:F155">
      <formula1>=List_AddressStatus</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H6:H155">
      <formula1>=List_BudgetCategory</formula1>
    </dataValidation>
    <dataValidation type="custom" allowBlank="1" showErrorMessage="1" errorStyle="warning" errorTitle="That looks like text" error="Type the number on its own — no currency symbol and no words. The column adds the symbol for you." sqref="I6:I155">
      <formula1>=OR(I6="",ISNUMBER(I6))</formula1>
    </dataValidation>
    <dataValidation type="custom" allowBlank="1" showErrorMessage="1" errorStyle="warning" errorTitle="That looks like text" error="Type the number on its own — no currency symbol and no words. The column adds the symbol for you." sqref="J6:J155">
      <formula1>=OR(J6="",ISNUMBER(J6))</formula1>
    </dataValidation>
    <dataValidation type="list" allowBlank="1" showErrorMessage="1" errorStyle="warning" errorTitle="Not one of the usual values" error="This column normally uses a value from the CardStatus list on LISTS. You can keep what you typed, or add it to the list so it appears in the dropdown." sqref="K6:K155">
      <formula1>=List_CardStatus</formula1>
    </dataValidation>
    <dataValidation type="custom" allowBlank="1" showErrorMessage="1" errorStyle="warning" errorTitle="That is not a date yet" error="Type a real date, so the workbook can count days with it. &quot;Before Christmas&quot; cannot be sorted." sqref="L6:L155">
      <formula1>=OR(L6="",ISNUMBER(L6))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M6:M15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&amp;LCARDS + MAIL&amp;C&amp;P of &amp;N&amp;RThe Christmas Season Master Command Center™</oddFooter>
  </headerFooter>
  <legacyDrawing r:id="rId7"/>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W6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3" width="11" customWidth="1"/>
    <col min="4" max="4" width="28" customWidth="1"/>
    <col min="5" max="5" width="13" customWidth="1"/>
    <col min="6" max="6" width="18" customWidth="1"/>
    <col min="7" max="7" width="32" customWidth="1"/>
    <col min="8" max="8" width="20" customWidth="1"/>
    <col min="9" max="9" width="24" customWidth="1"/>
    <col min="10" max="10" width="28" customWidth="1"/>
    <col min="11" max="11" width="26" customWidth="1"/>
    <col min="12" max="12" width="13" customWidth="1"/>
    <col min="13" max="13" width="17" customWidth="1"/>
    <col min="14" max="15" width="13" customWidth="1"/>
    <col min="16" max="16" width="15" customWidth="1"/>
    <col min="17" max="17" width="20" customWidth="1"/>
    <col min="18" max="18" width="14" customWidth="1"/>
    <col min="19" max="19" width="34" customWidth="1"/>
    <col min="20" max="22" width="18" hidden="1" customWidth="1"/>
    <col min="23" max="23" width="2" customWidth="1"/>
  </cols>
  <sheetData>
    <row r="1" ht="21" customHeight="1" spans="1:23" x14ac:dyDescent="0.25">
      <c r="A1" s="62"/>
      <c r="B1" s="63" t="s">
        <v>8</v>
      </c>
      <c r="C1" s="63"/>
      <c r="D1" s="63" t="s">
        <v>9</v>
      </c>
      <c r="E1" s="63" t="s">
        <v>10</v>
      </c>
      <c r="F1" s="63" t="s">
        <v>11</v>
      </c>
      <c r="G1" s="63" t="s">
        <v>12</v>
      </c>
      <c r="H1" s="62"/>
      <c r="I1" s="62"/>
      <c r="J1" s="62"/>
      <c r="K1" s="62"/>
      <c r="L1" s="62"/>
      <c r="M1" s="62"/>
      <c r="N1" s="62"/>
      <c r="O1" s="62"/>
      <c r="P1" s="62"/>
      <c r="Q1" s="62"/>
      <c r="R1" s="62"/>
      <c r="S1" s="62"/>
      <c r="T1" s="62"/>
      <c r="U1" s="62"/>
      <c r="V1" s="62"/>
      <c r="W1" s="62"/>
    </row>
    <row r="2" ht="34" customHeight="1" spans="1:23" x14ac:dyDescent="0.25">
      <c r="A2" s="64"/>
      <c r="B2" s="65" t="s">
        <v>752</v>
      </c>
      <c r="C2" s="64"/>
      <c r="D2" s="64"/>
      <c r="E2" s="64"/>
      <c r="F2" s="64"/>
      <c r="G2" s="64"/>
      <c r="H2" s="64"/>
      <c r="I2" s="64"/>
      <c r="J2" s="64"/>
      <c r="K2" s="64"/>
      <c r="L2" s="64"/>
      <c r="M2" s="64"/>
      <c r="N2" s="64"/>
      <c r="O2" s="64"/>
      <c r="P2" s="64"/>
      <c r="Q2" s="64"/>
      <c r="R2" s="64"/>
      <c r="S2" s="64"/>
      <c r="T2" s="64"/>
      <c r="U2" s="64"/>
      <c r="V2" s="64"/>
      <c r="W2" s="64"/>
    </row>
    <row r="3" ht="18" customHeight="1" spans="1:23" x14ac:dyDescent="0.25">
      <c r="A3" s="64"/>
      <c r="B3" s="66" t="s">
        <v>753</v>
      </c>
      <c r="C3" s="64"/>
      <c r="D3" s="64"/>
      <c r="E3" s="64"/>
      <c r="F3" s="64"/>
      <c r="G3" s="64"/>
      <c r="H3" s="64"/>
      <c r="I3" s="64"/>
      <c r="J3" s="64"/>
      <c r="K3" s="64"/>
      <c r="L3" s="64"/>
      <c r="M3" s="64"/>
      <c r="N3" s="64"/>
      <c r="O3" s="64"/>
      <c r="P3" s="64"/>
      <c r="Q3" s="64"/>
      <c r="R3" s="64"/>
      <c r="S3" s="64"/>
      <c r="T3" s="64"/>
      <c r="U3" s="64"/>
      <c r="V3" s="64"/>
      <c r="W3" s="64"/>
    </row>
    <row r="4" ht="17" customHeight="1" spans="1:23" x14ac:dyDescent="0.25">
      <c r="A4" s="64"/>
      <c r="B4" s="67" t="s">
        <v>160</v>
      </c>
      <c r="C4" s="64"/>
      <c r="D4" s="64"/>
      <c r="E4" s="64"/>
      <c r="F4" s="64"/>
      <c r="G4" s="64"/>
      <c r="H4" s="64"/>
      <c r="I4" s="64"/>
      <c r="J4" s="64"/>
      <c r="K4" s="64"/>
      <c r="L4" s="64"/>
      <c r="M4" s="64"/>
      <c r="N4" s="64"/>
      <c r="O4" s="64"/>
      <c r="P4" s="64"/>
      <c r="Q4" s="64"/>
      <c r="R4" s="64"/>
      <c r="S4" s="64"/>
      <c r="T4" s="64"/>
      <c r="U4" s="64"/>
      <c r="V4" s="64"/>
      <c r="W4" s="64"/>
    </row>
    <row r="5" ht="32" customHeight="1" spans="1:23" x14ac:dyDescent="0.25">
      <c r="A5" s="73"/>
      <c r="B5" s="74" t="s">
        <v>754</v>
      </c>
      <c r="C5" s="74" t="s">
        <v>448</v>
      </c>
      <c r="D5" s="74" t="s">
        <v>431</v>
      </c>
      <c r="E5" s="74" t="s">
        <v>412</v>
      </c>
      <c r="F5" s="74" t="s">
        <v>703</v>
      </c>
      <c r="G5" s="74" t="s">
        <v>755</v>
      </c>
      <c r="H5" s="74" t="s">
        <v>756</v>
      </c>
      <c r="I5" s="74" t="s">
        <v>757</v>
      </c>
      <c r="J5" s="74" t="s">
        <v>758</v>
      </c>
      <c r="K5" s="74" t="s">
        <v>759</v>
      </c>
      <c r="L5" s="74" t="s">
        <v>760</v>
      </c>
      <c r="M5" s="74" t="s">
        <v>300</v>
      </c>
      <c r="N5" s="74" t="s">
        <v>309</v>
      </c>
      <c r="O5" s="74" t="s">
        <v>310</v>
      </c>
      <c r="P5" s="74" t="s">
        <v>260</v>
      </c>
      <c r="Q5" s="74" t="s">
        <v>761</v>
      </c>
      <c r="R5" s="74" t="s">
        <v>422</v>
      </c>
      <c r="S5" s="74" t="s">
        <v>179</v>
      </c>
      <c r="T5" s="74" t="s">
        <v>180</v>
      </c>
      <c r="U5" s="74" t="s">
        <v>323</v>
      </c>
      <c r="V5" s="74" t="s">
        <v>458</v>
      </c>
      <c r="W5" s="73"/>
    </row>
    <row r="6" ht="17" customHeight="1" spans="1:23" x14ac:dyDescent="0.25">
      <c r="A6" s="75"/>
      <c r="B6" s="76" t="s">
        <v>762</v>
      </c>
      <c r="C6" s="76" t="s">
        <v>429</v>
      </c>
      <c r="D6" s="92">
        <f>IF($B6="","",IF($C6="","",IFERROR(IF(INDEX('CHRISTMAS CALENDAR'!$F$6:$F$205,MATCH($C6,'CHRISTMAS CALENDAR'!$B$6:$B$205,0))="","",INDEX('CHRISTMAS CALENDAR'!$F$6:$F$205,MATCH($C6,'CHRISTMAS CALENDAR'!$B$6:$B$205,0))),"")))</f>
      </c>
      <c r="E6" s="93">
        <f>IF($B6="","",IF($C6="","",IFERROR(IF(INDEX('CHRISTMAS CALENDAR'!$C$6:$C$205,MATCH($C6,'CHRISTMAS CALENDAR'!$B$6:$B$205,0))="","",INDEX('CHRISTMAS CALENDAR'!$C$6:$C$205,MATCH($C6,'CHRISTMAS CALENDAR'!$B$6:$B$205,0))),"")))</f>
      </c>
      <c r="F6" s="76" t="s">
        <v>184</v>
      </c>
      <c r="G6" s="77" t="s">
        <v>763</v>
      </c>
      <c r="H6" s="76" t="s">
        <v>764</v>
      </c>
      <c r="I6" s="76" t="s">
        <v>765</v>
      </c>
      <c r="J6" s="77" t="s">
        <v>766</v>
      </c>
      <c r="K6" s="77" t="s">
        <v>767</v>
      </c>
      <c r="L6" s="81">
        <v>46364</v>
      </c>
      <c r="M6" s="76" t="s">
        <v>285</v>
      </c>
      <c r="N6" s="84">
        <v>180</v>
      </c>
      <c r="O6" s="84"/>
      <c r="P6" s="76" t="s">
        <v>768</v>
      </c>
      <c r="Q6" s="76" t="s">
        <v>769</v>
      </c>
      <c r="R6" s="78">
        <f>IF($B6="","",IF(OR($P6="Ready",$P6="Worn"),"COMPLETE",IF($L6="","NO DATE",IF($L6&lt;TODAY(),"OVERDUE",IF($L6-TODAY()&lt;=7,"THIS WEEK","SCHEDULED")))))</f>
      </c>
      <c r="S6" s="77" t="s">
        <v>186</v>
      </c>
      <c r="T6" s="78">
        <f>IF($B6="",0,IF(COUNTIF('EVENTS + WARDROBE'!$B$6:$B$65,$B6)&gt;1,1,0))</f>
      </c>
      <c r="U6" s="78">
        <f>IF(OR(N($N6)&gt;0,N($O6)&gt;0),IF($M6="",1,IF(COUNTIF('MASTER BUDGET'!$D$6:$D$25,$M6)=0,1,0)),0)</f>
      </c>
      <c r="V6" s="78">
        <f>IF($C6="",0,IF(COUNTIF('CHRISTMAS CALENDAR'!$B$6:$B$205,$C6)=0,1,0))</f>
      </c>
      <c r="W6" s="75"/>
    </row>
    <row r="7" ht="17" customHeight="1" spans="1:23" x14ac:dyDescent="0.25">
      <c r="A7" s="75"/>
      <c r="B7" s="76" t="s">
        <v>770</v>
      </c>
      <c r="C7" s="76" t="s">
        <v>429</v>
      </c>
      <c r="D7" s="92">
        <f>IF($B7="","",IF($C7="","",IFERROR(IF(INDEX('CHRISTMAS CALENDAR'!$F$6:$F$205,MATCH($C7,'CHRISTMAS CALENDAR'!$B$6:$B$205,0))="","",INDEX('CHRISTMAS CALENDAR'!$F$6:$F$205,MATCH($C7,'CHRISTMAS CALENDAR'!$B$6:$B$205,0))),"")))</f>
      </c>
      <c r="E7" s="93">
        <f>IF($B7="","",IF($C7="","",IFERROR(IF(INDEX('CHRISTMAS CALENDAR'!$C$6:$C$205,MATCH($C7,'CHRISTMAS CALENDAR'!$B$6:$B$205,0))="","",INDEX('CHRISTMAS CALENDAR'!$C$6:$C$205,MATCH($C7,'CHRISTMAS CALENDAR'!$B$6:$B$205,0))),"")))</f>
      </c>
      <c r="F7" s="76" t="s">
        <v>543</v>
      </c>
      <c r="G7" s="77" t="s">
        <v>771</v>
      </c>
      <c r="H7" s="76" t="s">
        <v>772</v>
      </c>
      <c r="I7" s="76" t="s">
        <v>379</v>
      </c>
      <c r="J7" s="77" t="s">
        <v>773</v>
      </c>
      <c r="K7" s="77"/>
      <c r="L7" s="81">
        <v>46366</v>
      </c>
      <c r="M7" s="76" t="s">
        <v>285</v>
      </c>
      <c r="N7" s="84">
        <v>45</v>
      </c>
      <c r="O7" s="84"/>
      <c r="P7" s="76" t="s">
        <v>774</v>
      </c>
      <c r="Q7" s="76" t="s">
        <v>775</v>
      </c>
      <c r="R7" s="78">
        <f>IF($B7="","",IF(OR($P7="Ready",$P7="Worn"),"COMPLETE",IF($L7="","NO DATE",IF($L7&lt;TODAY(),"OVERDUE",IF($L7-TODAY()&lt;=7,"THIS WEEK","SCHEDULED")))))</f>
      </c>
      <c r="S7" s="77" t="s">
        <v>186</v>
      </c>
      <c r="T7" s="78">
        <f>IF($B7="",0,IF(COUNTIF('EVENTS + WARDROBE'!$B$6:$B$65,$B7)&gt;1,1,0))</f>
      </c>
      <c r="U7" s="78">
        <f>IF(OR(N($N7)&gt;0,N($O7)&gt;0),IF($M7="",1,IF(COUNTIF('MASTER BUDGET'!$D$6:$D$25,$M7)=0,1,0)),0)</f>
      </c>
      <c r="V7" s="78">
        <f>IF($C7="",0,IF(COUNTIF('CHRISTMAS CALENDAR'!$B$6:$B$205,$C7)=0,1,0))</f>
      </c>
      <c r="W7" s="75"/>
    </row>
    <row r="8" ht="17" customHeight="1" spans="1:23" x14ac:dyDescent="0.25">
      <c r="A8" s="75"/>
      <c r="B8" s="76" t="s">
        <v>776</v>
      </c>
      <c r="C8" s="76"/>
      <c r="D8" s="92">
        <f>IF($B8="","",IF($C8="","",IFERROR(IF(INDEX('CHRISTMAS CALENDAR'!$F$6:$F$205,MATCH($C8,'CHRISTMAS CALENDAR'!$B$6:$B$205,0))="","",INDEX('CHRISTMAS CALENDAR'!$F$6:$F$205,MATCH($C8,'CHRISTMAS CALENDAR'!$B$6:$B$205,0))),"")))</f>
      </c>
      <c r="E8" s="93">
        <f>IF($B8="","",IF($C8="","",IFERROR(IF(INDEX('CHRISTMAS CALENDAR'!$C$6:$C$205,MATCH($C8,'CHRISTMAS CALENDAR'!$B$6:$B$205,0))="","",INDEX('CHRISTMAS CALENDAR'!$C$6:$C$205,MATCH($C8,'CHRISTMAS CALENDAR'!$B$6:$B$205,0))),"")))</f>
      </c>
      <c r="F8" s="76" t="s">
        <v>184</v>
      </c>
      <c r="G8" s="77" t="s">
        <v>777</v>
      </c>
      <c r="H8" s="76" t="s">
        <v>772</v>
      </c>
      <c r="I8" s="76" t="s">
        <v>379</v>
      </c>
      <c r="J8" s="77" t="s">
        <v>778</v>
      </c>
      <c r="K8" s="77"/>
      <c r="L8" s="81"/>
      <c r="M8" s="76" t="s">
        <v>285</v>
      </c>
      <c r="N8" s="84">
        <v>0</v>
      </c>
      <c r="O8" s="84"/>
      <c r="P8" s="76" t="s">
        <v>779</v>
      </c>
      <c r="Q8" s="76" t="s">
        <v>780</v>
      </c>
      <c r="R8" s="78">
        <f>IF($B8="","",IF(OR($P8="Ready",$P8="Worn"),"COMPLETE",IF($L8="","NO DATE",IF($L8&lt;TODAY(),"OVERDUE",IF($L8-TODAY()&lt;=7,"THIS WEEK","SCHEDULED")))))</f>
      </c>
      <c r="S8" s="77" t="s">
        <v>186</v>
      </c>
      <c r="T8" s="78">
        <f>IF($B8="",0,IF(COUNTIF('EVENTS + WARDROBE'!$B$6:$B$65,$B8)&gt;1,1,0))</f>
      </c>
      <c r="U8" s="78">
        <f>IF(OR(N($N8)&gt;0,N($O8)&gt;0),IF($M8="",1,IF(COUNTIF('MASTER BUDGET'!$D$6:$D$25,$M8)=0,1,0)),0)</f>
      </c>
      <c r="V8" s="78">
        <f>IF($C8="",0,IF(COUNTIF('CHRISTMAS CALENDAR'!$B$6:$B$205,$C8)=0,1,0))</f>
      </c>
      <c r="W8" s="75"/>
    </row>
    <row r="9" ht="17" customHeight="1" spans="1:23" x14ac:dyDescent="0.25">
      <c r="A9" s="75"/>
      <c r="B9" s="79"/>
      <c r="C9" s="79"/>
      <c r="D9" s="92">
        <f>IF($B9="","",IF($C9="","",IFERROR(IF(INDEX('CHRISTMAS CALENDAR'!$F$6:$F$205,MATCH($C9,'CHRISTMAS CALENDAR'!$B$6:$B$205,0))="","",INDEX('CHRISTMAS CALENDAR'!$F$6:$F$205,MATCH($C9,'CHRISTMAS CALENDAR'!$B$6:$B$205,0))),"")))</f>
      </c>
      <c r="E9" s="93">
        <f>IF($B9="","",IF($C9="","",IFERROR(IF(INDEX('CHRISTMAS CALENDAR'!$C$6:$C$205,MATCH($C9,'CHRISTMAS CALENDAR'!$B$6:$B$205,0))="","",INDEX('CHRISTMAS CALENDAR'!$C$6:$C$205,MATCH($C9,'CHRISTMAS CALENDAR'!$B$6:$B$205,0))),"")))</f>
      </c>
      <c r="F9" s="79"/>
      <c r="G9" s="80"/>
      <c r="H9" s="79"/>
      <c r="I9" s="79"/>
      <c r="J9" s="80"/>
      <c r="K9" s="80"/>
      <c r="L9" s="82"/>
      <c r="M9" s="79"/>
      <c r="N9" s="86"/>
      <c r="O9" s="86"/>
      <c r="P9" s="79"/>
      <c r="Q9" s="79"/>
      <c r="R9" s="78">
        <f>IF($B9="","",IF(OR($P9="Ready",$P9="Worn"),"COMPLETE",IF($L9="","NO DATE",IF($L9&lt;TODAY(),"OVERDUE",IF($L9-TODAY()&lt;=7,"THIS WEEK","SCHEDULED")))))</f>
      </c>
      <c r="S9" s="80"/>
      <c r="T9" s="78">
        <f>IF($B9="",0,IF(COUNTIF('EVENTS + WARDROBE'!$B$6:$B$65,$B9)&gt;1,1,0))</f>
      </c>
      <c r="U9" s="78">
        <f>IF(OR(N($N9)&gt;0,N($O9)&gt;0),IF($M9="",1,IF(COUNTIF('MASTER BUDGET'!$D$6:$D$25,$M9)=0,1,0)),0)</f>
      </c>
      <c r="V9" s="78">
        <f>IF($C9="",0,IF(COUNTIF('CHRISTMAS CALENDAR'!$B$6:$B$205,$C9)=0,1,0))</f>
      </c>
      <c r="W9" s="75"/>
    </row>
    <row r="10" ht="17" customHeight="1" spans="1:23" x14ac:dyDescent="0.25">
      <c r="A10" s="75"/>
      <c r="B10" s="79"/>
      <c r="C10" s="79"/>
      <c r="D10" s="92">
        <f>IF($B10="","",IF($C10="","",IFERROR(IF(INDEX('CHRISTMAS CALENDAR'!$F$6:$F$205,MATCH($C10,'CHRISTMAS CALENDAR'!$B$6:$B$205,0))="","",INDEX('CHRISTMAS CALENDAR'!$F$6:$F$205,MATCH($C10,'CHRISTMAS CALENDAR'!$B$6:$B$205,0))),"")))</f>
      </c>
      <c r="E10" s="93">
        <f>IF($B10="","",IF($C10="","",IFERROR(IF(INDEX('CHRISTMAS CALENDAR'!$C$6:$C$205,MATCH($C10,'CHRISTMAS CALENDAR'!$B$6:$B$205,0))="","",INDEX('CHRISTMAS CALENDAR'!$C$6:$C$205,MATCH($C10,'CHRISTMAS CALENDAR'!$B$6:$B$205,0))),"")))</f>
      </c>
      <c r="F10" s="79"/>
      <c r="G10" s="80"/>
      <c r="H10" s="79"/>
      <c r="I10" s="79"/>
      <c r="J10" s="80"/>
      <c r="K10" s="80"/>
      <c r="L10" s="82"/>
      <c r="M10" s="79"/>
      <c r="N10" s="86"/>
      <c r="O10" s="86"/>
      <c r="P10" s="79"/>
      <c r="Q10" s="79"/>
      <c r="R10" s="78">
        <f>IF($B10="","",IF(OR($P10="Ready",$P10="Worn"),"COMPLETE",IF($L10="","NO DATE",IF($L10&lt;TODAY(),"OVERDUE",IF($L10-TODAY()&lt;=7,"THIS WEEK","SCHEDULED")))))</f>
      </c>
      <c r="S10" s="80"/>
      <c r="T10" s="78">
        <f>IF($B10="",0,IF(COUNTIF('EVENTS + WARDROBE'!$B$6:$B$65,$B10)&gt;1,1,0))</f>
      </c>
      <c r="U10" s="78">
        <f>IF(OR(N($N10)&gt;0,N($O10)&gt;0),IF($M10="",1,IF(COUNTIF('MASTER BUDGET'!$D$6:$D$25,$M10)=0,1,0)),0)</f>
      </c>
      <c r="V10" s="78">
        <f>IF($C10="",0,IF(COUNTIF('CHRISTMAS CALENDAR'!$B$6:$B$205,$C10)=0,1,0))</f>
      </c>
      <c r="W10" s="75"/>
    </row>
    <row r="11" ht="17" customHeight="1" spans="1:23" x14ac:dyDescent="0.25">
      <c r="A11" s="75"/>
      <c r="B11" s="79"/>
      <c r="C11" s="79"/>
      <c r="D11" s="92">
        <f>IF($B11="","",IF($C11="","",IFERROR(IF(INDEX('CHRISTMAS CALENDAR'!$F$6:$F$205,MATCH($C11,'CHRISTMAS CALENDAR'!$B$6:$B$205,0))="","",INDEX('CHRISTMAS CALENDAR'!$F$6:$F$205,MATCH($C11,'CHRISTMAS CALENDAR'!$B$6:$B$205,0))),"")))</f>
      </c>
      <c r="E11" s="93">
        <f>IF($B11="","",IF($C11="","",IFERROR(IF(INDEX('CHRISTMAS CALENDAR'!$C$6:$C$205,MATCH($C11,'CHRISTMAS CALENDAR'!$B$6:$B$205,0))="","",INDEX('CHRISTMAS CALENDAR'!$C$6:$C$205,MATCH($C11,'CHRISTMAS CALENDAR'!$B$6:$B$205,0))),"")))</f>
      </c>
      <c r="F11" s="79"/>
      <c r="G11" s="80"/>
      <c r="H11" s="79"/>
      <c r="I11" s="79"/>
      <c r="J11" s="80"/>
      <c r="K11" s="80"/>
      <c r="L11" s="82"/>
      <c r="M11" s="79"/>
      <c r="N11" s="86"/>
      <c r="O11" s="86"/>
      <c r="P11" s="79"/>
      <c r="Q11" s="79"/>
      <c r="R11" s="78">
        <f>IF($B11="","",IF(OR($P11="Ready",$P11="Worn"),"COMPLETE",IF($L11="","NO DATE",IF($L11&lt;TODAY(),"OVERDUE",IF($L11-TODAY()&lt;=7,"THIS WEEK","SCHEDULED")))))</f>
      </c>
      <c r="S11" s="80"/>
      <c r="T11" s="78">
        <f>IF($B11="",0,IF(COUNTIF('EVENTS + WARDROBE'!$B$6:$B$65,$B11)&gt;1,1,0))</f>
      </c>
      <c r="U11" s="78">
        <f>IF(OR(N($N11)&gt;0,N($O11)&gt;0),IF($M11="",1,IF(COUNTIF('MASTER BUDGET'!$D$6:$D$25,$M11)=0,1,0)),0)</f>
      </c>
      <c r="V11" s="78">
        <f>IF($C11="",0,IF(COUNTIF('CHRISTMAS CALENDAR'!$B$6:$B$205,$C11)=0,1,0))</f>
      </c>
      <c r="W11" s="75"/>
    </row>
    <row r="12" ht="17" customHeight="1" spans="1:23" x14ac:dyDescent="0.25">
      <c r="A12" s="75"/>
      <c r="B12" s="79"/>
      <c r="C12" s="79"/>
      <c r="D12" s="92">
        <f>IF($B12="","",IF($C12="","",IFERROR(IF(INDEX('CHRISTMAS CALENDAR'!$F$6:$F$205,MATCH($C12,'CHRISTMAS CALENDAR'!$B$6:$B$205,0))="","",INDEX('CHRISTMAS CALENDAR'!$F$6:$F$205,MATCH($C12,'CHRISTMAS CALENDAR'!$B$6:$B$205,0))),"")))</f>
      </c>
      <c r="E12" s="93">
        <f>IF($B12="","",IF($C12="","",IFERROR(IF(INDEX('CHRISTMAS CALENDAR'!$C$6:$C$205,MATCH($C12,'CHRISTMAS CALENDAR'!$B$6:$B$205,0))="","",INDEX('CHRISTMAS CALENDAR'!$C$6:$C$205,MATCH($C12,'CHRISTMAS CALENDAR'!$B$6:$B$205,0))),"")))</f>
      </c>
      <c r="F12" s="79"/>
      <c r="G12" s="80"/>
      <c r="H12" s="79"/>
      <c r="I12" s="79"/>
      <c r="J12" s="80"/>
      <c r="K12" s="80"/>
      <c r="L12" s="82"/>
      <c r="M12" s="79"/>
      <c r="N12" s="86"/>
      <c r="O12" s="86"/>
      <c r="P12" s="79"/>
      <c r="Q12" s="79"/>
      <c r="R12" s="78">
        <f>IF($B12="","",IF(OR($P12="Ready",$P12="Worn"),"COMPLETE",IF($L12="","NO DATE",IF($L12&lt;TODAY(),"OVERDUE",IF($L12-TODAY()&lt;=7,"THIS WEEK","SCHEDULED")))))</f>
      </c>
      <c r="S12" s="80"/>
      <c r="T12" s="78">
        <f>IF($B12="",0,IF(COUNTIF('EVENTS + WARDROBE'!$B$6:$B$65,$B12)&gt;1,1,0))</f>
      </c>
      <c r="U12" s="78">
        <f>IF(OR(N($N12)&gt;0,N($O12)&gt;0),IF($M12="",1,IF(COUNTIF('MASTER BUDGET'!$D$6:$D$25,$M12)=0,1,0)),0)</f>
      </c>
      <c r="V12" s="78">
        <f>IF($C12="",0,IF(COUNTIF('CHRISTMAS CALENDAR'!$B$6:$B$205,$C12)=0,1,0))</f>
      </c>
      <c r="W12" s="75"/>
    </row>
    <row r="13" ht="17" customHeight="1" spans="1:23" x14ac:dyDescent="0.25">
      <c r="A13" s="75"/>
      <c r="B13" s="79"/>
      <c r="C13" s="79"/>
      <c r="D13" s="92">
        <f>IF($B13="","",IF($C13="","",IFERROR(IF(INDEX('CHRISTMAS CALENDAR'!$F$6:$F$205,MATCH($C13,'CHRISTMAS CALENDAR'!$B$6:$B$205,0))="","",INDEX('CHRISTMAS CALENDAR'!$F$6:$F$205,MATCH($C13,'CHRISTMAS CALENDAR'!$B$6:$B$205,0))),"")))</f>
      </c>
      <c r="E13" s="93">
        <f>IF($B13="","",IF($C13="","",IFERROR(IF(INDEX('CHRISTMAS CALENDAR'!$C$6:$C$205,MATCH($C13,'CHRISTMAS CALENDAR'!$B$6:$B$205,0))="","",INDEX('CHRISTMAS CALENDAR'!$C$6:$C$205,MATCH($C13,'CHRISTMAS CALENDAR'!$B$6:$B$205,0))),"")))</f>
      </c>
      <c r="F13" s="79"/>
      <c r="G13" s="80"/>
      <c r="H13" s="79"/>
      <c r="I13" s="79"/>
      <c r="J13" s="80"/>
      <c r="K13" s="80"/>
      <c r="L13" s="82"/>
      <c r="M13" s="79"/>
      <c r="N13" s="86"/>
      <c r="O13" s="86"/>
      <c r="P13" s="79"/>
      <c r="Q13" s="79"/>
      <c r="R13" s="78">
        <f>IF($B13="","",IF(OR($P13="Ready",$P13="Worn"),"COMPLETE",IF($L13="","NO DATE",IF($L13&lt;TODAY(),"OVERDUE",IF($L13-TODAY()&lt;=7,"THIS WEEK","SCHEDULED")))))</f>
      </c>
      <c r="S13" s="80"/>
      <c r="T13" s="78">
        <f>IF($B13="",0,IF(COUNTIF('EVENTS + WARDROBE'!$B$6:$B$65,$B13)&gt;1,1,0))</f>
      </c>
      <c r="U13" s="78">
        <f>IF(OR(N($N13)&gt;0,N($O13)&gt;0),IF($M13="",1,IF(COUNTIF('MASTER BUDGET'!$D$6:$D$25,$M13)=0,1,0)),0)</f>
      </c>
      <c r="V13" s="78">
        <f>IF($C13="",0,IF(COUNTIF('CHRISTMAS CALENDAR'!$B$6:$B$205,$C13)=0,1,0))</f>
      </c>
      <c r="W13" s="75"/>
    </row>
    <row r="14" ht="17" customHeight="1" spans="1:23" x14ac:dyDescent="0.25">
      <c r="A14" s="75"/>
      <c r="B14" s="79"/>
      <c r="C14" s="79"/>
      <c r="D14" s="92">
        <f>IF($B14="","",IF($C14="","",IFERROR(IF(INDEX('CHRISTMAS CALENDAR'!$F$6:$F$205,MATCH($C14,'CHRISTMAS CALENDAR'!$B$6:$B$205,0))="","",INDEX('CHRISTMAS CALENDAR'!$F$6:$F$205,MATCH($C14,'CHRISTMAS CALENDAR'!$B$6:$B$205,0))),"")))</f>
      </c>
      <c r="E14" s="93">
        <f>IF($B14="","",IF($C14="","",IFERROR(IF(INDEX('CHRISTMAS CALENDAR'!$C$6:$C$205,MATCH($C14,'CHRISTMAS CALENDAR'!$B$6:$B$205,0))="","",INDEX('CHRISTMAS CALENDAR'!$C$6:$C$205,MATCH($C14,'CHRISTMAS CALENDAR'!$B$6:$B$205,0))),"")))</f>
      </c>
      <c r="F14" s="79"/>
      <c r="G14" s="80"/>
      <c r="H14" s="79"/>
      <c r="I14" s="79"/>
      <c r="J14" s="80"/>
      <c r="K14" s="80"/>
      <c r="L14" s="82"/>
      <c r="M14" s="79"/>
      <c r="N14" s="86"/>
      <c r="O14" s="86"/>
      <c r="P14" s="79"/>
      <c r="Q14" s="79"/>
      <c r="R14" s="78">
        <f>IF($B14="","",IF(OR($P14="Ready",$P14="Worn"),"COMPLETE",IF($L14="","NO DATE",IF($L14&lt;TODAY(),"OVERDUE",IF($L14-TODAY()&lt;=7,"THIS WEEK","SCHEDULED")))))</f>
      </c>
      <c r="S14" s="80"/>
      <c r="T14" s="78">
        <f>IF($B14="",0,IF(COUNTIF('EVENTS + WARDROBE'!$B$6:$B$65,$B14)&gt;1,1,0))</f>
      </c>
      <c r="U14" s="78">
        <f>IF(OR(N($N14)&gt;0,N($O14)&gt;0),IF($M14="",1,IF(COUNTIF('MASTER BUDGET'!$D$6:$D$25,$M14)=0,1,0)),0)</f>
      </c>
      <c r="V14" s="78">
        <f>IF($C14="",0,IF(COUNTIF('CHRISTMAS CALENDAR'!$B$6:$B$205,$C14)=0,1,0))</f>
      </c>
      <c r="W14" s="75"/>
    </row>
    <row r="15" ht="17" customHeight="1" spans="1:23" x14ac:dyDescent="0.25">
      <c r="A15" s="75"/>
      <c r="B15" s="79"/>
      <c r="C15" s="79"/>
      <c r="D15" s="92">
        <f>IF($B15="","",IF($C15="","",IFERROR(IF(INDEX('CHRISTMAS CALENDAR'!$F$6:$F$205,MATCH($C15,'CHRISTMAS CALENDAR'!$B$6:$B$205,0))="","",INDEX('CHRISTMAS CALENDAR'!$F$6:$F$205,MATCH($C15,'CHRISTMAS CALENDAR'!$B$6:$B$205,0))),"")))</f>
      </c>
      <c r="E15" s="93">
        <f>IF($B15="","",IF($C15="","",IFERROR(IF(INDEX('CHRISTMAS CALENDAR'!$C$6:$C$205,MATCH($C15,'CHRISTMAS CALENDAR'!$B$6:$B$205,0))="","",INDEX('CHRISTMAS CALENDAR'!$C$6:$C$205,MATCH($C15,'CHRISTMAS CALENDAR'!$B$6:$B$205,0))),"")))</f>
      </c>
      <c r="F15" s="79"/>
      <c r="G15" s="80"/>
      <c r="H15" s="79"/>
      <c r="I15" s="79"/>
      <c r="J15" s="80"/>
      <c r="K15" s="80"/>
      <c r="L15" s="82"/>
      <c r="M15" s="79"/>
      <c r="N15" s="86"/>
      <c r="O15" s="86"/>
      <c r="P15" s="79"/>
      <c r="Q15" s="79"/>
      <c r="R15" s="78">
        <f>IF($B15="","",IF(OR($P15="Ready",$P15="Worn"),"COMPLETE",IF($L15="","NO DATE",IF($L15&lt;TODAY(),"OVERDUE",IF($L15-TODAY()&lt;=7,"THIS WEEK","SCHEDULED")))))</f>
      </c>
      <c r="S15" s="80"/>
      <c r="T15" s="78">
        <f>IF($B15="",0,IF(COUNTIF('EVENTS + WARDROBE'!$B$6:$B$65,$B15)&gt;1,1,0))</f>
      </c>
      <c r="U15" s="78">
        <f>IF(OR(N($N15)&gt;0,N($O15)&gt;0),IF($M15="",1,IF(COUNTIF('MASTER BUDGET'!$D$6:$D$25,$M15)=0,1,0)),0)</f>
      </c>
      <c r="V15" s="78">
        <f>IF($C15="",0,IF(COUNTIF('CHRISTMAS CALENDAR'!$B$6:$B$205,$C15)=0,1,0))</f>
      </c>
      <c r="W15" s="75"/>
    </row>
    <row r="16" ht="17" customHeight="1" spans="1:23" x14ac:dyDescent="0.25">
      <c r="A16" s="75"/>
      <c r="B16" s="79"/>
      <c r="C16" s="79"/>
      <c r="D16" s="92">
        <f>IF($B16="","",IF($C16="","",IFERROR(IF(INDEX('CHRISTMAS CALENDAR'!$F$6:$F$205,MATCH($C16,'CHRISTMAS CALENDAR'!$B$6:$B$205,0))="","",INDEX('CHRISTMAS CALENDAR'!$F$6:$F$205,MATCH($C16,'CHRISTMAS CALENDAR'!$B$6:$B$205,0))),"")))</f>
      </c>
      <c r="E16" s="93">
        <f>IF($B16="","",IF($C16="","",IFERROR(IF(INDEX('CHRISTMAS CALENDAR'!$C$6:$C$205,MATCH($C16,'CHRISTMAS CALENDAR'!$B$6:$B$205,0))="","",INDEX('CHRISTMAS CALENDAR'!$C$6:$C$205,MATCH($C16,'CHRISTMAS CALENDAR'!$B$6:$B$205,0))),"")))</f>
      </c>
      <c r="F16" s="79"/>
      <c r="G16" s="80"/>
      <c r="H16" s="79"/>
      <c r="I16" s="79"/>
      <c r="J16" s="80"/>
      <c r="K16" s="80"/>
      <c r="L16" s="82"/>
      <c r="M16" s="79"/>
      <c r="N16" s="86"/>
      <c r="O16" s="86"/>
      <c r="P16" s="79"/>
      <c r="Q16" s="79"/>
      <c r="R16" s="78">
        <f>IF($B16="","",IF(OR($P16="Ready",$P16="Worn"),"COMPLETE",IF($L16="","NO DATE",IF($L16&lt;TODAY(),"OVERDUE",IF($L16-TODAY()&lt;=7,"THIS WEEK","SCHEDULED")))))</f>
      </c>
      <c r="S16" s="80"/>
      <c r="T16" s="78">
        <f>IF($B16="",0,IF(COUNTIF('EVENTS + WARDROBE'!$B$6:$B$65,$B16)&gt;1,1,0))</f>
      </c>
      <c r="U16" s="78">
        <f>IF(OR(N($N16)&gt;0,N($O16)&gt;0),IF($M16="",1,IF(COUNTIF('MASTER BUDGET'!$D$6:$D$25,$M16)=0,1,0)),0)</f>
      </c>
      <c r="V16" s="78">
        <f>IF($C16="",0,IF(COUNTIF('CHRISTMAS CALENDAR'!$B$6:$B$205,$C16)=0,1,0))</f>
      </c>
      <c r="W16" s="75"/>
    </row>
    <row r="17" ht="17" customHeight="1" spans="1:23" x14ac:dyDescent="0.25">
      <c r="A17" s="75"/>
      <c r="B17" s="79"/>
      <c r="C17" s="79"/>
      <c r="D17" s="92">
        <f>IF($B17="","",IF($C17="","",IFERROR(IF(INDEX('CHRISTMAS CALENDAR'!$F$6:$F$205,MATCH($C17,'CHRISTMAS CALENDAR'!$B$6:$B$205,0))="","",INDEX('CHRISTMAS CALENDAR'!$F$6:$F$205,MATCH($C17,'CHRISTMAS CALENDAR'!$B$6:$B$205,0))),"")))</f>
      </c>
      <c r="E17" s="93">
        <f>IF($B17="","",IF($C17="","",IFERROR(IF(INDEX('CHRISTMAS CALENDAR'!$C$6:$C$205,MATCH($C17,'CHRISTMAS CALENDAR'!$B$6:$B$205,0))="","",INDEX('CHRISTMAS CALENDAR'!$C$6:$C$205,MATCH($C17,'CHRISTMAS CALENDAR'!$B$6:$B$205,0))),"")))</f>
      </c>
      <c r="F17" s="79"/>
      <c r="G17" s="80"/>
      <c r="H17" s="79"/>
      <c r="I17" s="79"/>
      <c r="J17" s="80"/>
      <c r="K17" s="80"/>
      <c r="L17" s="82"/>
      <c r="M17" s="79"/>
      <c r="N17" s="86"/>
      <c r="O17" s="86"/>
      <c r="P17" s="79"/>
      <c r="Q17" s="79"/>
      <c r="R17" s="78">
        <f>IF($B17="","",IF(OR($P17="Ready",$P17="Worn"),"COMPLETE",IF($L17="","NO DATE",IF($L17&lt;TODAY(),"OVERDUE",IF($L17-TODAY()&lt;=7,"THIS WEEK","SCHEDULED")))))</f>
      </c>
      <c r="S17" s="80"/>
      <c r="T17" s="78">
        <f>IF($B17="",0,IF(COUNTIF('EVENTS + WARDROBE'!$B$6:$B$65,$B17)&gt;1,1,0))</f>
      </c>
      <c r="U17" s="78">
        <f>IF(OR(N($N17)&gt;0,N($O17)&gt;0),IF($M17="",1,IF(COUNTIF('MASTER BUDGET'!$D$6:$D$25,$M17)=0,1,0)),0)</f>
      </c>
      <c r="V17" s="78">
        <f>IF($C17="",0,IF(COUNTIF('CHRISTMAS CALENDAR'!$B$6:$B$205,$C17)=0,1,0))</f>
      </c>
      <c r="W17" s="75"/>
    </row>
    <row r="18" ht="17" customHeight="1" spans="1:23" x14ac:dyDescent="0.25">
      <c r="A18" s="75"/>
      <c r="B18" s="79"/>
      <c r="C18" s="79"/>
      <c r="D18" s="92">
        <f>IF($B18="","",IF($C18="","",IFERROR(IF(INDEX('CHRISTMAS CALENDAR'!$F$6:$F$205,MATCH($C18,'CHRISTMAS CALENDAR'!$B$6:$B$205,0))="","",INDEX('CHRISTMAS CALENDAR'!$F$6:$F$205,MATCH($C18,'CHRISTMAS CALENDAR'!$B$6:$B$205,0))),"")))</f>
      </c>
      <c r="E18" s="93">
        <f>IF($B18="","",IF($C18="","",IFERROR(IF(INDEX('CHRISTMAS CALENDAR'!$C$6:$C$205,MATCH($C18,'CHRISTMAS CALENDAR'!$B$6:$B$205,0))="","",INDEX('CHRISTMAS CALENDAR'!$C$6:$C$205,MATCH($C18,'CHRISTMAS CALENDAR'!$B$6:$B$205,0))),"")))</f>
      </c>
      <c r="F18" s="79"/>
      <c r="G18" s="80"/>
      <c r="H18" s="79"/>
      <c r="I18" s="79"/>
      <c r="J18" s="80"/>
      <c r="K18" s="80"/>
      <c r="L18" s="82"/>
      <c r="M18" s="79"/>
      <c r="N18" s="86"/>
      <c r="O18" s="86"/>
      <c r="P18" s="79"/>
      <c r="Q18" s="79"/>
      <c r="R18" s="78">
        <f>IF($B18="","",IF(OR($P18="Ready",$P18="Worn"),"COMPLETE",IF($L18="","NO DATE",IF($L18&lt;TODAY(),"OVERDUE",IF($L18-TODAY()&lt;=7,"THIS WEEK","SCHEDULED")))))</f>
      </c>
      <c r="S18" s="80"/>
      <c r="T18" s="78">
        <f>IF($B18="",0,IF(COUNTIF('EVENTS + WARDROBE'!$B$6:$B$65,$B18)&gt;1,1,0))</f>
      </c>
      <c r="U18" s="78">
        <f>IF(OR(N($N18)&gt;0,N($O18)&gt;0),IF($M18="",1,IF(COUNTIF('MASTER BUDGET'!$D$6:$D$25,$M18)=0,1,0)),0)</f>
      </c>
      <c r="V18" s="78">
        <f>IF($C18="",0,IF(COUNTIF('CHRISTMAS CALENDAR'!$B$6:$B$205,$C18)=0,1,0))</f>
      </c>
      <c r="W18" s="75"/>
    </row>
    <row r="19" ht="17" customHeight="1" spans="1:23" x14ac:dyDescent="0.25">
      <c r="A19" s="75"/>
      <c r="B19" s="79"/>
      <c r="C19" s="79"/>
      <c r="D19" s="92">
        <f>IF($B19="","",IF($C19="","",IFERROR(IF(INDEX('CHRISTMAS CALENDAR'!$F$6:$F$205,MATCH($C19,'CHRISTMAS CALENDAR'!$B$6:$B$205,0))="","",INDEX('CHRISTMAS CALENDAR'!$F$6:$F$205,MATCH($C19,'CHRISTMAS CALENDAR'!$B$6:$B$205,0))),"")))</f>
      </c>
      <c r="E19" s="93">
        <f>IF($B19="","",IF($C19="","",IFERROR(IF(INDEX('CHRISTMAS CALENDAR'!$C$6:$C$205,MATCH($C19,'CHRISTMAS CALENDAR'!$B$6:$B$205,0))="","",INDEX('CHRISTMAS CALENDAR'!$C$6:$C$205,MATCH($C19,'CHRISTMAS CALENDAR'!$B$6:$B$205,0))),"")))</f>
      </c>
      <c r="F19" s="79"/>
      <c r="G19" s="80"/>
      <c r="H19" s="79"/>
      <c r="I19" s="79"/>
      <c r="J19" s="80"/>
      <c r="K19" s="80"/>
      <c r="L19" s="82"/>
      <c r="M19" s="79"/>
      <c r="N19" s="86"/>
      <c r="O19" s="86"/>
      <c r="P19" s="79"/>
      <c r="Q19" s="79"/>
      <c r="R19" s="78">
        <f>IF($B19="","",IF(OR($P19="Ready",$P19="Worn"),"COMPLETE",IF($L19="","NO DATE",IF($L19&lt;TODAY(),"OVERDUE",IF($L19-TODAY()&lt;=7,"THIS WEEK","SCHEDULED")))))</f>
      </c>
      <c r="S19" s="80"/>
      <c r="T19" s="78">
        <f>IF($B19="",0,IF(COUNTIF('EVENTS + WARDROBE'!$B$6:$B$65,$B19)&gt;1,1,0))</f>
      </c>
      <c r="U19" s="78">
        <f>IF(OR(N($N19)&gt;0,N($O19)&gt;0),IF($M19="",1,IF(COUNTIF('MASTER BUDGET'!$D$6:$D$25,$M19)=0,1,0)),0)</f>
      </c>
      <c r="V19" s="78">
        <f>IF($C19="",0,IF(COUNTIF('CHRISTMAS CALENDAR'!$B$6:$B$205,$C19)=0,1,0))</f>
      </c>
      <c r="W19" s="75"/>
    </row>
    <row r="20" ht="17" customHeight="1" spans="1:23" x14ac:dyDescent="0.25">
      <c r="A20" s="75"/>
      <c r="B20" s="79"/>
      <c r="C20" s="79"/>
      <c r="D20" s="92">
        <f>IF($B20="","",IF($C20="","",IFERROR(IF(INDEX('CHRISTMAS CALENDAR'!$F$6:$F$205,MATCH($C20,'CHRISTMAS CALENDAR'!$B$6:$B$205,0))="","",INDEX('CHRISTMAS CALENDAR'!$F$6:$F$205,MATCH($C20,'CHRISTMAS CALENDAR'!$B$6:$B$205,0))),"")))</f>
      </c>
      <c r="E20" s="93">
        <f>IF($B20="","",IF($C20="","",IFERROR(IF(INDEX('CHRISTMAS CALENDAR'!$C$6:$C$205,MATCH($C20,'CHRISTMAS CALENDAR'!$B$6:$B$205,0))="","",INDEX('CHRISTMAS CALENDAR'!$C$6:$C$205,MATCH($C20,'CHRISTMAS CALENDAR'!$B$6:$B$205,0))),"")))</f>
      </c>
      <c r="F20" s="79"/>
      <c r="G20" s="80"/>
      <c r="H20" s="79"/>
      <c r="I20" s="79"/>
      <c r="J20" s="80"/>
      <c r="K20" s="80"/>
      <c r="L20" s="82"/>
      <c r="M20" s="79"/>
      <c r="N20" s="86"/>
      <c r="O20" s="86"/>
      <c r="P20" s="79"/>
      <c r="Q20" s="79"/>
      <c r="R20" s="78">
        <f>IF($B20="","",IF(OR($P20="Ready",$P20="Worn"),"COMPLETE",IF($L20="","NO DATE",IF($L20&lt;TODAY(),"OVERDUE",IF($L20-TODAY()&lt;=7,"THIS WEEK","SCHEDULED")))))</f>
      </c>
      <c r="S20" s="80"/>
      <c r="T20" s="78">
        <f>IF($B20="",0,IF(COUNTIF('EVENTS + WARDROBE'!$B$6:$B$65,$B20)&gt;1,1,0))</f>
      </c>
      <c r="U20" s="78">
        <f>IF(OR(N($N20)&gt;0,N($O20)&gt;0),IF($M20="",1,IF(COUNTIF('MASTER BUDGET'!$D$6:$D$25,$M20)=0,1,0)),0)</f>
      </c>
      <c r="V20" s="78">
        <f>IF($C20="",0,IF(COUNTIF('CHRISTMAS CALENDAR'!$B$6:$B$205,$C20)=0,1,0))</f>
      </c>
      <c r="W20" s="75"/>
    </row>
    <row r="21" ht="17" customHeight="1" spans="1:23" x14ac:dyDescent="0.25">
      <c r="A21" s="75"/>
      <c r="B21" s="79"/>
      <c r="C21" s="79"/>
      <c r="D21" s="92">
        <f>IF($B21="","",IF($C21="","",IFERROR(IF(INDEX('CHRISTMAS CALENDAR'!$F$6:$F$205,MATCH($C21,'CHRISTMAS CALENDAR'!$B$6:$B$205,0))="","",INDEX('CHRISTMAS CALENDAR'!$F$6:$F$205,MATCH($C21,'CHRISTMAS CALENDAR'!$B$6:$B$205,0))),"")))</f>
      </c>
      <c r="E21" s="93">
        <f>IF($B21="","",IF($C21="","",IFERROR(IF(INDEX('CHRISTMAS CALENDAR'!$C$6:$C$205,MATCH($C21,'CHRISTMAS CALENDAR'!$B$6:$B$205,0))="","",INDEX('CHRISTMAS CALENDAR'!$C$6:$C$205,MATCH($C21,'CHRISTMAS CALENDAR'!$B$6:$B$205,0))),"")))</f>
      </c>
      <c r="F21" s="79"/>
      <c r="G21" s="80"/>
      <c r="H21" s="79"/>
      <c r="I21" s="79"/>
      <c r="J21" s="80"/>
      <c r="K21" s="80"/>
      <c r="L21" s="82"/>
      <c r="M21" s="79"/>
      <c r="N21" s="86"/>
      <c r="O21" s="86"/>
      <c r="P21" s="79"/>
      <c r="Q21" s="79"/>
      <c r="R21" s="78">
        <f>IF($B21="","",IF(OR($P21="Ready",$P21="Worn"),"COMPLETE",IF($L21="","NO DATE",IF($L21&lt;TODAY(),"OVERDUE",IF($L21-TODAY()&lt;=7,"THIS WEEK","SCHEDULED")))))</f>
      </c>
      <c r="S21" s="80"/>
      <c r="T21" s="78">
        <f>IF($B21="",0,IF(COUNTIF('EVENTS + WARDROBE'!$B$6:$B$65,$B21)&gt;1,1,0))</f>
      </c>
      <c r="U21" s="78">
        <f>IF(OR(N($N21)&gt;0,N($O21)&gt;0),IF($M21="",1,IF(COUNTIF('MASTER BUDGET'!$D$6:$D$25,$M21)=0,1,0)),0)</f>
      </c>
      <c r="V21" s="78">
        <f>IF($C21="",0,IF(COUNTIF('CHRISTMAS CALENDAR'!$B$6:$B$205,$C21)=0,1,0))</f>
      </c>
      <c r="W21" s="75"/>
    </row>
    <row r="22" ht="17" customHeight="1" spans="1:23" x14ac:dyDescent="0.25">
      <c r="A22" s="75"/>
      <c r="B22" s="79"/>
      <c r="C22" s="79"/>
      <c r="D22" s="92">
        <f>IF($B22="","",IF($C22="","",IFERROR(IF(INDEX('CHRISTMAS CALENDAR'!$F$6:$F$205,MATCH($C22,'CHRISTMAS CALENDAR'!$B$6:$B$205,0))="","",INDEX('CHRISTMAS CALENDAR'!$F$6:$F$205,MATCH($C22,'CHRISTMAS CALENDAR'!$B$6:$B$205,0))),"")))</f>
      </c>
      <c r="E22" s="93">
        <f>IF($B22="","",IF($C22="","",IFERROR(IF(INDEX('CHRISTMAS CALENDAR'!$C$6:$C$205,MATCH($C22,'CHRISTMAS CALENDAR'!$B$6:$B$205,0))="","",INDEX('CHRISTMAS CALENDAR'!$C$6:$C$205,MATCH($C22,'CHRISTMAS CALENDAR'!$B$6:$B$205,0))),"")))</f>
      </c>
      <c r="F22" s="79"/>
      <c r="G22" s="80"/>
      <c r="H22" s="79"/>
      <c r="I22" s="79"/>
      <c r="J22" s="80"/>
      <c r="K22" s="80"/>
      <c r="L22" s="82"/>
      <c r="M22" s="79"/>
      <c r="N22" s="86"/>
      <c r="O22" s="86"/>
      <c r="P22" s="79"/>
      <c r="Q22" s="79"/>
      <c r="R22" s="78">
        <f>IF($B22="","",IF(OR($P22="Ready",$P22="Worn"),"COMPLETE",IF($L22="","NO DATE",IF($L22&lt;TODAY(),"OVERDUE",IF($L22-TODAY()&lt;=7,"THIS WEEK","SCHEDULED")))))</f>
      </c>
      <c r="S22" s="80"/>
      <c r="T22" s="78">
        <f>IF($B22="",0,IF(COUNTIF('EVENTS + WARDROBE'!$B$6:$B$65,$B22)&gt;1,1,0))</f>
      </c>
      <c r="U22" s="78">
        <f>IF(OR(N($N22)&gt;0,N($O22)&gt;0),IF($M22="",1,IF(COUNTIF('MASTER BUDGET'!$D$6:$D$25,$M22)=0,1,0)),0)</f>
      </c>
      <c r="V22" s="78">
        <f>IF($C22="",0,IF(COUNTIF('CHRISTMAS CALENDAR'!$B$6:$B$205,$C22)=0,1,0))</f>
      </c>
      <c r="W22" s="75"/>
    </row>
    <row r="23" ht="17" customHeight="1" spans="1:23" x14ac:dyDescent="0.25">
      <c r="A23" s="75"/>
      <c r="B23" s="79"/>
      <c r="C23" s="79"/>
      <c r="D23" s="92">
        <f>IF($B23="","",IF($C23="","",IFERROR(IF(INDEX('CHRISTMAS CALENDAR'!$F$6:$F$205,MATCH($C23,'CHRISTMAS CALENDAR'!$B$6:$B$205,0))="","",INDEX('CHRISTMAS CALENDAR'!$F$6:$F$205,MATCH($C23,'CHRISTMAS CALENDAR'!$B$6:$B$205,0))),"")))</f>
      </c>
      <c r="E23" s="93">
        <f>IF($B23="","",IF($C23="","",IFERROR(IF(INDEX('CHRISTMAS CALENDAR'!$C$6:$C$205,MATCH($C23,'CHRISTMAS CALENDAR'!$B$6:$B$205,0))="","",INDEX('CHRISTMAS CALENDAR'!$C$6:$C$205,MATCH($C23,'CHRISTMAS CALENDAR'!$B$6:$B$205,0))),"")))</f>
      </c>
      <c r="F23" s="79"/>
      <c r="G23" s="80"/>
      <c r="H23" s="79"/>
      <c r="I23" s="79"/>
      <c r="J23" s="80"/>
      <c r="K23" s="80"/>
      <c r="L23" s="82"/>
      <c r="M23" s="79"/>
      <c r="N23" s="86"/>
      <c r="O23" s="86"/>
      <c r="P23" s="79"/>
      <c r="Q23" s="79"/>
      <c r="R23" s="78">
        <f>IF($B23="","",IF(OR($P23="Ready",$P23="Worn"),"COMPLETE",IF($L23="","NO DATE",IF($L23&lt;TODAY(),"OVERDUE",IF($L23-TODAY()&lt;=7,"THIS WEEK","SCHEDULED")))))</f>
      </c>
      <c r="S23" s="80"/>
      <c r="T23" s="78">
        <f>IF($B23="",0,IF(COUNTIF('EVENTS + WARDROBE'!$B$6:$B$65,$B23)&gt;1,1,0))</f>
      </c>
      <c r="U23" s="78">
        <f>IF(OR(N($N23)&gt;0,N($O23)&gt;0),IF($M23="",1,IF(COUNTIF('MASTER BUDGET'!$D$6:$D$25,$M23)=0,1,0)),0)</f>
      </c>
      <c r="V23" s="78">
        <f>IF($C23="",0,IF(COUNTIF('CHRISTMAS CALENDAR'!$B$6:$B$205,$C23)=0,1,0))</f>
      </c>
      <c r="W23" s="75"/>
    </row>
    <row r="24" ht="17" customHeight="1" spans="1:23" x14ac:dyDescent="0.25">
      <c r="A24" s="75"/>
      <c r="B24" s="79"/>
      <c r="C24" s="79"/>
      <c r="D24" s="92">
        <f>IF($B24="","",IF($C24="","",IFERROR(IF(INDEX('CHRISTMAS CALENDAR'!$F$6:$F$205,MATCH($C24,'CHRISTMAS CALENDAR'!$B$6:$B$205,0))="","",INDEX('CHRISTMAS CALENDAR'!$F$6:$F$205,MATCH($C24,'CHRISTMAS CALENDAR'!$B$6:$B$205,0))),"")))</f>
      </c>
      <c r="E24" s="93">
        <f>IF($B24="","",IF($C24="","",IFERROR(IF(INDEX('CHRISTMAS CALENDAR'!$C$6:$C$205,MATCH($C24,'CHRISTMAS CALENDAR'!$B$6:$B$205,0))="","",INDEX('CHRISTMAS CALENDAR'!$C$6:$C$205,MATCH($C24,'CHRISTMAS CALENDAR'!$B$6:$B$205,0))),"")))</f>
      </c>
      <c r="F24" s="79"/>
      <c r="G24" s="80"/>
      <c r="H24" s="79"/>
      <c r="I24" s="79"/>
      <c r="J24" s="80"/>
      <c r="K24" s="80"/>
      <c r="L24" s="82"/>
      <c r="M24" s="79"/>
      <c r="N24" s="86"/>
      <c r="O24" s="86"/>
      <c r="P24" s="79"/>
      <c r="Q24" s="79"/>
      <c r="R24" s="78">
        <f>IF($B24="","",IF(OR($P24="Ready",$P24="Worn"),"COMPLETE",IF($L24="","NO DATE",IF($L24&lt;TODAY(),"OVERDUE",IF($L24-TODAY()&lt;=7,"THIS WEEK","SCHEDULED")))))</f>
      </c>
      <c r="S24" s="80"/>
      <c r="T24" s="78">
        <f>IF($B24="",0,IF(COUNTIF('EVENTS + WARDROBE'!$B$6:$B$65,$B24)&gt;1,1,0))</f>
      </c>
      <c r="U24" s="78">
        <f>IF(OR(N($N24)&gt;0,N($O24)&gt;0),IF($M24="",1,IF(COUNTIF('MASTER BUDGET'!$D$6:$D$25,$M24)=0,1,0)),0)</f>
      </c>
      <c r="V24" s="78">
        <f>IF($C24="",0,IF(COUNTIF('CHRISTMAS CALENDAR'!$B$6:$B$205,$C24)=0,1,0))</f>
      </c>
      <c r="W24" s="75"/>
    </row>
    <row r="25" ht="17" customHeight="1" spans="1:23" x14ac:dyDescent="0.25">
      <c r="A25" s="75"/>
      <c r="B25" s="79"/>
      <c r="C25" s="79"/>
      <c r="D25" s="92">
        <f>IF($B25="","",IF($C25="","",IFERROR(IF(INDEX('CHRISTMAS CALENDAR'!$F$6:$F$205,MATCH($C25,'CHRISTMAS CALENDAR'!$B$6:$B$205,0))="","",INDEX('CHRISTMAS CALENDAR'!$F$6:$F$205,MATCH($C25,'CHRISTMAS CALENDAR'!$B$6:$B$205,0))),"")))</f>
      </c>
      <c r="E25" s="93">
        <f>IF($B25="","",IF($C25="","",IFERROR(IF(INDEX('CHRISTMAS CALENDAR'!$C$6:$C$205,MATCH($C25,'CHRISTMAS CALENDAR'!$B$6:$B$205,0))="","",INDEX('CHRISTMAS CALENDAR'!$C$6:$C$205,MATCH($C25,'CHRISTMAS CALENDAR'!$B$6:$B$205,0))),"")))</f>
      </c>
      <c r="F25" s="79"/>
      <c r="G25" s="80"/>
      <c r="H25" s="79"/>
      <c r="I25" s="79"/>
      <c r="J25" s="80"/>
      <c r="K25" s="80"/>
      <c r="L25" s="82"/>
      <c r="M25" s="79"/>
      <c r="N25" s="86"/>
      <c r="O25" s="86"/>
      <c r="P25" s="79"/>
      <c r="Q25" s="79"/>
      <c r="R25" s="78">
        <f>IF($B25="","",IF(OR($P25="Ready",$P25="Worn"),"COMPLETE",IF($L25="","NO DATE",IF($L25&lt;TODAY(),"OVERDUE",IF($L25-TODAY()&lt;=7,"THIS WEEK","SCHEDULED")))))</f>
      </c>
      <c r="S25" s="80"/>
      <c r="T25" s="78">
        <f>IF($B25="",0,IF(COUNTIF('EVENTS + WARDROBE'!$B$6:$B$65,$B25)&gt;1,1,0))</f>
      </c>
      <c r="U25" s="78">
        <f>IF(OR(N($N25)&gt;0,N($O25)&gt;0),IF($M25="",1,IF(COUNTIF('MASTER BUDGET'!$D$6:$D$25,$M25)=0,1,0)),0)</f>
      </c>
      <c r="V25" s="78">
        <f>IF($C25="",0,IF(COUNTIF('CHRISTMAS CALENDAR'!$B$6:$B$205,$C25)=0,1,0))</f>
      </c>
      <c r="W25" s="75"/>
    </row>
    <row r="26" ht="17" customHeight="1" spans="1:23" x14ac:dyDescent="0.25">
      <c r="A26" s="75"/>
      <c r="B26" s="79"/>
      <c r="C26" s="79"/>
      <c r="D26" s="92">
        <f>IF($B26="","",IF($C26="","",IFERROR(IF(INDEX('CHRISTMAS CALENDAR'!$F$6:$F$205,MATCH($C26,'CHRISTMAS CALENDAR'!$B$6:$B$205,0))="","",INDEX('CHRISTMAS CALENDAR'!$F$6:$F$205,MATCH($C26,'CHRISTMAS CALENDAR'!$B$6:$B$205,0))),"")))</f>
      </c>
      <c r="E26" s="93">
        <f>IF($B26="","",IF($C26="","",IFERROR(IF(INDEX('CHRISTMAS CALENDAR'!$C$6:$C$205,MATCH($C26,'CHRISTMAS CALENDAR'!$B$6:$B$205,0))="","",INDEX('CHRISTMAS CALENDAR'!$C$6:$C$205,MATCH($C26,'CHRISTMAS CALENDAR'!$B$6:$B$205,0))),"")))</f>
      </c>
      <c r="F26" s="79"/>
      <c r="G26" s="80"/>
      <c r="H26" s="79"/>
      <c r="I26" s="79"/>
      <c r="J26" s="80"/>
      <c r="K26" s="80"/>
      <c r="L26" s="82"/>
      <c r="M26" s="79"/>
      <c r="N26" s="86"/>
      <c r="O26" s="86"/>
      <c r="P26" s="79"/>
      <c r="Q26" s="79"/>
      <c r="R26" s="78">
        <f>IF($B26="","",IF(OR($P26="Ready",$P26="Worn"),"COMPLETE",IF($L26="","NO DATE",IF($L26&lt;TODAY(),"OVERDUE",IF($L26-TODAY()&lt;=7,"THIS WEEK","SCHEDULED")))))</f>
      </c>
      <c r="S26" s="80"/>
      <c r="T26" s="78">
        <f>IF($B26="",0,IF(COUNTIF('EVENTS + WARDROBE'!$B$6:$B$65,$B26)&gt;1,1,0))</f>
      </c>
      <c r="U26" s="78">
        <f>IF(OR(N($N26)&gt;0,N($O26)&gt;0),IF($M26="",1,IF(COUNTIF('MASTER BUDGET'!$D$6:$D$25,$M26)=0,1,0)),0)</f>
      </c>
      <c r="V26" s="78">
        <f>IF($C26="",0,IF(COUNTIF('CHRISTMAS CALENDAR'!$B$6:$B$205,$C26)=0,1,0))</f>
      </c>
      <c r="W26" s="75"/>
    </row>
    <row r="27" ht="17" customHeight="1" spans="1:23" x14ac:dyDescent="0.25">
      <c r="A27" s="75"/>
      <c r="B27" s="79"/>
      <c r="C27" s="79"/>
      <c r="D27" s="92">
        <f>IF($B27="","",IF($C27="","",IFERROR(IF(INDEX('CHRISTMAS CALENDAR'!$F$6:$F$205,MATCH($C27,'CHRISTMAS CALENDAR'!$B$6:$B$205,0))="","",INDEX('CHRISTMAS CALENDAR'!$F$6:$F$205,MATCH($C27,'CHRISTMAS CALENDAR'!$B$6:$B$205,0))),"")))</f>
      </c>
      <c r="E27" s="93">
        <f>IF($B27="","",IF($C27="","",IFERROR(IF(INDEX('CHRISTMAS CALENDAR'!$C$6:$C$205,MATCH($C27,'CHRISTMAS CALENDAR'!$B$6:$B$205,0))="","",INDEX('CHRISTMAS CALENDAR'!$C$6:$C$205,MATCH($C27,'CHRISTMAS CALENDAR'!$B$6:$B$205,0))),"")))</f>
      </c>
      <c r="F27" s="79"/>
      <c r="G27" s="80"/>
      <c r="H27" s="79"/>
      <c r="I27" s="79"/>
      <c r="J27" s="80"/>
      <c r="K27" s="80"/>
      <c r="L27" s="82"/>
      <c r="M27" s="79"/>
      <c r="N27" s="86"/>
      <c r="O27" s="86"/>
      <c r="P27" s="79"/>
      <c r="Q27" s="79"/>
      <c r="R27" s="78">
        <f>IF($B27="","",IF(OR($P27="Ready",$P27="Worn"),"COMPLETE",IF($L27="","NO DATE",IF($L27&lt;TODAY(),"OVERDUE",IF($L27-TODAY()&lt;=7,"THIS WEEK","SCHEDULED")))))</f>
      </c>
      <c r="S27" s="80"/>
      <c r="T27" s="78">
        <f>IF($B27="",0,IF(COUNTIF('EVENTS + WARDROBE'!$B$6:$B$65,$B27)&gt;1,1,0))</f>
      </c>
      <c r="U27" s="78">
        <f>IF(OR(N($N27)&gt;0,N($O27)&gt;0),IF($M27="",1,IF(COUNTIF('MASTER BUDGET'!$D$6:$D$25,$M27)=0,1,0)),0)</f>
      </c>
      <c r="V27" s="78">
        <f>IF($C27="",0,IF(COUNTIF('CHRISTMAS CALENDAR'!$B$6:$B$205,$C27)=0,1,0))</f>
      </c>
      <c r="W27" s="75"/>
    </row>
    <row r="28" ht="17" customHeight="1" spans="1:23" x14ac:dyDescent="0.25">
      <c r="A28" s="75"/>
      <c r="B28" s="79"/>
      <c r="C28" s="79"/>
      <c r="D28" s="92">
        <f>IF($B28="","",IF($C28="","",IFERROR(IF(INDEX('CHRISTMAS CALENDAR'!$F$6:$F$205,MATCH($C28,'CHRISTMAS CALENDAR'!$B$6:$B$205,0))="","",INDEX('CHRISTMAS CALENDAR'!$F$6:$F$205,MATCH($C28,'CHRISTMAS CALENDAR'!$B$6:$B$205,0))),"")))</f>
      </c>
      <c r="E28" s="93">
        <f>IF($B28="","",IF($C28="","",IFERROR(IF(INDEX('CHRISTMAS CALENDAR'!$C$6:$C$205,MATCH($C28,'CHRISTMAS CALENDAR'!$B$6:$B$205,0))="","",INDEX('CHRISTMAS CALENDAR'!$C$6:$C$205,MATCH($C28,'CHRISTMAS CALENDAR'!$B$6:$B$205,0))),"")))</f>
      </c>
      <c r="F28" s="79"/>
      <c r="G28" s="80"/>
      <c r="H28" s="79"/>
      <c r="I28" s="79"/>
      <c r="J28" s="80"/>
      <c r="K28" s="80"/>
      <c r="L28" s="82"/>
      <c r="M28" s="79"/>
      <c r="N28" s="86"/>
      <c r="O28" s="86"/>
      <c r="P28" s="79"/>
      <c r="Q28" s="79"/>
      <c r="R28" s="78">
        <f>IF($B28="","",IF(OR($P28="Ready",$P28="Worn"),"COMPLETE",IF($L28="","NO DATE",IF($L28&lt;TODAY(),"OVERDUE",IF($L28-TODAY()&lt;=7,"THIS WEEK","SCHEDULED")))))</f>
      </c>
      <c r="S28" s="80"/>
      <c r="T28" s="78">
        <f>IF($B28="",0,IF(COUNTIF('EVENTS + WARDROBE'!$B$6:$B$65,$B28)&gt;1,1,0))</f>
      </c>
      <c r="U28" s="78">
        <f>IF(OR(N($N28)&gt;0,N($O28)&gt;0),IF($M28="",1,IF(COUNTIF('MASTER BUDGET'!$D$6:$D$25,$M28)=0,1,0)),0)</f>
      </c>
      <c r="V28" s="78">
        <f>IF($C28="",0,IF(COUNTIF('CHRISTMAS CALENDAR'!$B$6:$B$205,$C28)=0,1,0))</f>
      </c>
      <c r="W28" s="75"/>
    </row>
    <row r="29" ht="17" customHeight="1" spans="1:23" x14ac:dyDescent="0.25">
      <c r="A29" s="75"/>
      <c r="B29" s="79"/>
      <c r="C29" s="79"/>
      <c r="D29" s="92">
        <f>IF($B29="","",IF($C29="","",IFERROR(IF(INDEX('CHRISTMAS CALENDAR'!$F$6:$F$205,MATCH($C29,'CHRISTMAS CALENDAR'!$B$6:$B$205,0))="","",INDEX('CHRISTMAS CALENDAR'!$F$6:$F$205,MATCH($C29,'CHRISTMAS CALENDAR'!$B$6:$B$205,0))),"")))</f>
      </c>
      <c r="E29" s="93">
        <f>IF($B29="","",IF($C29="","",IFERROR(IF(INDEX('CHRISTMAS CALENDAR'!$C$6:$C$205,MATCH($C29,'CHRISTMAS CALENDAR'!$B$6:$B$205,0))="","",INDEX('CHRISTMAS CALENDAR'!$C$6:$C$205,MATCH($C29,'CHRISTMAS CALENDAR'!$B$6:$B$205,0))),"")))</f>
      </c>
      <c r="F29" s="79"/>
      <c r="G29" s="80"/>
      <c r="H29" s="79"/>
      <c r="I29" s="79"/>
      <c r="J29" s="80"/>
      <c r="K29" s="80"/>
      <c r="L29" s="82"/>
      <c r="M29" s="79"/>
      <c r="N29" s="86"/>
      <c r="O29" s="86"/>
      <c r="P29" s="79"/>
      <c r="Q29" s="79"/>
      <c r="R29" s="78">
        <f>IF($B29="","",IF(OR($P29="Ready",$P29="Worn"),"COMPLETE",IF($L29="","NO DATE",IF($L29&lt;TODAY(),"OVERDUE",IF($L29-TODAY()&lt;=7,"THIS WEEK","SCHEDULED")))))</f>
      </c>
      <c r="S29" s="80"/>
      <c r="T29" s="78">
        <f>IF($B29="",0,IF(COUNTIF('EVENTS + WARDROBE'!$B$6:$B$65,$B29)&gt;1,1,0))</f>
      </c>
      <c r="U29" s="78">
        <f>IF(OR(N($N29)&gt;0,N($O29)&gt;0),IF($M29="",1,IF(COUNTIF('MASTER BUDGET'!$D$6:$D$25,$M29)=0,1,0)),0)</f>
      </c>
      <c r="V29" s="78">
        <f>IF($C29="",0,IF(COUNTIF('CHRISTMAS CALENDAR'!$B$6:$B$205,$C29)=0,1,0))</f>
      </c>
      <c r="W29" s="75"/>
    </row>
    <row r="30" ht="17" customHeight="1" spans="1:23" x14ac:dyDescent="0.25">
      <c r="A30" s="75"/>
      <c r="B30" s="79"/>
      <c r="C30" s="79"/>
      <c r="D30" s="92">
        <f>IF($B30="","",IF($C30="","",IFERROR(IF(INDEX('CHRISTMAS CALENDAR'!$F$6:$F$205,MATCH($C30,'CHRISTMAS CALENDAR'!$B$6:$B$205,0))="","",INDEX('CHRISTMAS CALENDAR'!$F$6:$F$205,MATCH($C30,'CHRISTMAS CALENDAR'!$B$6:$B$205,0))),"")))</f>
      </c>
      <c r="E30" s="93">
        <f>IF($B30="","",IF($C30="","",IFERROR(IF(INDEX('CHRISTMAS CALENDAR'!$C$6:$C$205,MATCH($C30,'CHRISTMAS CALENDAR'!$B$6:$B$205,0))="","",INDEX('CHRISTMAS CALENDAR'!$C$6:$C$205,MATCH($C30,'CHRISTMAS CALENDAR'!$B$6:$B$205,0))),"")))</f>
      </c>
      <c r="F30" s="79"/>
      <c r="G30" s="80"/>
      <c r="H30" s="79"/>
      <c r="I30" s="79"/>
      <c r="J30" s="80"/>
      <c r="K30" s="80"/>
      <c r="L30" s="82"/>
      <c r="M30" s="79"/>
      <c r="N30" s="86"/>
      <c r="O30" s="86"/>
      <c r="P30" s="79"/>
      <c r="Q30" s="79"/>
      <c r="R30" s="78">
        <f>IF($B30="","",IF(OR($P30="Ready",$P30="Worn"),"COMPLETE",IF($L30="","NO DATE",IF($L30&lt;TODAY(),"OVERDUE",IF($L30-TODAY()&lt;=7,"THIS WEEK","SCHEDULED")))))</f>
      </c>
      <c r="S30" s="80"/>
      <c r="T30" s="78">
        <f>IF($B30="",0,IF(COUNTIF('EVENTS + WARDROBE'!$B$6:$B$65,$B30)&gt;1,1,0))</f>
      </c>
      <c r="U30" s="78">
        <f>IF(OR(N($N30)&gt;0,N($O30)&gt;0),IF($M30="",1,IF(COUNTIF('MASTER BUDGET'!$D$6:$D$25,$M30)=0,1,0)),0)</f>
      </c>
      <c r="V30" s="78">
        <f>IF($C30="",0,IF(COUNTIF('CHRISTMAS CALENDAR'!$B$6:$B$205,$C30)=0,1,0))</f>
      </c>
      <c r="W30" s="75"/>
    </row>
    <row r="31" ht="17" customHeight="1" spans="1:23" x14ac:dyDescent="0.25">
      <c r="A31" s="75"/>
      <c r="B31" s="79"/>
      <c r="C31" s="79"/>
      <c r="D31" s="92">
        <f>IF($B31="","",IF($C31="","",IFERROR(IF(INDEX('CHRISTMAS CALENDAR'!$F$6:$F$205,MATCH($C31,'CHRISTMAS CALENDAR'!$B$6:$B$205,0))="","",INDEX('CHRISTMAS CALENDAR'!$F$6:$F$205,MATCH($C31,'CHRISTMAS CALENDAR'!$B$6:$B$205,0))),"")))</f>
      </c>
      <c r="E31" s="93">
        <f>IF($B31="","",IF($C31="","",IFERROR(IF(INDEX('CHRISTMAS CALENDAR'!$C$6:$C$205,MATCH($C31,'CHRISTMAS CALENDAR'!$B$6:$B$205,0))="","",INDEX('CHRISTMAS CALENDAR'!$C$6:$C$205,MATCH($C31,'CHRISTMAS CALENDAR'!$B$6:$B$205,0))),"")))</f>
      </c>
      <c r="F31" s="79"/>
      <c r="G31" s="80"/>
      <c r="H31" s="79"/>
      <c r="I31" s="79"/>
      <c r="J31" s="80"/>
      <c r="K31" s="80"/>
      <c r="L31" s="82"/>
      <c r="M31" s="79"/>
      <c r="N31" s="86"/>
      <c r="O31" s="86"/>
      <c r="P31" s="79"/>
      <c r="Q31" s="79"/>
      <c r="R31" s="78">
        <f>IF($B31="","",IF(OR($P31="Ready",$P31="Worn"),"COMPLETE",IF($L31="","NO DATE",IF($L31&lt;TODAY(),"OVERDUE",IF($L31-TODAY()&lt;=7,"THIS WEEK","SCHEDULED")))))</f>
      </c>
      <c r="S31" s="80"/>
      <c r="T31" s="78">
        <f>IF($B31="",0,IF(COUNTIF('EVENTS + WARDROBE'!$B$6:$B$65,$B31)&gt;1,1,0))</f>
      </c>
      <c r="U31" s="78">
        <f>IF(OR(N($N31)&gt;0,N($O31)&gt;0),IF($M31="",1,IF(COUNTIF('MASTER BUDGET'!$D$6:$D$25,$M31)=0,1,0)),0)</f>
      </c>
      <c r="V31" s="78">
        <f>IF($C31="",0,IF(COUNTIF('CHRISTMAS CALENDAR'!$B$6:$B$205,$C31)=0,1,0))</f>
      </c>
      <c r="W31" s="75"/>
    </row>
    <row r="32" ht="17" customHeight="1" spans="1:23" x14ac:dyDescent="0.25">
      <c r="A32" s="75"/>
      <c r="B32" s="79"/>
      <c r="C32" s="79"/>
      <c r="D32" s="92">
        <f>IF($B32="","",IF($C32="","",IFERROR(IF(INDEX('CHRISTMAS CALENDAR'!$F$6:$F$205,MATCH($C32,'CHRISTMAS CALENDAR'!$B$6:$B$205,0))="","",INDEX('CHRISTMAS CALENDAR'!$F$6:$F$205,MATCH($C32,'CHRISTMAS CALENDAR'!$B$6:$B$205,0))),"")))</f>
      </c>
      <c r="E32" s="93">
        <f>IF($B32="","",IF($C32="","",IFERROR(IF(INDEX('CHRISTMAS CALENDAR'!$C$6:$C$205,MATCH($C32,'CHRISTMAS CALENDAR'!$B$6:$B$205,0))="","",INDEX('CHRISTMAS CALENDAR'!$C$6:$C$205,MATCH($C32,'CHRISTMAS CALENDAR'!$B$6:$B$205,0))),"")))</f>
      </c>
      <c r="F32" s="79"/>
      <c r="G32" s="80"/>
      <c r="H32" s="79"/>
      <c r="I32" s="79"/>
      <c r="J32" s="80"/>
      <c r="K32" s="80"/>
      <c r="L32" s="82"/>
      <c r="M32" s="79"/>
      <c r="N32" s="86"/>
      <c r="O32" s="86"/>
      <c r="P32" s="79"/>
      <c r="Q32" s="79"/>
      <c r="R32" s="78">
        <f>IF($B32="","",IF(OR($P32="Ready",$P32="Worn"),"COMPLETE",IF($L32="","NO DATE",IF($L32&lt;TODAY(),"OVERDUE",IF($L32-TODAY()&lt;=7,"THIS WEEK","SCHEDULED")))))</f>
      </c>
      <c r="S32" s="80"/>
      <c r="T32" s="78">
        <f>IF($B32="",0,IF(COUNTIF('EVENTS + WARDROBE'!$B$6:$B$65,$B32)&gt;1,1,0))</f>
      </c>
      <c r="U32" s="78">
        <f>IF(OR(N($N32)&gt;0,N($O32)&gt;0),IF($M32="",1,IF(COUNTIF('MASTER BUDGET'!$D$6:$D$25,$M32)=0,1,0)),0)</f>
      </c>
      <c r="V32" s="78">
        <f>IF($C32="",0,IF(COUNTIF('CHRISTMAS CALENDAR'!$B$6:$B$205,$C32)=0,1,0))</f>
      </c>
      <c r="W32" s="75"/>
    </row>
    <row r="33" ht="17" customHeight="1" spans="1:23" x14ac:dyDescent="0.25">
      <c r="A33" s="75"/>
      <c r="B33" s="79"/>
      <c r="C33" s="79"/>
      <c r="D33" s="92">
        <f>IF($B33="","",IF($C33="","",IFERROR(IF(INDEX('CHRISTMAS CALENDAR'!$F$6:$F$205,MATCH($C33,'CHRISTMAS CALENDAR'!$B$6:$B$205,0))="","",INDEX('CHRISTMAS CALENDAR'!$F$6:$F$205,MATCH($C33,'CHRISTMAS CALENDAR'!$B$6:$B$205,0))),"")))</f>
      </c>
      <c r="E33" s="93">
        <f>IF($B33="","",IF($C33="","",IFERROR(IF(INDEX('CHRISTMAS CALENDAR'!$C$6:$C$205,MATCH($C33,'CHRISTMAS CALENDAR'!$B$6:$B$205,0))="","",INDEX('CHRISTMAS CALENDAR'!$C$6:$C$205,MATCH($C33,'CHRISTMAS CALENDAR'!$B$6:$B$205,0))),"")))</f>
      </c>
      <c r="F33" s="79"/>
      <c r="G33" s="80"/>
      <c r="H33" s="79"/>
      <c r="I33" s="79"/>
      <c r="J33" s="80"/>
      <c r="K33" s="80"/>
      <c r="L33" s="82"/>
      <c r="M33" s="79"/>
      <c r="N33" s="86"/>
      <c r="O33" s="86"/>
      <c r="P33" s="79"/>
      <c r="Q33" s="79"/>
      <c r="R33" s="78">
        <f>IF($B33="","",IF(OR($P33="Ready",$P33="Worn"),"COMPLETE",IF($L33="","NO DATE",IF($L33&lt;TODAY(),"OVERDUE",IF($L33-TODAY()&lt;=7,"THIS WEEK","SCHEDULED")))))</f>
      </c>
      <c r="S33" s="80"/>
      <c r="T33" s="78">
        <f>IF($B33="",0,IF(COUNTIF('EVENTS + WARDROBE'!$B$6:$B$65,$B33)&gt;1,1,0))</f>
      </c>
      <c r="U33" s="78">
        <f>IF(OR(N($N33)&gt;0,N($O33)&gt;0),IF($M33="",1,IF(COUNTIF('MASTER BUDGET'!$D$6:$D$25,$M33)=0,1,0)),0)</f>
      </c>
      <c r="V33" s="78">
        <f>IF($C33="",0,IF(COUNTIF('CHRISTMAS CALENDAR'!$B$6:$B$205,$C33)=0,1,0))</f>
      </c>
      <c r="W33" s="75"/>
    </row>
    <row r="34" ht="17" customHeight="1" spans="1:23" x14ac:dyDescent="0.25">
      <c r="A34" s="75"/>
      <c r="B34" s="79"/>
      <c r="C34" s="79"/>
      <c r="D34" s="92">
        <f>IF($B34="","",IF($C34="","",IFERROR(IF(INDEX('CHRISTMAS CALENDAR'!$F$6:$F$205,MATCH($C34,'CHRISTMAS CALENDAR'!$B$6:$B$205,0))="","",INDEX('CHRISTMAS CALENDAR'!$F$6:$F$205,MATCH($C34,'CHRISTMAS CALENDAR'!$B$6:$B$205,0))),"")))</f>
      </c>
      <c r="E34" s="93">
        <f>IF($B34="","",IF($C34="","",IFERROR(IF(INDEX('CHRISTMAS CALENDAR'!$C$6:$C$205,MATCH($C34,'CHRISTMAS CALENDAR'!$B$6:$B$205,0))="","",INDEX('CHRISTMAS CALENDAR'!$C$6:$C$205,MATCH($C34,'CHRISTMAS CALENDAR'!$B$6:$B$205,0))),"")))</f>
      </c>
      <c r="F34" s="79"/>
      <c r="G34" s="80"/>
      <c r="H34" s="79"/>
      <c r="I34" s="79"/>
      <c r="J34" s="80"/>
      <c r="K34" s="80"/>
      <c r="L34" s="82"/>
      <c r="M34" s="79"/>
      <c r="N34" s="86"/>
      <c r="O34" s="86"/>
      <c r="P34" s="79"/>
      <c r="Q34" s="79"/>
      <c r="R34" s="78">
        <f>IF($B34="","",IF(OR($P34="Ready",$P34="Worn"),"COMPLETE",IF($L34="","NO DATE",IF($L34&lt;TODAY(),"OVERDUE",IF($L34-TODAY()&lt;=7,"THIS WEEK","SCHEDULED")))))</f>
      </c>
      <c r="S34" s="80"/>
      <c r="T34" s="78">
        <f>IF($B34="",0,IF(COUNTIF('EVENTS + WARDROBE'!$B$6:$B$65,$B34)&gt;1,1,0))</f>
      </c>
      <c r="U34" s="78">
        <f>IF(OR(N($N34)&gt;0,N($O34)&gt;0),IF($M34="",1,IF(COUNTIF('MASTER BUDGET'!$D$6:$D$25,$M34)=0,1,0)),0)</f>
      </c>
      <c r="V34" s="78">
        <f>IF($C34="",0,IF(COUNTIF('CHRISTMAS CALENDAR'!$B$6:$B$205,$C34)=0,1,0))</f>
      </c>
      <c r="W34" s="75"/>
    </row>
    <row r="35" ht="17" customHeight="1" spans="1:23" x14ac:dyDescent="0.25">
      <c r="A35" s="75"/>
      <c r="B35" s="79"/>
      <c r="C35" s="79"/>
      <c r="D35" s="92">
        <f>IF($B35="","",IF($C35="","",IFERROR(IF(INDEX('CHRISTMAS CALENDAR'!$F$6:$F$205,MATCH($C35,'CHRISTMAS CALENDAR'!$B$6:$B$205,0))="","",INDEX('CHRISTMAS CALENDAR'!$F$6:$F$205,MATCH($C35,'CHRISTMAS CALENDAR'!$B$6:$B$205,0))),"")))</f>
      </c>
      <c r="E35" s="93">
        <f>IF($B35="","",IF($C35="","",IFERROR(IF(INDEX('CHRISTMAS CALENDAR'!$C$6:$C$205,MATCH($C35,'CHRISTMAS CALENDAR'!$B$6:$B$205,0))="","",INDEX('CHRISTMAS CALENDAR'!$C$6:$C$205,MATCH($C35,'CHRISTMAS CALENDAR'!$B$6:$B$205,0))),"")))</f>
      </c>
      <c r="F35" s="79"/>
      <c r="G35" s="80"/>
      <c r="H35" s="79"/>
      <c r="I35" s="79"/>
      <c r="J35" s="80"/>
      <c r="K35" s="80"/>
      <c r="L35" s="82"/>
      <c r="M35" s="79"/>
      <c r="N35" s="86"/>
      <c r="O35" s="86"/>
      <c r="P35" s="79"/>
      <c r="Q35" s="79"/>
      <c r="R35" s="78">
        <f>IF($B35="","",IF(OR($P35="Ready",$P35="Worn"),"COMPLETE",IF($L35="","NO DATE",IF($L35&lt;TODAY(),"OVERDUE",IF($L35-TODAY()&lt;=7,"THIS WEEK","SCHEDULED")))))</f>
      </c>
      <c r="S35" s="80"/>
      <c r="T35" s="78">
        <f>IF($B35="",0,IF(COUNTIF('EVENTS + WARDROBE'!$B$6:$B$65,$B35)&gt;1,1,0))</f>
      </c>
      <c r="U35" s="78">
        <f>IF(OR(N($N35)&gt;0,N($O35)&gt;0),IF($M35="",1,IF(COUNTIF('MASTER BUDGET'!$D$6:$D$25,$M35)=0,1,0)),0)</f>
      </c>
      <c r="V35" s="78">
        <f>IF($C35="",0,IF(COUNTIF('CHRISTMAS CALENDAR'!$B$6:$B$205,$C35)=0,1,0))</f>
      </c>
      <c r="W35" s="75"/>
    </row>
    <row r="36" ht="17" customHeight="1" spans="1:23" x14ac:dyDescent="0.25">
      <c r="A36" s="75"/>
      <c r="B36" s="79"/>
      <c r="C36" s="79"/>
      <c r="D36" s="92">
        <f>IF($B36="","",IF($C36="","",IFERROR(IF(INDEX('CHRISTMAS CALENDAR'!$F$6:$F$205,MATCH($C36,'CHRISTMAS CALENDAR'!$B$6:$B$205,0))="","",INDEX('CHRISTMAS CALENDAR'!$F$6:$F$205,MATCH($C36,'CHRISTMAS CALENDAR'!$B$6:$B$205,0))),"")))</f>
      </c>
      <c r="E36" s="93">
        <f>IF($B36="","",IF($C36="","",IFERROR(IF(INDEX('CHRISTMAS CALENDAR'!$C$6:$C$205,MATCH($C36,'CHRISTMAS CALENDAR'!$B$6:$B$205,0))="","",INDEX('CHRISTMAS CALENDAR'!$C$6:$C$205,MATCH($C36,'CHRISTMAS CALENDAR'!$B$6:$B$205,0))),"")))</f>
      </c>
      <c r="F36" s="79"/>
      <c r="G36" s="80"/>
      <c r="H36" s="79"/>
      <c r="I36" s="79"/>
      <c r="J36" s="80"/>
      <c r="K36" s="80"/>
      <c r="L36" s="82"/>
      <c r="M36" s="79"/>
      <c r="N36" s="86"/>
      <c r="O36" s="86"/>
      <c r="P36" s="79"/>
      <c r="Q36" s="79"/>
      <c r="R36" s="78">
        <f>IF($B36="","",IF(OR($P36="Ready",$P36="Worn"),"COMPLETE",IF($L36="","NO DATE",IF($L36&lt;TODAY(),"OVERDUE",IF($L36-TODAY()&lt;=7,"THIS WEEK","SCHEDULED")))))</f>
      </c>
      <c r="S36" s="80"/>
      <c r="T36" s="78">
        <f>IF($B36="",0,IF(COUNTIF('EVENTS + WARDROBE'!$B$6:$B$65,$B36)&gt;1,1,0))</f>
      </c>
      <c r="U36" s="78">
        <f>IF(OR(N($N36)&gt;0,N($O36)&gt;0),IF($M36="",1,IF(COUNTIF('MASTER BUDGET'!$D$6:$D$25,$M36)=0,1,0)),0)</f>
      </c>
      <c r="V36" s="78">
        <f>IF($C36="",0,IF(COUNTIF('CHRISTMAS CALENDAR'!$B$6:$B$205,$C36)=0,1,0))</f>
      </c>
      <c r="W36" s="75"/>
    </row>
    <row r="37" ht="17" customHeight="1" spans="1:23" x14ac:dyDescent="0.25">
      <c r="A37" s="75"/>
      <c r="B37" s="79"/>
      <c r="C37" s="79"/>
      <c r="D37" s="92">
        <f>IF($B37="","",IF($C37="","",IFERROR(IF(INDEX('CHRISTMAS CALENDAR'!$F$6:$F$205,MATCH($C37,'CHRISTMAS CALENDAR'!$B$6:$B$205,0))="","",INDEX('CHRISTMAS CALENDAR'!$F$6:$F$205,MATCH($C37,'CHRISTMAS CALENDAR'!$B$6:$B$205,0))),"")))</f>
      </c>
      <c r="E37" s="93">
        <f>IF($B37="","",IF($C37="","",IFERROR(IF(INDEX('CHRISTMAS CALENDAR'!$C$6:$C$205,MATCH($C37,'CHRISTMAS CALENDAR'!$B$6:$B$205,0))="","",INDEX('CHRISTMAS CALENDAR'!$C$6:$C$205,MATCH($C37,'CHRISTMAS CALENDAR'!$B$6:$B$205,0))),"")))</f>
      </c>
      <c r="F37" s="79"/>
      <c r="G37" s="80"/>
      <c r="H37" s="79"/>
      <c r="I37" s="79"/>
      <c r="J37" s="80"/>
      <c r="K37" s="80"/>
      <c r="L37" s="82"/>
      <c r="M37" s="79"/>
      <c r="N37" s="86"/>
      <c r="O37" s="86"/>
      <c r="P37" s="79"/>
      <c r="Q37" s="79"/>
      <c r="R37" s="78">
        <f>IF($B37="","",IF(OR($P37="Ready",$P37="Worn"),"COMPLETE",IF($L37="","NO DATE",IF($L37&lt;TODAY(),"OVERDUE",IF($L37-TODAY()&lt;=7,"THIS WEEK","SCHEDULED")))))</f>
      </c>
      <c r="S37" s="80"/>
      <c r="T37" s="78">
        <f>IF($B37="",0,IF(COUNTIF('EVENTS + WARDROBE'!$B$6:$B$65,$B37)&gt;1,1,0))</f>
      </c>
      <c r="U37" s="78">
        <f>IF(OR(N($N37)&gt;0,N($O37)&gt;0),IF($M37="",1,IF(COUNTIF('MASTER BUDGET'!$D$6:$D$25,$M37)=0,1,0)),0)</f>
      </c>
      <c r="V37" s="78">
        <f>IF($C37="",0,IF(COUNTIF('CHRISTMAS CALENDAR'!$B$6:$B$205,$C37)=0,1,0))</f>
      </c>
      <c r="W37" s="75"/>
    </row>
    <row r="38" ht="17" customHeight="1" spans="1:23" x14ac:dyDescent="0.25">
      <c r="A38" s="75"/>
      <c r="B38" s="79"/>
      <c r="C38" s="79"/>
      <c r="D38" s="92">
        <f>IF($B38="","",IF($C38="","",IFERROR(IF(INDEX('CHRISTMAS CALENDAR'!$F$6:$F$205,MATCH($C38,'CHRISTMAS CALENDAR'!$B$6:$B$205,0))="","",INDEX('CHRISTMAS CALENDAR'!$F$6:$F$205,MATCH($C38,'CHRISTMAS CALENDAR'!$B$6:$B$205,0))),"")))</f>
      </c>
      <c r="E38" s="93">
        <f>IF($B38="","",IF($C38="","",IFERROR(IF(INDEX('CHRISTMAS CALENDAR'!$C$6:$C$205,MATCH($C38,'CHRISTMAS CALENDAR'!$B$6:$B$205,0))="","",INDEX('CHRISTMAS CALENDAR'!$C$6:$C$205,MATCH($C38,'CHRISTMAS CALENDAR'!$B$6:$B$205,0))),"")))</f>
      </c>
      <c r="F38" s="79"/>
      <c r="G38" s="80"/>
      <c r="H38" s="79"/>
      <c r="I38" s="79"/>
      <c r="J38" s="80"/>
      <c r="K38" s="80"/>
      <c r="L38" s="82"/>
      <c r="M38" s="79"/>
      <c r="N38" s="86"/>
      <c r="O38" s="86"/>
      <c r="P38" s="79"/>
      <c r="Q38" s="79"/>
      <c r="R38" s="78">
        <f>IF($B38="","",IF(OR($P38="Ready",$P38="Worn"),"COMPLETE",IF($L38="","NO DATE",IF($L38&lt;TODAY(),"OVERDUE",IF($L38-TODAY()&lt;=7,"THIS WEEK","SCHEDULED")))))</f>
      </c>
      <c r="S38" s="80"/>
      <c r="T38" s="78">
        <f>IF($B38="",0,IF(COUNTIF('EVENTS + WARDROBE'!$B$6:$B$65,$B38)&gt;1,1,0))</f>
      </c>
      <c r="U38" s="78">
        <f>IF(OR(N($N38)&gt;0,N($O38)&gt;0),IF($M38="",1,IF(COUNTIF('MASTER BUDGET'!$D$6:$D$25,$M38)=0,1,0)),0)</f>
      </c>
      <c r="V38" s="78">
        <f>IF($C38="",0,IF(COUNTIF('CHRISTMAS CALENDAR'!$B$6:$B$205,$C38)=0,1,0))</f>
      </c>
      <c r="W38" s="75"/>
    </row>
    <row r="39" ht="17" customHeight="1" spans="1:23" x14ac:dyDescent="0.25">
      <c r="A39" s="75"/>
      <c r="B39" s="79"/>
      <c r="C39" s="79"/>
      <c r="D39" s="92">
        <f>IF($B39="","",IF($C39="","",IFERROR(IF(INDEX('CHRISTMAS CALENDAR'!$F$6:$F$205,MATCH($C39,'CHRISTMAS CALENDAR'!$B$6:$B$205,0))="","",INDEX('CHRISTMAS CALENDAR'!$F$6:$F$205,MATCH($C39,'CHRISTMAS CALENDAR'!$B$6:$B$205,0))),"")))</f>
      </c>
      <c r="E39" s="93">
        <f>IF($B39="","",IF($C39="","",IFERROR(IF(INDEX('CHRISTMAS CALENDAR'!$C$6:$C$205,MATCH($C39,'CHRISTMAS CALENDAR'!$B$6:$B$205,0))="","",INDEX('CHRISTMAS CALENDAR'!$C$6:$C$205,MATCH($C39,'CHRISTMAS CALENDAR'!$B$6:$B$205,0))),"")))</f>
      </c>
      <c r="F39" s="79"/>
      <c r="G39" s="80"/>
      <c r="H39" s="79"/>
      <c r="I39" s="79"/>
      <c r="J39" s="80"/>
      <c r="K39" s="80"/>
      <c r="L39" s="82"/>
      <c r="M39" s="79"/>
      <c r="N39" s="86"/>
      <c r="O39" s="86"/>
      <c r="P39" s="79"/>
      <c r="Q39" s="79"/>
      <c r="R39" s="78">
        <f>IF($B39="","",IF(OR($P39="Ready",$P39="Worn"),"COMPLETE",IF($L39="","NO DATE",IF($L39&lt;TODAY(),"OVERDUE",IF($L39-TODAY()&lt;=7,"THIS WEEK","SCHEDULED")))))</f>
      </c>
      <c r="S39" s="80"/>
      <c r="T39" s="78">
        <f>IF($B39="",0,IF(COUNTIF('EVENTS + WARDROBE'!$B$6:$B$65,$B39)&gt;1,1,0))</f>
      </c>
      <c r="U39" s="78">
        <f>IF(OR(N($N39)&gt;0,N($O39)&gt;0),IF($M39="",1,IF(COUNTIF('MASTER BUDGET'!$D$6:$D$25,$M39)=0,1,0)),0)</f>
      </c>
      <c r="V39" s="78">
        <f>IF($C39="",0,IF(COUNTIF('CHRISTMAS CALENDAR'!$B$6:$B$205,$C39)=0,1,0))</f>
      </c>
      <c r="W39" s="75"/>
    </row>
    <row r="40" ht="17" customHeight="1" spans="1:23" x14ac:dyDescent="0.25">
      <c r="A40" s="75"/>
      <c r="B40" s="79"/>
      <c r="C40" s="79"/>
      <c r="D40" s="92">
        <f>IF($B40="","",IF($C40="","",IFERROR(IF(INDEX('CHRISTMAS CALENDAR'!$F$6:$F$205,MATCH($C40,'CHRISTMAS CALENDAR'!$B$6:$B$205,0))="","",INDEX('CHRISTMAS CALENDAR'!$F$6:$F$205,MATCH($C40,'CHRISTMAS CALENDAR'!$B$6:$B$205,0))),"")))</f>
      </c>
      <c r="E40" s="93">
        <f>IF($B40="","",IF($C40="","",IFERROR(IF(INDEX('CHRISTMAS CALENDAR'!$C$6:$C$205,MATCH($C40,'CHRISTMAS CALENDAR'!$B$6:$B$205,0))="","",INDEX('CHRISTMAS CALENDAR'!$C$6:$C$205,MATCH($C40,'CHRISTMAS CALENDAR'!$B$6:$B$205,0))),"")))</f>
      </c>
      <c r="F40" s="79"/>
      <c r="G40" s="80"/>
      <c r="H40" s="79"/>
      <c r="I40" s="79"/>
      <c r="J40" s="80"/>
      <c r="K40" s="80"/>
      <c r="L40" s="82"/>
      <c r="M40" s="79"/>
      <c r="N40" s="86"/>
      <c r="O40" s="86"/>
      <c r="P40" s="79"/>
      <c r="Q40" s="79"/>
      <c r="R40" s="78">
        <f>IF($B40="","",IF(OR($P40="Ready",$P40="Worn"),"COMPLETE",IF($L40="","NO DATE",IF($L40&lt;TODAY(),"OVERDUE",IF($L40-TODAY()&lt;=7,"THIS WEEK","SCHEDULED")))))</f>
      </c>
      <c r="S40" s="80"/>
      <c r="T40" s="78">
        <f>IF($B40="",0,IF(COUNTIF('EVENTS + WARDROBE'!$B$6:$B$65,$B40)&gt;1,1,0))</f>
      </c>
      <c r="U40" s="78">
        <f>IF(OR(N($N40)&gt;0,N($O40)&gt;0),IF($M40="",1,IF(COUNTIF('MASTER BUDGET'!$D$6:$D$25,$M40)=0,1,0)),0)</f>
      </c>
      <c r="V40" s="78">
        <f>IF($C40="",0,IF(COUNTIF('CHRISTMAS CALENDAR'!$B$6:$B$205,$C40)=0,1,0))</f>
      </c>
      <c r="W40" s="75"/>
    </row>
    <row r="41" ht="17" customHeight="1" spans="1:23" x14ac:dyDescent="0.25">
      <c r="A41" s="75"/>
      <c r="B41" s="79"/>
      <c r="C41" s="79"/>
      <c r="D41" s="92">
        <f>IF($B41="","",IF($C41="","",IFERROR(IF(INDEX('CHRISTMAS CALENDAR'!$F$6:$F$205,MATCH($C41,'CHRISTMAS CALENDAR'!$B$6:$B$205,0))="","",INDEX('CHRISTMAS CALENDAR'!$F$6:$F$205,MATCH($C41,'CHRISTMAS CALENDAR'!$B$6:$B$205,0))),"")))</f>
      </c>
      <c r="E41" s="93">
        <f>IF($B41="","",IF($C41="","",IFERROR(IF(INDEX('CHRISTMAS CALENDAR'!$C$6:$C$205,MATCH($C41,'CHRISTMAS CALENDAR'!$B$6:$B$205,0))="","",INDEX('CHRISTMAS CALENDAR'!$C$6:$C$205,MATCH($C41,'CHRISTMAS CALENDAR'!$B$6:$B$205,0))),"")))</f>
      </c>
      <c r="F41" s="79"/>
      <c r="G41" s="80"/>
      <c r="H41" s="79"/>
      <c r="I41" s="79"/>
      <c r="J41" s="80"/>
      <c r="K41" s="80"/>
      <c r="L41" s="82"/>
      <c r="M41" s="79"/>
      <c r="N41" s="86"/>
      <c r="O41" s="86"/>
      <c r="P41" s="79"/>
      <c r="Q41" s="79"/>
      <c r="R41" s="78">
        <f>IF($B41="","",IF(OR($P41="Ready",$P41="Worn"),"COMPLETE",IF($L41="","NO DATE",IF($L41&lt;TODAY(),"OVERDUE",IF($L41-TODAY()&lt;=7,"THIS WEEK","SCHEDULED")))))</f>
      </c>
      <c r="S41" s="80"/>
      <c r="T41" s="78">
        <f>IF($B41="",0,IF(COUNTIF('EVENTS + WARDROBE'!$B$6:$B$65,$B41)&gt;1,1,0))</f>
      </c>
      <c r="U41" s="78">
        <f>IF(OR(N($N41)&gt;0,N($O41)&gt;0),IF($M41="",1,IF(COUNTIF('MASTER BUDGET'!$D$6:$D$25,$M41)=0,1,0)),0)</f>
      </c>
      <c r="V41" s="78">
        <f>IF($C41="",0,IF(COUNTIF('CHRISTMAS CALENDAR'!$B$6:$B$205,$C41)=0,1,0))</f>
      </c>
      <c r="W41" s="75"/>
    </row>
    <row r="42" ht="17" customHeight="1" spans="1:23" x14ac:dyDescent="0.25">
      <c r="A42" s="75"/>
      <c r="B42" s="79"/>
      <c r="C42" s="79"/>
      <c r="D42" s="92">
        <f>IF($B42="","",IF($C42="","",IFERROR(IF(INDEX('CHRISTMAS CALENDAR'!$F$6:$F$205,MATCH($C42,'CHRISTMAS CALENDAR'!$B$6:$B$205,0))="","",INDEX('CHRISTMAS CALENDAR'!$F$6:$F$205,MATCH($C42,'CHRISTMAS CALENDAR'!$B$6:$B$205,0))),"")))</f>
      </c>
      <c r="E42" s="93">
        <f>IF($B42="","",IF($C42="","",IFERROR(IF(INDEX('CHRISTMAS CALENDAR'!$C$6:$C$205,MATCH($C42,'CHRISTMAS CALENDAR'!$B$6:$B$205,0))="","",INDEX('CHRISTMAS CALENDAR'!$C$6:$C$205,MATCH($C42,'CHRISTMAS CALENDAR'!$B$6:$B$205,0))),"")))</f>
      </c>
      <c r="F42" s="79"/>
      <c r="G42" s="80"/>
      <c r="H42" s="79"/>
      <c r="I42" s="79"/>
      <c r="J42" s="80"/>
      <c r="K42" s="80"/>
      <c r="L42" s="82"/>
      <c r="M42" s="79"/>
      <c r="N42" s="86"/>
      <c r="O42" s="86"/>
      <c r="P42" s="79"/>
      <c r="Q42" s="79"/>
      <c r="R42" s="78">
        <f>IF($B42="","",IF(OR($P42="Ready",$P42="Worn"),"COMPLETE",IF($L42="","NO DATE",IF($L42&lt;TODAY(),"OVERDUE",IF($L42-TODAY()&lt;=7,"THIS WEEK","SCHEDULED")))))</f>
      </c>
      <c r="S42" s="80"/>
      <c r="T42" s="78">
        <f>IF($B42="",0,IF(COUNTIF('EVENTS + WARDROBE'!$B$6:$B$65,$B42)&gt;1,1,0))</f>
      </c>
      <c r="U42" s="78">
        <f>IF(OR(N($N42)&gt;0,N($O42)&gt;0),IF($M42="",1,IF(COUNTIF('MASTER BUDGET'!$D$6:$D$25,$M42)=0,1,0)),0)</f>
      </c>
      <c r="V42" s="78">
        <f>IF($C42="",0,IF(COUNTIF('CHRISTMAS CALENDAR'!$B$6:$B$205,$C42)=0,1,0))</f>
      </c>
      <c r="W42" s="75"/>
    </row>
    <row r="43" ht="17" customHeight="1" spans="1:23" x14ac:dyDescent="0.25">
      <c r="A43" s="75"/>
      <c r="B43" s="79"/>
      <c r="C43" s="79"/>
      <c r="D43" s="92">
        <f>IF($B43="","",IF($C43="","",IFERROR(IF(INDEX('CHRISTMAS CALENDAR'!$F$6:$F$205,MATCH($C43,'CHRISTMAS CALENDAR'!$B$6:$B$205,0))="","",INDEX('CHRISTMAS CALENDAR'!$F$6:$F$205,MATCH($C43,'CHRISTMAS CALENDAR'!$B$6:$B$205,0))),"")))</f>
      </c>
      <c r="E43" s="93">
        <f>IF($B43="","",IF($C43="","",IFERROR(IF(INDEX('CHRISTMAS CALENDAR'!$C$6:$C$205,MATCH($C43,'CHRISTMAS CALENDAR'!$B$6:$B$205,0))="","",INDEX('CHRISTMAS CALENDAR'!$C$6:$C$205,MATCH($C43,'CHRISTMAS CALENDAR'!$B$6:$B$205,0))),"")))</f>
      </c>
      <c r="F43" s="79"/>
      <c r="G43" s="80"/>
      <c r="H43" s="79"/>
      <c r="I43" s="79"/>
      <c r="J43" s="80"/>
      <c r="K43" s="80"/>
      <c r="L43" s="82"/>
      <c r="M43" s="79"/>
      <c r="N43" s="86"/>
      <c r="O43" s="86"/>
      <c r="P43" s="79"/>
      <c r="Q43" s="79"/>
      <c r="R43" s="78">
        <f>IF($B43="","",IF(OR($P43="Ready",$P43="Worn"),"COMPLETE",IF($L43="","NO DATE",IF($L43&lt;TODAY(),"OVERDUE",IF($L43-TODAY()&lt;=7,"THIS WEEK","SCHEDULED")))))</f>
      </c>
      <c r="S43" s="80"/>
      <c r="T43" s="78">
        <f>IF($B43="",0,IF(COUNTIF('EVENTS + WARDROBE'!$B$6:$B$65,$B43)&gt;1,1,0))</f>
      </c>
      <c r="U43" s="78">
        <f>IF(OR(N($N43)&gt;0,N($O43)&gt;0),IF($M43="",1,IF(COUNTIF('MASTER BUDGET'!$D$6:$D$25,$M43)=0,1,0)),0)</f>
      </c>
      <c r="V43" s="78">
        <f>IF($C43="",0,IF(COUNTIF('CHRISTMAS CALENDAR'!$B$6:$B$205,$C43)=0,1,0))</f>
      </c>
      <c r="W43" s="75"/>
    </row>
    <row r="44" ht="17" customHeight="1" spans="1:23" x14ac:dyDescent="0.25">
      <c r="A44" s="75"/>
      <c r="B44" s="79"/>
      <c r="C44" s="79"/>
      <c r="D44" s="92">
        <f>IF($B44="","",IF($C44="","",IFERROR(IF(INDEX('CHRISTMAS CALENDAR'!$F$6:$F$205,MATCH($C44,'CHRISTMAS CALENDAR'!$B$6:$B$205,0))="","",INDEX('CHRISTMAS CALENDAR'!$F$6:$F$205,MATCH($C44,'CHRISTMAS CALENDAR'!$B$6:$B$205,0))),"")))</f>
      </c>
      <c r="E44" s="93">
        <f>IF($B44="","",IF($C44="","",IFERROR(IF(INDEX('CHRISTMAS CALENDAR'!$C$6:$C$205,MATCH($C44,'CHRISTMAS CALENDAR'!$B$6:$B$205,0))="","",INDEX('CHRISTMAS CALENDAR'!$C$6:$C$205,MATCH($C44,'CHRISTMAS CALENDAR'!$B$6:$B$205,0))),"")))</f>
      </c>
      <c r="F44" s="79"/>
      <c r="G44" s="80"/>
      <c r="H44" s="79"/>
      <c r="I44" s="79"/>
      <c r="J44" s="80"/>
      <c r="K44" s="80"/>
      <c r="L44" s="82"/>
      <c r="M44" s="79"/>
      <c r="N44" s="86"/>
      <c r="O44" s="86"/>
      <c r="P44" s="79"/>
      <c r="Q44" s="79"/>
      <c r="R44" s="78">
        <f>IF($B44="","",IF(OR($P44="Ready",$P44="Worn"),"COMPLETE",IF($L44="","NO DATE",IF($L44&lt;TODAY(),"OVERDUE",IF($L44-TODAY()&lt;=7,"THIS WEEK","SCHEDULED")))))</f>
      </c>
      <c r="S44" s="80"/>
      <c r="T44" s="78">
        <f>IF($B44="",0,IF(COUNTIF('EVENTS + WARDROBE'!$B$6:$B$65,$B44)&gt;1,1,0))</f>
      </c>
      <c r="U44" s="78">
        <f>IF(OR(N($N44)&gt;0,N($O44)&gt;0),IF($M44="",1,IF(COUNTIF('MASTER BUDGET'!$D$6:$D$25,$M44)=0,1,0)),0)</f>
      </c>
      <c r="V44" s="78">
        <f>IF($C44="",0,IF(COUNTIF('CHRISTMAS CALENDAR'!$B$6:$B$205,$C44)=0,1,0))</f>
      </c>
      <c r="W44" s="75"/>
    </row>
    <row r="45" ht="17" customHeight="1" spans="1:23" x14ac:dyDescent="0.25">
      <c r="A45" s="75"/>
      <c r="B45" s="79"/>
      <c r="C45" s="79"/>
      <c r="D45" s="92">
        <f>IF($B45="","",IF($C45="","",IFERROR(IF(INDEX('CHRISTMAS CALENDAR'!$F$6:$F$205,MATCH($C45,'CHRISTMAS CALENDAR'!$B$6:$B$205,0))="","",INDEX('CHRISTMAS CALENDAR'!$F$6:$F$205,MATCH($C45,'CHRISTMAS CALENDAR'!$B$6:$B$205,0))),"")))</f>
      </c>
      <c r="E45" s="93">
        <f>IF($B45="","",IF($C45="","",IFERROR(IF(INDEX('CHRISTMAS CALENDAR'!$C$6:$C$205,MATCH($C45,'CHRISTMAS CALENDAR'!$B$6:$B$205,0))="","",INDEX('CHRISTMAS CALENDAR'!$C$6:$C$205,MATCH($C45,'CHRISTMAS CALENDAR'!$B$6:$B$205,0))),"")))</f>
      </c>
      <c r="F45" s="79"/>
      <c r="G45" s="80"/>
      <c r="H45" s="79"/>
      <c r="I45" s="79"/>
      <c r="J45" s="80"/>
      <c r="K45" s="80"/>
      <c r="L45" s="82"/>
      <c r="M45" s="79"/>
      <c r="N45" s="86"/>
      <c r="O45" s="86"/>
      <c r="P45" s="79"/>
      <c r="Q45" s="79"/>
      <c r="R45" s="78">
        <f>IF($B45="","",IF(OR($P45="Ready",$P45="Worn"),"COMPLETE",IF($L45="","NO DATE",IF($L45&lt;TODAY(),"OVERDUE",IF($L45-TODAY()&lt;=7,"THIS WEEK","SCHEDULED")))))</f>
      </c>
      <c r="S45" s="80"/>
      <c r="T45" s="78">
        <f>IF($B45="",0,IF(COUNTIF('EVENTS + WARDROBE'!$B$6:$B$65,$B45)&gt;1,1,0))</f>
      </c>
      <c r="U45" s="78">
        <f>IF(OR(N($N45)&gt;0,N($O45)&gt;0),IF($M45="",1,IF(COUNTIF('MASTER BUDGET'!$D$6:$D$25,$M45)=0,1,0)),0)</f>
      </c>
      <c r="V45" s="78">
        <f>IF($C45="",0,IF(COUNTIF('CHRISTMAS CALENDAR'!$B$6:$B$205,$C45)=0,1,0))</f>
      </c>
      <c r="W45" s="75"/>
    </row>
    <row r="46" ht="17" customHeight="1" spans="1:23" x14ac:dyDescent="0.25">
      <c r="A46" s="75"/>
      <c r="B46" s="79"/>
      <c r="C46" s="79"/>
      <c r="D46" s="92">
        <f>IF($B46="","",IF($C46="","",IFERROR(IF(INDEX('CHRISTMAS CALENDAR'!$F$6:$F$205,MATCH($C46,'CHRISTMAS CALENDAR'!$B$6:$B$205,0))="","",INDEX('CHRISTMAS CALENDAR'!$F$6:$F$205,MATCH($C46,'CHRISTMAS CALENDAR'!$B$6:$B$205,0))),"")))</f>
      </c>
      <c r="E46" s="93">
        <f>IF($B46="","",IF($C46="","",IFERROR(IF(INDEX('CHRISTMAS CALENDAR'!$C$6:$C$205,MATCH($C46,'CHRISTMAS CALENDAR'!$B$6:$B$205,0))="","",INDEX('CHRISTMAS CALENDAR'!$C$6:$C$205,MATCH($C46,'CHRISTMAS CALENDAR'!$B$6:$B$205,0))),"")))</f>
      </c>
      <c r="F46" s="79"/>
      <c r="G46" s="80"/>
      <c r="H46" s="79"/>
      <c r="I46" s="79"/>
      <c r="J46" s="80"/>
      <c r="K46" s="80"/>
      <c r="L46" s="82"/>
      <c r="M46" s="79"/>
      <c r="N46" s="86"/>
      <c r="O46" s="86"/>
      <c r="P46" s="79"/>
      <c r="Q46" s="79"/>
      <c r="R46" s="78">
        <f>IF($B46="","",IF(OR($P46="Ready",$P46="Worn"),"COMPLETE",IF($L46="","NO DATE",IF($L46&lt;TODAY(),"OVERDUE",IF($L46-TODAY()&lt;=7,"THIS WEEK","SCHEDULED")))))</f>
      </c>
      <c r="S46" s="80"/>
      <c r="T46" s="78">
        <f>IF($B46="",0,IF(COUNTIF('EVENTS + WARDROBE'!$B$6:$B$65,$B46)&gt;1,1,0))</f>
      </c>
      <c r="U46" s="78">
        <f>IF(OR(N($N46)&gt;0,N($O46)&gt;0),IF($M46="",1,IF(COUNTIF('MASTER BUDGET'!$D$6:$D$25,$M46)=0,1,0)),0)</f>
      </c>
      <c r="V46" s="78">
        <f>IF($C46="",0,IF(COUNTIF('CHRISTMAS CALENDAR'!$B$6:$B$205,$C46)=0,1,0))</f>
      </c>
      <c r="W46" s="75"/>
    </row>
    <row r="47" ht="17" customHeight="1" spans="1:23" x14ac:dyDescent="0.25">
      <c r="A47" s="75"/>
      <c r="B47" s="79"/>
      <c r="C47" s="79"/>
      <c r="D47" s="92">
        <f>IF($B47="","",IF($C47="","",IFERROR(IF(INDEX('CHRISTMAS CALENDAR'!$F$6:$F$205,MATCH($C47,'CHRISTMAS CALENDAR'!$B$6:$B$205,0))="","",INDEX('CHRISTMAS CALENDAR'!$F$6:$F$205,MATCH($C47,'CHRISTMAS CALENDAR'!$B$6:$B$205,0))),"")))</f>
      </c>
      <c r="E47" s="93">
        <f>IF($B47="","",IF($C47="","",IFERROR(IF(INDEX('CHRISTMAS CALENDAR'!$C$6:$C$205,MATCH($C47,'CHRISTMAS CALENDAR'!$B$6:$B$205,0))="","",INDEX('CHRISTMAS CALENDAR'!$C$6:$C$205,MATCH($C47,'CHRISTMAS CALENDAR'!$B$6:$B$205,0))),"")))</f>
      </c>
      <c r="F47" s="79"/>
      <c r="G47" s="80"/>
      <c r="H47" s="79"/>
      <c r="I47" s="79"/>
      <c r="J47" s="80"/>
      <c r="K47" s="80"/>
      <c r="L47" s="82"/>
      <c r="M47" s="79"/>
      <c r="N47" s="86"/>
      <c r="O47" s="86"/>
      <c r="P47" s="79"/>
      <c r="Q47" s="79"/>
      <c r="R47" s="78">
        <f>IF($B47="","",IF(OR($P47="Ready",$P47="Worn"),"COMPLETE",IF($L47="","NO DATE",IF($L47&lt;TODAY(),"OVERDUE",IF($L47-TODAY()&lt;=7,"THIS WEEK","SCHEDULED")))))</f>
      </c>
      <c r="S47" s="80"/>
      <c r="T47" s="78">
        <f>IF($B47="",0,IF(COUNTIF('EVENTS + WARDROBE'!$B$6:$B$65,$B47)&gt;1,1,0))</f>
      </c>
      <c r="U47" s="78">
        <f>IF(OR(N($N47)&gt;0,N($O47)&gt;0),IF($M47="",1,IF(COUNTIF('MASTER BUDGET'!$D$6:$D$25,$M47)=0,1,0)),0)</f>
      </c>
      <c r="V47" s="78">
        <f>IF($C47="",0,IF(COUNTIF('CHRISTMAS CALENDAR'!$B$6:$B$205,$C47)=0,1,0))</f>
      </c>
      <c r="W47" s="75"/>
    </row>
    <row r="48" ht="17" customHeight="1" spans="1:23" x14ac:dyDescent="0.25">
      <c r="A48" s="75"/>
      <c r="B48" s="79"/>
      <c r="C48" s="79"/>
      <c r="D48" s="92">
        <f>IF($B48="","",IF($C48="","",IFERROR(IF(INDEX('CHRISTMAS CALENDAR'!$F$6:$F$205,MATCH($C48,'CHRISTMAS CALENDAR'!$B$6:$B$205,0))="","",INDEX('CHRISTMAS CALENDAR'!$F$6:$F$205,MATCH($C48,'CHRISTMAS CALENDAR'!$B$6:$B$205,0))),"")))</f>
      </c>
      <c r="E48" s="93">
        <f>IF($B48="","",IF($C48="","",IFERROR(IF(INDEX('CHRISTMAS CALENDAR'!$C$6:$C$205,MATCH($C48,'CHRISTMAS CALENDAR'!$B$6:$B$205,0))="","",INDEX('CHRISTMAS CALENDAR'!$C$6:$C$205,MATCH($C48,'CHRISTMAS CALENDAR'!$B$6:$B$205,0))),"")))</f>
      </c>
      <c r="F48" s="79"/>
      <c r="G48" s="80"/>
      <c r="H48" s="79"/>
      <c r="I48" s="79"/>
      <c r="J48" s="80"/>
      <c r="K48" s="80"/>
      <c r="L48" s="82"/>
      <c r="M48" s="79"/>
      <c r="N48" s="86"/>
      <c r="O48" s="86"/>
      <c r="P48" s="79"/>
      <c r="Q48" s="79"/>
      <c r="R48" s="78">
        <f>IF($B48="","",IF(OR($P48="Ready",$P48="Worn"),"COMPLETE",IF($L48="","NO DATE",IF($L48&lt;TODAY(),"OVERDUE",IF($L48-TODAY()&lt;=7,"THIS WEEK","SCHEDULED")))))</f>
      </c>
      <c r="S48" s="80"/>
      <c r="T48" s="78">
        <f>IF($B48="",0,IF(COUNTIF('EVENTS + WARDROBE'!$B$6:$B$65,$B48)&gt;1,1,0))</f>
      </c>
      <c r="U48" s="78">
        <f>IF(OR(N($N48)&gt;0,N($O48)&gt;0),IF($M48="",1,IF(COUNTIF('MASTER BUDGET'!$D$6:$D$25,$M48)=0,1,0)),0)</f>
      </c>
      <c r="V48" s="78">
        <f>IF($C48="",0,IF(COUNTIF('CHRISTMAS CALENDAR'!$B$6:$B$205,$C48)=0,1,0))</f>
      </c>
      <c r="W48" s="75"/>
    </row>
    <row r="49" ht="17" customHeight="1" spans="1:23" x14ac:dyDescent="0.25">
      <c r="A49" s="75"/>
      <c r="B49" s="79"/>
      <c r="C49" s="79"/>
      <c r="D49" s="92">
        <f>IF($B49="","",IF($C49="","",IFERROR(IF(INDEX('CHRISTMAS CALENDAR'!$F$6:$F$205,MATCH($C49,'CHRISTMAS CALENDAR'!$B$6:$B$205,0))="","",INDEX('CHRISTMAS CALENDAR'!$F$6:$F$205,MATCH($C49,'CHRISTMAS CALENDAR'!$B$6:$B$205,0))),"")))</f>
      </c>
      <c r="E49" s="93">
        <f>IF($B49="","",IF($C49="","",IFERROR(IF(INDEX('CHRISTMAS CALENDAR'!$C$6:$C$205,MATCH($C49,'CHRISTMAS CALENDAR'!$B$6:$B$205,0))="","",INDEX('CHRISTMAS CALENDAR'!$C$6:$C$205,MATCH($C49,'CHRISTMAS CALENDAR'!$B$6:$B$205,0))),"")))</f>
      </c>
      <c r="F49" s="79"/>
      <c r="G49" s="80"/>
      <c r="H49" s="79"/>
      <c r="I49" s="79"/>
      <c r="J49" s="80"/>
      <c r="K49" s="80"/>
      <c r="L49" s="82"/>
      <c r="M49" s="79"/>
      <c r="N49" s="86"/>
      <c r="O49" s="86"/>
      <c r="P49" s="79"/>
      <c r="Q49" s="79"/>
      <c r="R49" s="78">
        <f>IF($B49="","",IF(OR($P49="Ready",$P49="Worn"),"COMPLETE",IF($L49="","NO DATE",IF($L49&lt;TODAY(),"OVERDUE",IF($L49-TODAY()&lt;=7,"THIS WEEK","SCHEDULED")))))</f>
      </c>
      <c r="S49" s="80"/>
      <c r="T49" s="78">
        <f>IF($B49="",0,IF(COUNTIF('EVENTS + WARDROBE'!$B$6:$B$65,$B49)&gt;1,1,0))</f>
      </c>
      <c r="U49" s="78">
        <f>IF(OR(N($N49)&gt;0,N($O49)&gt;0),IF($M49="",1,IF(COUNTIF('MASTER BUDGET'!$D$6:$D$25,$M49)=0,1,0)),0)</f>
      </c>
      <c r="V49" s="78">
        <f>IF($C49="",0,IF(COUNTIF('CHRISTMAS CALENDAR'!$B$6:$B$205,$C49)=0,1,0))</f>
      </c>
      <c r="W49" s="75"/>
    </row>
    <row r="50" ht="17" customHeight="1" spans="1:23" x14ac:dyDescent="0.25">
      <c r="A50" s="75"/>
      <c r="B50" s="79"/>
      <c r="C50" s="79"/>
      <c r="D50" s="92">
        <f>IF($B50="","",IF($C50="","",IFERROR(IF(INDEX('CHRISTMAS CALENDAR'!$F$6:$F$205,MATCH($C50,'CHRISTMAS CALENDAR'!$B$6:$B$205,0))="","",INDEX('CHRISTMAS CALENDAR'!$F$6:$F$205,MATCH($C50,'CHRISTMAS CALENDAR'!$B$6:$B$205,0))),"")))</f>
      </c>
      <c r="E50" s="93">
        <f>IF($B50="","",IF($C50="","",IFERROR(IF(INDEX('CHRISTMAS CALENDAR'!$C$6:$C$205,MATCH($C50,'CHRISTMAS CALENDAR'!$B$6:$B$205,0))="","",INDEX('CHRISTMAS CALENDAR'!$C$6:$C$205,MATCH($C50,'CHRISTMAS CALENDAR'!$B$6:$B$205,0))),"")))</f>
      </c>
      <c r="F50" s="79"/>
      <c r="G50" s="80"/>
      <c r="H50" s="79"/>
      <c r="I50" s="79"/>
      <c r="J50" s="80"/>
      <c r="K50" s="80"/>
      <c r="L50" s="82"/>
      <c r="M50" s="79"/>
      <c r="N50" s="86"/>
      <c r="O50" s="86"/>
      <c r="P50" s="79"/>
      <c r="Q50" s="79"/>
      <c r="R50" s="78">
        <f>IF($B50="","",IF(OR($P50="Ready",$P50="Worn"),"COMPLETE",IF($L50="","NO DATE",IF($L50&lt;TODAY(),"OVERDUE",IF($L50-TODAY()&lt;=7,"THIS WEEK","SCHEDULED")))))</f>
      </c>
      <c r="S50" s="80"/>
      <c r="T50" s="78">
        <f>IF($B50="",0,IF(COUNTIF('EVENTS + WARDROBE'!$B$6:$B$65,$B50)&gt;1,1,0))</f>
      </c>
      <c r="U50" s="78">
        <f>IF(OR(N($N50)&gt;0,N($O50)&gt;0),IF($M50="",1,IF(COUNTIF('MASTER BUDGET'!$D$6:$D$25,$M50)=0,1,0)),0)</f>
      </c>
      <c r="V50" s="78">
        <f>IF($C50="",0,IF(COUNTIF('CHRISTMAS CALENDAR'!$B$6:$B$205,$C50)=0,1,0))</f>
      </c>
      <c r="W50" s="75"/>
    </row>
    <row r="51" ht="17" customHeight="1" spans="1:23" x14ac:dyDescent="0.25">
      <c r="A51" s="75"/>
      <c r="B51" s="79"/>
      <c r="C51" s="79"/>
      <c r="D51" s="92">
        <f>IF($B51="","",IF($C51="","",IFERROR(IF(INDEX('CHRISTMAS CALENDAR'!$F$6:$F$205,MATCH($C51,'CHRISTMAS CALENDAR'!$B$6:$B$205,0))="","",INDEX('CHRISTMAS CALENDAR'!$F$6:$F$205,MATCH($C51,'CHRISTMAS CALENDAR'!$B$6:$B$205,0))),"")))</f>
      </c>
      <c r="E51" s="93">
        <f>IF($B51="","",IF($C51="","",IFERROR(IF(INDEX('CHRISTMAS CALENDAR'!$C$6:$C$205,MATCH($C51,'CHRISTMAS CALENDAR'!$B$6:$B$205,0))="","",INDEX('CHRISTMAS CALENDAR'!$C$6:$C$205,MATCH($C51,'CHRISTMAS CALENDAR'!$B$6:$B$205,0))),"")))</f>
      </c>
      <c r="F51" s="79"/>
      <c r="G51" s="80"/>
      <c r="H51" s="79"/>
      <c r="I51" s="79"/>
      <c r="J51" s="80"/>
      <c r="K51" s="80"/>
      <c r="L51" s="82"/>
      <c r="M51" s="79"/>
      <c r="N51" s="86"/>
      <c r="O51" s="86"/>
      <c r="P51" s="79"/>
      <c r="Q51" s="79"/>
      <c r="R51" s="78">
        <f>IF($B51="","",IF(OR($P51="Ready",$P51="Worn"),"COMPLETE",IF($L51="","NO DATE",IF($L51&lt;TODAY(),"OVERDUE",IF($L51-TODAY()&lt;=7,"THIS WEEK","SCHEDULED")))))</f>
      </c>
      <c r="S51" s="80"/>
      <c r="T51" s="78">
        <f>IF($B51="",0,IF(COUNTIF('EVENTS + WARDROBE'!$B$6:$B$65,$B51)&gt;1,1,0))</f>
      </c>
      <c r="U51" s="78">
        <f>IF(OR(N($N51)&gt;0,N($O51)&gt;0),IF($M51="",1,IF(COUNTIF('MASTER BUDGET'!$D$6:$D$25,$M51)=0,1,0)),0)</f>
      </c>
      <c r="V51" s="78">
        <f>IF($C51="",0,IF(COUNTIF('CHRISTMAS CALENDAR'!$B$6:$B$205,$C51)=0,1,0))</f>
      </c>
      <c r="W51" s="75"/>
    </row>
    <row r="52" ht="17" customHeight="1" spans="1:23" x14ac:dyDescent="0.25">
      <c r="A52" s="75"/>
      <c r="B52" s="79"/>
      <c r="C52" s="79"/>
      <c r="D52" s="92">
        <f>IF($B52="","",IF($C52="","",IFERROR(IF(INDEX('CHRISTMAS CALENDAR'!$F$6:$F$205,MATCH($C52,'CHRISTMAS CALENDAR'!$B$6:$B$205,0))="","",INDEX('CHRISTMAS CALENDAR'!$F$6:$F$205,MATCH($C52,'CHRISTMAS CALENDAR'!$B$6:$B$205,0))),"")))</f>
      </c>
      <c r="E52" s="93">
        <f>IF($B52="","",IF($C52="","",IFERROR(IF(INDEX('CHRISTMAS CALENDAR'!$C$6:$C$205,MATCH($C52,'CHRISTMAS CALENDAR'!$B$6:$B$205,0))="","",INDEX('CHRISTMAS CALENDAR'!$C$6:$C$205,MATCH($C52,'CHRISTMAS CALENDAR'!$B$6:$B$205,0))),"")))</f>
      </c>
      <c r="F52" s="79"/>
      <c r="G52" s="80"/>
      <c r="H52" s="79"/>
      <c r="I52" s="79"/>
      <c r="J52" s="80"/>
      <c r="K52" s="80"/>
      <c r="L52" s="82"/>
      <c r="M52" s="79"/>
      <c r="N52" s="86"/>
      <c r="O52" s="86"/>
      <c r="P52" s="79"/>
      <c r="Q52" s="79"/>
      <c r="R52" s="78">
        <f>IF($B52="","",IF(OR($P52="Ready",$P52="Worn"),"COMPLETE",IF($L52="","NO DATE",IF($L52&lt;TODAY(),"OVERDUE",IF($L52-TODAY()&lt;=7,"THIS WEEK","SCHEDULED")))))</f>
      </c>
      <c r="S52" s="80"/>
      <c r="T52" s="78">
        <f>IF($B52="",0,IF(COUNTIF('EVENTS + WARDROBE'!$B$6:$B$65,$B52)&gt;1,1,0))</f>
      </c>
      <c r="U52" s="78">
        <f>IF(OR(N($N52)&gt;0,N($O52)&gt;0),IF($M52="",1,IF(COUNTIF('MASTER BUDGET'!$D$6:$D$25,$M52)=0,1,0)),0)</f>
      </c>
      <c r="V52" s="78">
        <f>IF($C52="",0,IF(COUNTIF('CHRISTMAS CALENDAR'!$B$6:$B$205,$C52)=0,1,0))</f>
      </c>
      <c r="W52" s="75"/>
    </row>
    <row r="53" ht="17" customHeight="1" spans="1:23" x14ac:dyDescent="0.25">
      <c r="A53" s="75"/>
      <c r="B53" s="79"/>
      <c r="C53" s="79"/>
      <c r="D53" s="92">
        <f>IF($B53="","",IF($C53="","",IFERROR(IF(INDEX('CHRISTMAS CALENDAR'!$F$6:$F$205,MATCH($C53,'CHRISTMAS CALENDAR'!$B$6:$B$205,0))="","",INDEX('CHRISTMAS CALENDAR'!$F$6:$F$205,MATCH($C53,'CHRISTMAS CALENDAR'!$B$6:$B$205,0))),"")))</f>
      </c>
      <c r="E53" s="93">
        <f>IF($B53="","",IF($C53="","",IFERROR(IF(INDEX('CHRISTMAS CALENDAR'!$C$6:$C$205,MATCH($C53,'CHRISTMAS CALENDAR'!$B$6:$B$205,0))="","",INDEX('CHRISTMAS CALENDAR'!$C$6:$C$205,MATCH($C53,'CHRISTMAS CALENDAR'!$B$6:$B$205,0))),"")))</f>
      </c>
      <c r="F53" s="79"/>
      <c r="G53" s="80"/>
      <c r="H53" s="79"/>
      <c r="I53" s="79"/>
      <c r="J53" s="80"/>
      <c r="K53" s="80"/>
      <c r="L53" s="82"/>
      <c r="M53" s="79"/>
      <c r="N53" s="86"/>
      <c r="O53" s="86"/>
      <c r="P53" s="79"/>
      <c r="Q53" s="79"/>
      <c r="R53" s="78">
        <f>IF($B53="","",IF(OR($P53="Ready",$P53="Worn"),"COMPLETE",IF($L53="","NO DATE",IF($L53&lt;TODAY(),"OVERDUE",IF($L53-TODAY()&lt;=7,"THIS WEEK","SCHEDULED")))))</f>
      </c>
      <c r="S53" s="80"/>
      <c r="T53" s="78">
        <f>IF($B53="",0,IF(COUNTIF('EVENTS + WARDROBE'!$B$6:$B$65,$B53)&gt;1,1,0))</f>
      </c>
      <c r="U53" s="78">
        <f>IF(OR(N($N53)&gt;0,N($O53)&gt;0),IF($M53="",1,IF(COUNTIF('MASTER BUDGET'!$D$6:$D$25,$M53)=0,1,0)),0)</f>
      </c>
      <c r="V53" s="78">
        <f>IF($C53="",0,IF(COUNTIF('CHRISTMAS CALENDAR'!$B$6:$B$205,$C53)=0,1,0))</f>
      </c>
      <c r="W53" s="75"/>
    </row>
    <row r="54" ht="17" customHeight="1" spans="1:23" x14ac:dyDescent="0.25">
      <c r="A54" s="75"/>
      <c r="B54" s="79"/>
      <c r="C54" s="79"/>
      <c r="D54" s="92">
        <f>IF($B54="","",IF($C54="","",IFERROR(IF(INDEX('CHRISTMAS CALENDAR'!$F$6:$F$205,MATCH($C54,'CHRISTMAS CALENDAR'!$B$6:$B$205,0))="","",INDEX('CHRISTMAS CALENDAR'!$F$6:$F$205,MATCH($C54,'CHRISTMAS CALENDAR'!$B$6:$B$205,0))),"")))</f>
      </c>
      <c r="E54" s="93">
        <f>IF($B54="","",IF($C54="","",IFERROR(IF(INDEX('CHRISTMAS CALENDAR'!$C$6:$C$205,MATCH($C54,'CHRISTMAS CALENDAR'!$B$6:$B$205,0))="","",INDEX('CHRISTMAS CALENDAR'!$C$6:$C$205,MATCH($C54,'CHRISTMAS CALENDAR'!$B$6:$B$205,0))),"")))</f>
      </c>
      <c r="F54" s="79"/>
      <c r="G54" s="80"/>
      <c r="H54" s="79"/>
      <c r="I54" s="79"/>
      <c r="J54" s="80"/>
      <c r="K54" s="80"/>
      <c r="L54" s="82"/>
      <c r="M54" s="79"/>
      <c r="N54" s="86"/>
      <c r="O54" s="86"/>
      <c r="P54" s="79"/>
      <c r="Q54" s="79"/>
      <c r="R54" s="78">
        <f>IF($B54="","",IF(OR($P54="Ready",$P54="Worn"),"COMPLETE",IF($L54="","NO DATE",IF($L54&lt;TODAY(),"OVERDUE",IF($L54-TODAY()&lt;=7,"THIS WEEK","SCHEDULED")))))</f>
      </c>
      <c r="S54" s="80"/>
      <c r="T54" s="78">
        <f>IF($B54="",0,IF(COUNTIF('EVENTS + WARDROBE'!$B$6:$B$65,$B54)&gt;1,1,0))</f>
      </c>
      <c r="U54" s="78">
        <f>IF(OR(N($N54)&gt;0,N($O54)&gt;0),IF($M54="",1,IF(COUNTIF('MASTER BUDGET'!$D$6:$D$25,$M54)=0,1,0)),0)</f>
      </c>
      <c r="V54" s="78">
        <f>IF($C54="",0,IF(COUNTIF('CHRISTMAS CALENDAR'!$B$6:$B$205,$C54)=0,1,0))</f>
      </c>
      <c r="W54" s="75"/>
    </row>
    <row r="55" ht="17" customHeight="1" spans="1:23" x14ac:dyDescent="0.25">
      <c r="A55" s="75"/>
      <c r="B55" s="79"/>
      <c r="C55" s="79"/>
      <c r="D55" s="92">
        <f>IF($B55="","",IF($C55="","",IFERROR(IF(INDEX('CHRISTMAS CALENDAR'!$F$6:$F$205,MATCH($C55,'CHRISTMAS CALENDAR'!$B$6:$B$205,0))="","",INDEX('CHRISTMAS CALENDAR'!$F$6:$F$205,MATCH($C55,'CHRISTMAS CALENDAR'!$B$6:$B$205,0))),"")))</f>
      </c>
      <c r="E55" s="93">
        <f>IF($B55="","",IF($C55="","",IFERROR(IF(INDEX('CHRISTMAS CALENDAR'!$C$6:$C$205,MATCH($C55,'CHRISTMAS CALENDAR'!$B$6:$B$205,0))="","",INDEX('CHRISTMAS CALENDAR'!$C$6:$C$205,MATCH($C55,'CHRISTMAS CALENDAR'!$B$6:$B$205,0))),"")))</f>
      </c>
      <c r="F55" s="79"/>
      <c r="G55" s="80"/>
      <c r="H55" s="79"/>
      <c r="I55" s="79"/>
      <c r="J55" s="80"/>
      <c r="K55" s="80"/>
      <c r="L55" s="82"/>
      <c r="M55" s="79"/>
      <c r="N55" s="86"/>
      <c r="O55" s="86"/>
      <c r="P55" s="79"/>
      <c r="Q55" s="79"/>
      <c r="R55" s="78">
        <f>IF($B55="","",IF(OR($P55="Ready",$P55="Worn"),"COMPLETE",IF($L55="","NO DATE",IF($L55&lt;TODAY(),"OVERDUE",IF($L55-TODAY()&lt;=7,"THIS WEEK","SCHEDULED")))))</f>
      </c>
      <c r="S55" s="80"/>
      <c r="T55" s="78">
        <f>IF($B55="",0,IF(COUNTIF('EVENTS + WARDROBE'!$B$6:$B$65,$B55)&gt;1,1,0))</f>
      </c>
      <c r="U55" s="78">
        <f>IF(OR(N($N55)&gt;0,N($O55)&gt;0),IF($M55="",1,IF(COUNTIF('MASTER BUDGET'!$D$6:$D$25,$M55)=0,1,0)),0)</f>
      </c>
      <c r="V55" s="78">
        <f>IF($C55="",0,IF(COUNTIF('CHRISTMAS CALENDAR'!$B$6:$B$205,$C55)=0,1,0))</f>
      </c>
      <c r="W55" s="75"/>
    </row>
    <row r="56" ht="17" customHeight="1" spans="1:23" x14ac:dyDescent="0.25">
      <c r="A56" s="75"/>
      <c r="B56" s="79"/>
      <c r="C56" s="79"/>
      <c r="D56" s="92">
        <f>IF($B56="","",IF($C56="","",IFERROR(IF(INDEX('CHRISTMAS CALENDAR'!$F$6:$F$205,MATCH($C56,'CHRISTMAS CALENDAR'!$B$6:$B$205,0))="","",INDEX('CHRISTMAS CALENDAR'!$F$6:$F$205,MATCH($C56,'CHRISTMAS CALENDAR'!$B$6:$B$205,0))),"")))</f>
      </c>
      <c r="E56" s="93">
        <f>IF($B56="","",IF($C56="","",IFERROR(IF(INDEX('CHRISTMAS CALENDAR'!$C$6:$C$205,MATCH($C56,'CHRISTMAS CALENDAR'!$B$6:$B$205,0))="","",INDEX('CHRISTMAS CALENDAR'!$C$6:$C$205,MATCH($C56,'CHRISTMAS CALENDAR'!$B$6:$B$205,0))),"")))</f>
      </c>
      <c r="F56" s="79"/>
      <c r="G56" s="80"/>
      <c r="H56" s="79"/>
      <c r="I56" s="79"/>
      <c r="J56" s="80"/>
      <c r="K56" s="80"/>
      <c r="L56" s="82"/>
      <c r="M56" s="79"/>
      <c r="N56" s="86"/>
      <c r="O56" s="86"/>
      <c r="P56" s="79"/>
      <c r="Q56" s="79"/>
      <c r="R56" s="78">
        <f>IF($B56="","",IF(OR($P56="Ready",$P56="Worn"),"COMPLETE",IF($L56="","NO DATE",IF($L56&lt;TODAY(),"OVERDUE",IF($L56-TODAY()&lt;=7,"THIS WEEK","SCHEDULED")))))</f>
      </c>
      <c r="S56" s="80"/>
      <c r="T56" s="78">
        <f>IF($B56="",0,IF(COUNTIF('EVENTS + WARDROBE'!$B$6:$B$65,$B56)&gt;1,1,0))</f>
      </c>
      <c r="U56" s="78">
        <f>IF(OR(N($N56)&gt;0,N($O56)&gt;0),IF($M56="",1,IF(COUNTIF('MASTER BUDGET'!$D$6:$D$25,$M56)=0,1,0)),0)</f>
      </c>
      <c r="V56" s="78">
        <f>IF($C56="",0,IF(COUNTIF('CHRISTMAS CALENDAR'!$B$6:$B$205,$C56)=0,1,0))</f>
      </c>
      <c r="W56" s="75"/>
    </row>
    <row r="57" ht="17" customHeight="1" spans="1:23" x14ac:dyDescent="0.25">
      <c r="A57" s="75"/>
      <c r="B57" s="79"/>
      <c r="C57" s="79"/>
      <c r="D57" s="92">
        <f>IF($B57="","",IF($C57="","",IFERROR(IF(INDEX('CHRISTMAS CALENDAR'!$F$6:$F$205,MATCH($C57,'CHRISTMAS CALENDAR'!$B$6:$B$205,0))="","",INDEX('CHRISTMAS CALENDAR'!$F$6:$F$205,MATCH($C57,'CHRISTMAS CALENDAR'!$B$6:$B$205,0))),"")))</f>
      </c>
      <c r="E57" s="93">
        <f>IF($B57="","",IF($C57="","",IFERROR(IF(INDEX('CHRISTMAS CALENDAR'!$C$6:$C$205,MATCH($C57,'CHRISTMAS CALENDAR'!$B$6:$B$205,0))="","",INDEX('CHRISTMAS CALENDAR'!$C$6:$C$205,MATCH($C57,'CHRISTMAS CALENDAR'!$B$6:$B$205,0))),"")))</f>
      </c>
      <c r="F57" s="79"/>
      <c r="G57" s="80"/>
      <c r="H57" s="79"/>
      <c r="I57" s="79"/>
      <c r="J57" s="80"/>
      <c r="K57" s="80"/>
      <c r="L57" s="82"/>
      <c r="M57" s="79"/>
      <c r="N57" s="86"/>
      <c r="O57" s="86"/>
      <c r="P57" s="79"/>
      <c r="Q57" s="79"/>
      <c r="R57" s="78">
        <f>IF($B57="","",IF(OR($P57="Ready",$P57="Worn"),"COMPLETE",IF($L57="","NO DATE",IF($L57&lt;TODAY(),"OVERDUE",IF($L57-TODAY()&lt;=7,"THIS WEEK","SCHEDULED")))))</f>
      </c>
      <c r="S57" s="80"/>
      <c r="T57" s="78">
        <f>IF($B57="",0,IF(COUNTIF('EVENTS + WARDROBE'!$B$6:$B$65,$B57)&gt;1,1,0))</f>
      </c>
      <c r="U57" s="78">
        <f>IF(OR(N($N57)&gt;0,N($O57)&gt;0),IF($M57="",1,IF(COUNTIF('MASTER BUDGET'!$D$6:$D$25,$M57)=0,1,0)),0)</f>
      </c>
      <c r="V57" s="78">
        <f>IF($C57="",0,IF(COUNTIF('CHRISTMAS CALENDAR'!$B$6:$B$205,$C57)=0,1,0))</f>
      </c>
      <c r="W57" s="75"/>
    </row>
    <row r="58" ht="17" customHeight="1" spans="1:23" x14ac:dyDescent="0.25">
      <c r="A58" s="75"/>
      <c r="B58" s="79"/>
      <c r="C58" s="79"/>
      <c r="D58" s="92">
        <f>IF($B58="","",IF($C58="","",IFERROR(IF(INDEX('CHRISTMAS CALENDAR'!$F$6:$F$205,MATCH($C58,'CHRISTMAS CALENDAR'!$B$6:$B$205,0))="","",INDEX('CHRISTMAS CALENDAR'!$F$6:$F$205,MATCH($C58,'CHRISTMAS CALENDAR'!$B$6:$B$205,0))),"")))</f>
      </c>
      <c r="E58" s="93">
        <f>IF($B58="","",IF($C58="","",IFERROR(IF(INDEX('CHRISTMAS CALENDAR'!$C$6:$C$205,MATCH($C58,'CHRISTMAS CALENDAR'!$B$6:$B$205,0))="","",INDEX('CHRISTMAS CALENDAR'!$C$6:$C$205,MATCH($C58,'CHRISTMAS CALENDAR'!$B$6:$B$205,0))),"")))</f>
      </c>
      <c r="F58" s="79"/>
      <c r="G58" s="80"/>
      <c r="H58" s="79"/>
      <c r="I58" s="79"/>
      <c r="J58" s="80"/>
      <c r="K58" s="80"/>
      <c r="L58" s="82"/>
      <c r="M58" s="79"/>
      <c r="N58" s="86"/>
      <c r="O58" s="86"/>
      <c r="P58" s="79"/>
      <c r="Q58" s="79"/>
      <c r="R58" s="78">
        <f>IF($B58="","",IF(OR($P58="Ready",$P58="Worn"),"COMPLETE",IF($L58="","NO DATE",IF($L58&lt;TODAY(),"OVERDUE",IF($L58-TODAY()&lt;=7,"THIS WEEK","SCHEDULED")))))</f>
      </c>
      <c r="S58" s="80"/>
      <c r="T58" s="78">
        <f>IF($B58="",0,IF(COUNTIF('EVENTS + WARDROBE'!$B$6:$B$65,$B58)&gt;1,1,0))</f>
      </c>
      <c r="U58" s="78">
        <f>IF(OR(N($N58)&gt;0,N($O58)&gt;0),IF($M58="",1,IF(COUNTIF('MASTER BUDGET'!$D$6:$D$25,$M58)=0,1,0)),0)</f>
      </c>
      <c r="V58" s="78">
        <f>IF($C58="",0,IF(COUNTIF('CHRISTMAS CALENDAR'!$B$6:$B$205,$C58)=0,1,0))</f>
      </c>
      <c r="W58" s="75"/>
    </row>
    <row r="59" ht="17" customHeight="1" spans="1:23" x14ac:dyDescent="0.25">
      <c r="A59" s="75"/>
      <c r="B59" s="79"/>
      <c r="C59" s="79"/>
      <c r="D59" s="92">
        <f>IF($B59="","",IF($C59="","",IFERROR(IF(INDEX('CHRISTMAS CALENDAR'!$F$6:$F$205,MATCH($C59,'CHRISTMAS CALENDAR'!$B$6:$B$205,0))="","",INDEX('CHRISTMAS CALENDAR'!$F$6:$F$205,MATCH($C59,'CHRISTMAS CALENDAR'!$B$6:$B$205,0))),"")))</f>
      </c>
      <c r="E59" s="93">
        <f>IF($B59="","",IF($C59="","",IFERROR(IF(INDEX('CHRISTMAS CALENDAR'!$C$6:$C$205,MATCH($C59,'CHRISTMAS CALENDAR'!$B$6:$B$205,0))="","",INDEX('CHRISTMAS CALENDAR'!$C$6:$C$205,MATCH($C59,'CHRISTMAS CALENDAR'!$B$6:$B$205,0))),"")))</f>
      </c>
      <c r="F59" s="79"/>
      <c r="G59" s="80"/>
      <c r="H59" s="79"/>
      <c r="I59" s="79"/>
      <c r="J59" s="80"/>
      <c r="K59" s="80"/>
      <c r="L59" s="82"/>
      <c r="M59" s="79"/>
      <c r="N59" s="86"/>
      <c r="O59" s="86"/>
      <c r="P59" s="79"/>
      <c r="Q59" s="79"/>
      <c r="R59" s="78">
        <f>IF($B59="","",IF(OR($P59="Ready",$P59="Worn"),"COMPLETE",IF($L59="","NO DATE",IF($L59&lt;TODAY(),"OVERDUE",IF($L59-TODAY()&lt;=7,"THIS WEEK","SCHEDULED")))))</f>
      </c>
      <c r="S59" s="80"/>
      <c r="T59" s="78">
        <f>IF($B59="",0,IF(COUNTIF('EVENTS + WARDROBE'!$B$6:$B$65,$B59)&gt;1,1,0))</f>
      </c>
      <c r="U59" s="78">
        <f>IF(OR(N($N59)&gt;0,N($O59)&gt;0),IF($M59="",1,IF(COUNTIF('MASTER BUDGET'!$D$6:$D$25,$M59)=0,1,0)),0)</f>
      </c>
      <c r="V59" s="78">
        <f>IF($C59="",0,IF(COUNTIF('CHRISTMAS CALENDAR'!$B$6:$B$205,$C59)=0,1,0))</f>
      </c>
      <c r="W59" s="75"/>
    </row>
    <row r="60" ht="17" customHeight="1" spans="1:23" x14ac:dyDescent="0.25">
      <c r="A60" s="75"/>
      <c r="B60" s="79"/>
      <c r="C60" s="79"/>
      <c r="D60" s="92">
        <f>IF($B60="","",IF($C60="","",IFERROR(IF(INDEX('CHRISTMAS CALENDAR'!$F$6:$F$205,MATCH($C60,'CHRISTMAS CALENDAR'!$B$6:$B$205,0))="","",INDEX('CHRISTMAS CALENDAR'!$F$6:$F$205,MATCH($C60,'CHRISTMAS CALENDAR'!$B$6:$B$205,0))),"")))</f>
      </c>
      <c r="E60" s="93">
        <f>IF($B60="","",IF($C60="","",IFERROR(IF(INDEX('CHRISTMAS CALENDAR'!$C$6:$C$205,MATCH($C60,'CHRISTMAS CALENDAR'!$B$6:$B$205,0))="","",INDEX('CHRISTMAS CALENDAR'!$C$6:$C$205,MATCH($C60,'CHRISTMAS CALENDAR'!$B$6:$B$205,0))),"")))</f>
      </c>
      <c r="F60" s="79"/>
      <c r="G60" s="80"/>
      <c r="H60" s="79"/>
      <c r="I60" s="79"/>
      <c r="J60" s="80"/>
      <c r="K60" s="80"/>
      <c r="L60" s="82"/>
      <c r="M60" s="79"/>
      <c r="N60" s="86"/>
      <c r="O60" s="86"/>
      <c r="P60" s="79"/>
      <c r="Q60" s="79"/>
      <c r="R60" s="78">
        <f>IF($B60="","",IF(OR($P60="Ready",$P60="Worn"),"COMPLETE",IF($L60="","NO DATE",IF($L60&lt;TODAY(),"OVERDUE",IF($L60-TODAY()&lt;=7,"THIS WEEK","SCHEDULED")))))</f>
      </c>
      <c r="S60" s="80"/>
      <c r="T60" s="78">
        <f>IF($B60="",0,IF(COUNTIF('EVENTS + WARDROBE'!$B$6:$B$65,$B60)&gt;1,1,0))</f>
      </c>
      <c r="U60" s="78">
        <f>IF(OR(N($N60)&gt;0,N($O60)&gt;0),IF($M60="",1,IF(COUNTIF('MASTER BUDGET'!$D$6:$D$25,$M60)=0,1,0)),0)</f>
      </c>
      <c r="V60" s="78">
        <f>IF($C60="",0,IF(COUNTIF('CHRISTMAS CALENDAR'!$B$6:$B$205,$C60)=0,1,0))</f>
      </c>
      <c r="W60" s="75"/>
    </row>
    <row r="61" ht="17" customHeight="1" spans="1:23" x14ac:dyDescent="0.25">
      <c r="A61" s="75"/>
      <c r="B61" s="79"/>
      <c r="C61" s="79"/>
      <c r="D61" s="92">
        <f>IF($B61="","",IF($C61="","",IFERROR(IF(INDEX('CHRISTMAS CALENDAR'!$F$6:$F$205,MATCH($C61,'CHRISTMAS CALENDAR'!$B$6:$B$205,0))="","",INDEX('CHRISTMAS CALENDAR'!$F$6:$F$205,MATCH($C61,'CHRISTMAS CALENDAR'!$B$6:$B$205,0))),"")))</f>
      </c>
      <c r="E61" s="93">
        <f>IF($B61="","",IF($C61="","",IFERROR(IF(INDEX('CHRISTMAS CALENDAR'!$C$6:$C$205,MATCH($C61,'CHRISTMAS CALENDAR'!$B$6:$B$205,0))="","",INDEX('CHRISTMAS CALENDAR'!$C$6:$C$205,MATCH($C61,'CHRISTMAS CALENDAR'!$B$6:$B$205,0))),"")))</f>
      </c>
      <c r="F61" s="79"/>
      <c r="G61" s="80"/>
      <c r="H61" s="79"/>
      <c r="I61" s="79"/>
      <c r="J61" s="80"/>
      <c r="K61" s="80"/>
      <c r="L61" s="82"/>
      <c r="M61" s="79"/>
      <c r="N61" s="86"/>
      <c r="O61" s="86"/>
      <c r="P61" s="79"/>
      <c r="Q61" s="79"/>
      <c r="R61" s="78">
        <f>IF($B61="","",IF(OR($P61="Ready",$P61="Worn"),"COMPLETE",IF($L61="","NO DATE",IF($L61&lt;TODAY(),"OVERDUE",IF($L61-TODAY()&lt;=7,"THIS WEEK","SCHEDULED")))))</f>
      </c>
      <c r="S61" s="80"/>
      <c r="T61" s="78">
        <f>IF($B61="",0,IF(COUNTIF('EVENTS + WARDROBE'!$B$6:$B$65,$B61)&gt;1,1,0))</f>
      </c>
      <c r="U61" s="78">
        <f>IF(OR(N($N61)&gt;0,N($O61)&gt;0),IF($M61="",1,IF(COUNTIF('MASTER BUDGET'!$D$6:$D$25,$M61)=0,1,0)),0)</f>
      </c>
      <c r="V61" s="78">
        <f>IF($C61="",0,IF(COUNTIF('CHRISTMAS CALENDAR'!$B$6:$B$205,$C61)=0,1,0))</f>
      </c>
      <c r="W61" s="75"/>
    </row>
    <row r="62" ht="17" customHeight="1" spans="1:23" x14ac:dyDescent="0.25">
      <c r="A62" s="75"/>
      <c r="B62" s="79"/>
      <c r="C62" s="79"/>
      <c r="D62" s="92">
        <f>IF($B62="","",IF($C62="","",IFERROR(IF(INDEX('CHRISTMAS CALENDAR'!$F$6:$F$205,MATCH($C62,'CHRISTMAS CALENDAR'!$B$6:$B$205,0))="","",INDEX('CHRISTMAS CALENDAR'!$F$6:$F$205,MATCH($C62,'CHRISTMAS CALENDAR'!$B$6:$B$205,0))),"")))</f>
      </c>
      <c r="E62" s="93">
        <f>IF($B62="","",IF($C62="","",IFERROR(IF(INDEX('CHRISTMAS CALENDAR'!$C$6:$C$205,MATCH($C62,'CHRISTMAS CALENDAR'!$B$6:$B$205,0))="","",INDEX('CHRISTMAS CALENDAR'!$C$6:$C$205,MATCH($C62,'CHRISTMAS CALENDAR'!$B$6:$B$205,0))),"")))</f>
      </c>
      <c r="F62" s="79"/>
      <c r="G62" s="80"/>
      <c r="H62" s="79"/>
      <c r="I62" s="79"/>
      <c r="J62" s="80"/>
      <c r="K62" s="80"/>
      <c r="L62" s="82"/>
      <c r="M62" s="79"/>
      <c r="N62" s="86"/>
      <c r="O62" s="86"/>
      <c r="P62" s="79"/>
      <c r="Q62" s="79"/>
      <c r="R62" s="78">
        <f>IF($B62="","",IF(OR($P62="Ready",$P62="Worn"),"COMPLETE",IF($L62="","NO DATE",IF($L62&lt;TODAY(),"OVERDUE",IF($L62-TODAY()&lt;=7,"THIS WEEK","SCHEDULED")))))</f>
      </c>
      <c r="S62" s="80"/>
      <c r="T62" s="78">
        <f>IF($B62="",0,IF(COUNTIF('EVENTS + WARDROBE'!$B$6:$B$65,$B62)&gt;1,1,0))</f>
      </c>
      <c r="U62" s="78">
        <f>IF(OR(N($N62)&gt;0,N($O62)&gt;0),IF($M62="",1,IF(COUNTIF('MASTER BUDGET'!$D$6:$D$25,$M62)=0,1,0)),0)</f>
      </c>
      <c r="V62" s="78">
        <f>IF($C62="",0,IF(COUNTIF('CHRISTMAS CALENDAR'!$B$6:$B$205,$C62)=0,1,0))</f>
      </c>
      <c r="W62" s="75"/>
    </row>
    <row r="63" ht="17" customHeight="1" spans="1:23" x14ac:dyDescent="0.25">
      <c r="A63" s="75"/>
      <c r="B63" s="79"/>
      <c r="C63" s="79"/>
      <c r="D63" s="92">
        <f>IF($B63="","",IF($C63="","",IFERROR(IF(INDEX('CHRISTMAS CALENDAR'!$F$6:$F$205,MATCH($C63,'CHRISTMAS CALENDAR'!$B$6:$B$205,0))="","",INDEX('CHRISTMAS CALENDAR'!$F$6:$F$205,MATCH($C63,'CHRISTMAS CALENDAR'!$B$6:$B$205,0))),"")))</f>
      </c>
      <c r="E63" s="93">
        <f>IF($B63="","",IF($C63="","",IFERROR(IF(INDEX('CHRISTMAS CALENDAR'!$C$6:$C$205,MATCH($C63,'CHRISTMAS CALENDAR'!$B$6:$B$205,0))="","",INDEX('CHRISTMAS CALENDAR'!$C$6:$C$205,MATCH($C63,'CHRISTMAS CALENDAR'!$B$6:$B$205,0))),"")))</f>
      </c>
      <c r="F63" s="79"/>
      <c r="G63" s="80"/>
      <c r="H63" s="79"/>
      <c r="I63" s="79"/>
      <c r="J63" s="80"/>
      <c r="K63" s="80"/>
      <c r="L63" s="82"/>
      <c r="M63" s="79"/>
      <c r="N63" s="86"/>
      <c r="O63" s="86"/>
      <c r="P63" s="79"/>
      <c r="Q63" s="79"/>
      <c r="R63" s="78">
        <f>IF($B63="","",IF(OR($P63="Ready",$P63="Worn"),"COMPLETE",IF($L63="","NO DATE",IF($L63&lt;TODAY(),"OVERDUE",IF($L63-TODAY()&lt;=7,"THIS WEEK","SCHEDULED")))))</f>
      </c>
      <c r="S63" s="80"/>
      <c r="T63" s="78">
        <f>IF($B63="",0,IF(COUNTIF('EVENTS + WARDROBE'!$B$6:$B$65,$B63)&gt;1,1,0))</f>
      </c>
      <c r="U63" s="78">
        <f>IF(OR(N($N63)&gt;0,N($O63)&gt;0),IF($M63="",1,IF(COUNTIF('MASTER BUDGET'!$D$6:$D$25,$M63)=0,1,0)),0)</f>
      </c>
      <c r="V63" s="78">
        <f>IF($C63="",0,IF(COUNTIF('CHRISTMAS CALENDAR'!$B$6:$B$205,$C63)=0,1,0))</f>
      </c>
      <c r="W63" s="75"/>
    </row>
    <row r="64" ht="17" customHeight="1" spans="1:23" x14ac:dyDescent="0.25">
      <c r="A64" s="75"/>
      <c r="B64" s="79"/>
      <c r="C64" s="79"/>
      <c r="D64" s="92">
        <f>IF($B64="","",IF($C64="","",IFERROR(IF(INDEX('CHRISTMAS CALENDAR'!$F$6:$F$205,MATCH($C64,'CHRISTMAS CALENDAR'!$B$6:$B$205,0))="","",INDEX('CHRISTMAS CALENDAR'!$F$6:$F$205,MATCH($C64,'CHRISTMAS CALENDAR'!$B$6:$B$205,0))),"")))</f>
      </c>
      <c r="E64" s="93">
        <f>IF($B64="","",IF($C64="","",IFERROR(IF(INDEX('CHRISTMAS CALENDAR'!$C$6:$C$205,MATCH($C64,'CHRISTMAS CALENDAR'!$B$6:$B$205,0))="","",INDEX('CHRISTMAS CALENDAR'!$C$6:$C$205,MATCH($C64,'CHRISTMAS CALENDAR'!$B$6:$B$205,0))),"")))</f>
      </c>
      <c r="F64" s="79"/>
      <c r="G64" s="80"/>
      <c r="H64" s="79"/>
      <c r="I64" s="79"/>
      <c r="J64" s="80"/>
      <c r="K64" s="80"/>
      <c r="L64" s="82"/>
      <c r="M64" s="79"/>
      <c r="N64" s="86"/>
      <c r="O64" s="86"/>
      <c r="P64" s="79"/>
      <c r="Q64" s="79"/>
      <c r="R64" s="78">
        <f>IF($B64="","",IF(OR($P64="Ready",$P64="Worn"),"COMPLETE",IF($L64="","NO DATE",IF($L64&lt;TODAY(),"OVERDUE",IF($L64-TODAY()&lt;=7,"THIS WEEK","SCHEDULED")))))</f>
      </c>
      <c r="S64" s="80"/>
      <c r="T64" s="78">
        <f>IF($B64="",0,IF(COUNTIF('EVENTS + WARDROBE'!$B$6:$B$65,$B64)&gt;1,1,0))</f>
      </c>
      <c r="U64" s="78">
        <f>IF(OR(N($N64)&gt;0,N($O64)&gt;0),IF($M64="",1,IF(COUNTIF('MASTER BUDGET'!$D$6:$D$25,$M64)=0,1,0)),0)</f>
      </c>
      <c r="V64" s="78">
        <f>IF($C64="",0,IF(COUNTIF('CHRISTMAS CALENDAR'!$B$6:$B$205,$C64)=0,1,0))</f>
      </c>
      <c r="W64" s="75"/>
    </row>
    <row r="65" ht="17" customHeight="1" spans="1:23" x14ac:dyDescent="0.25">
      <c r="A65" s="75"/>
      <c r="B65" s="79"/>
      <c r="C65" s="79"/>
      <c r="D65" s="92">
        <f>IF($B65="","",IF($C65="","",IFERROR(IF(INDEX('CHRISTMAS CALENDAR'!$F$6:$F$205,MATCH($C65,'CHRISTMAS CALENDAR'!$B$6:$B$205,0))="","",INDEX('CHRISTMAS CALENDAR'!$F$6:$F$205,MATCH($C65,'CHRISTMAS CALENDAR'!$B$6:$B$205,0))),"")))</f>
      </c>
      <c r="E65" s="93">
        <f>IF($B65="","",IF($C65="","",IFERROR(IF(INDEX('CHRISTMAS CALENDAR'!$C$6:$C$205,MATCH($C65,'CHRISTMAS CALENDAR'!$B$6:$B$205,0))="","",INDEX('CHRISTMAS CALENDAR'!$C$6:$C$205,MATCH($C65,'CHRISTMAS CALENDAR'!$B$6:$B$205,0))),"")))</f>
      </c>
      <c r="F65" s="79"/>
      <c r="G65" s="80"/>
      <c r="H65" s="79"/>
      <c r="I65" s="79"/>
      <c r="J65" s="80"/>
      <c r="K65" s="80"/>
      <c r="L65" s="82"/>
      <c r="M65" s="79"/>
      <c r="N65" s="86"/>
      <c r="O65" s="86"/>
      <c r="P65" s="79"/>
      <c r="Q65" s="79"/>
      <c r="R65" s="78">
        <f>IF($B65="","",IF(OR($P65="Ready",$P65="Worn"),"COMPLETE",IF($L65="","NO DATE",IF($L65&lt;TODAY(),"OVERDUE",IF($L65-TODAY()&lt;=7,"THIS WEEK","SCHEDULED")))))</f>
      </c>
      <c r="S65" s="80"/>
      <c r="T65" s="78">
        <f>IF($B65="",0,IF(COUNTIF('EVENTS + WARDROBE'!$B$6:$B$65,$B65)&gt;1,1,0))</f>
      </c>
      <c r="U65" s="78">
        <f>IF(OR(N($N65)&gt;0,N($O65)&gt;0),IF($M65="",1,IF(COUNTIF('MASTER BUDGET'!$D$6:$D$25,$M65)=0,1,0)),0)</f>
      </c>
      <c r="V65" s="78">
        <f>IF($C65="",0,IF(COUNTIF('CHRISTMAS CALENDAR'!$B$6:$B$205,$C65)=0,1,0))</f>
      </c>
      <c r="W65" s="75"/>
    </row>
  </sheetData>
  <autoFilter ref="B5:V65"/>
  <mergeCells count="1">
    <mergeCell ref="B1:C1"/>
  </mergeCells>
  <conditionalFormatting sqref="R6:R65">
    <cfRule type="containsText" dxfId="443" priority="1">
      <formula>NOT(ISERROR(SEARCH("OVER BUDGET",R6)))</formula>
    </cfRule>
  </conditionalFormatting>
  <conditionalFormatting sqref="R6:R65">
    <cfRule type="containsText" dxfId="444" priority="2">
      <formula>NOT(ISERROR(SEARCH("OVERDUE",R6)))</formula>
    </cfRule>
  </conditionalFormatting>
  <conditionalFormatting sqref="R6:R65">
    <cfRule type="containsText" dxfId="445" priority="3">
      <formula>NOT(ISERROR(SEARCH("LATE",R6)))</formula>
    </cfRule>
  </conditionalFormatting>
  <conditionalFormatting sqref="R6:R65">
    <cfRule type="containsText" dxfId="446" priority="4">
      <formula>NOT(ISERROR(SEARCH("WINDOW CLOSED",R6)))</formula>
    </cfRule>
  </conditionalFormatting>
  <conditionalFormatting sqref="R6:R65">
    <cfRule type="containsText" dxfId="447" priority="5">
      <formula>NOT(ISERROR(SEARCH("BALANCE OVERDUE",R6)))</formula>
    </cfRule>
  </conditionalFormatting>
  <conditionalFormatting sqref="R6:R65">
    <cfRule type="containsText" dxfId="448" priority="6">
      <formula>NOT(ISERROR(SEARCH("PREP OVERDUE",R6)))</formula>
    </cfRule>
  </conditionalFormatting>
  <conditionalFormatting sqref="R6:R65">
    <cfRule type="containsText" dxfId="449" priority="7">
      <formula>NOT(ISERROR(SEARCH("CHECK DUPLICATE",R6)))</formula>
    </cfRule>
  </conditionalFormatting>
  <conditionalFormatting sqref="R6:R65">
    <cfRule type="containsText" dxfId="450" priority="8">
      <formula>NOT(ISERROR(SEARCH("MISSING DATE",R6)))</formula>
    </cfRule>
  </conditionalFormatting>
  <conditionalFormatting sqref="R6:R65">
    <cfRule type="containsText" dxfId="451" priority="9">
      <formula>NOT(ISERROR(SEARCH("NOT FOUND",R6)))</formula>
    </cfRule>
  </conditionalFormatting>
  <conditionalFormatting sqref="R6:R65">
    <cfRule type="containsText" dxfId="452" priority="10">
      <formula>NOT(ISERROR(SEARCH("NEAR LIMIT",R6)))</formula>
    </cfRule>
  </conditionalFormatting>
  <conditionalFormatting sqref="R6:R65">
    <cfRule type="containsText" dxfId="453" priority="11">
      <formula>NOT(ISERROR(SEARCH("THIS WEEK",R6)))</formula>
    </cfRule>
  </conditionalFormatting>
  <conditionalFormatting sqref="R6:R65">
    <cfRule type="containsText" dxfId="454" priority="12">
      <formula>NOT(ISERROR(SEARCH("CLOSING SOON",R6)))</formula>
    </cfRule>
  </conditionalFormatting>
  <conditionalFormatting sqref="R6:R65">
    <cfRule type="containsText" dxfId="455" priority="13">
      <formula>NOT(ISERROR(SEARCH("NO TRACKING",R6)))</formula>
    </cfRule>
  </conditionalFormatting>
  <conditionalFormatting sqref="R6:R65">
    <cfRule type="containsText" dxfId="456" priority="14">
      <formula>NOT(ISERROR(SEARCH("LOW",R6)))</formula>
    </cfRule>
  </conditionalFormatting>
  <conditionalFormatting sqref="R6:R65">
    <cfRule type="containsText" dxfId="457" priority="15">
      <formula>NOT(ISERROR(SEARCH("AWAITING REFUND",R6)))</formula>
    </cfRule>
  </conditionalFormatting>
  <conditionalFormatting sqref="R6:R65">
    <cfRule type="containsText" dxfId="458" priority="16">
      <formula>NOT(ISERROR(SEARCH("BALANCE DUE SOON",R6)))</formula>
    </cfRule>
  </conditionalFormatting>
  <conditionalFormatting sqref="R6:R65">
    <cfRule type="containsText" dxfId="459" priority="17">
      <formula>NOT(ISERROR(SEARCH("TO BUY",R6)))</formula>
    </cfRule>
  </conditionalFormatting>
  <conditionalFormatting sqref="R6:R65">
    <cfRule type="containsText" dxfId="460" priority="18">
      <formula>NOT(ISERROR(SEARCH("NO DATE",R6)))</formula>
    </cfRule>
  </conditionalFormatting>
  <conditionalFormatting sqref="R6:R65">
    <cfRule type="containsText" dxfId="461" priority="19">
      <formula>NOT(ISERROR(SEARCH("NO COUNT",R6)))</formula>
    </cfRule>
  </conditionalFormatting>
  <conditionalFormatting sqref="R6:R65">
    <cfRule type="containsText" dxfId="462" priority="20">
      <formula>NOT(ISERROR(SEARCH("ON TRACK",R6)))</formula>
    </cfRule>
  </conditionalFormatting>
  <conditionalFormatting sqref="R6:R65">
    <cfRule type="containsText" dxfId="463" priority="21">
      <formula>NOT(ISERROR(SEARCH("COMPLETE",R6)))</formula>
    </cfRule>
  </conditionalFormatting>
  <conditionalFormatting sqref="R6:R65">
    <cfRule type="containsText" dxfId="464" priority="22">
      <formula>NOT(ISERROR(SEARCH("DONE",R6)))</formula>
    </cfRule>
  </conditionalFormatting>
  <conditionalFormatting sqref="R6:R65">
    <cfRule type="containsText" dxfId="465" priority="23">
      <formula>NOT(ISERROR(SEARCH("ARRIVED",R6)))</formula>
    </cfRule>
  </conditionalFormatting>
  <conditionalFormatting sqref="R6:R65">
    <cfRule type="containsText" dxfId="466" priority="24">
      <formula>NOT(ISERROR(SEARCH("SETTLED",R6)))</formula>
    </cfRule>
  </conditionalFormatting>
  <conditionalFormatting sqref="R6:R65">
    <cfRule type="containsText" dxfId="467" priority="25">
      <formula>NOT(ISERROR(SEARCH("AT BUDGET",R6)))</formula>
    </cfRule>
  </conditionalFormatting>
  <conditionalFormatting sqref="R6:R65">
    <cfRule type="containsText" dxfId="468" priority="26">
      <formula>NOT(ISERROR(SEARCH("IN STOCK",R6)))</formula>
    </cfRule>
  </conditionalFormatting>
  <conditionalFormatting sqref="R6:R65">
    <cfRule type="containsText" dxfId="469" priority="27">
      <formula>NOT(ISERROR(SEARCH("BOUGHT",R6)))</formula>
    </cfRule>
  </conditionalFormatting>
  <conditionalFormatting sqref="R6:R65">
    <cfRule type="containsText" dxfId="470" priority="28">
      <formula>NOT(ISERROR(SEARCH("READY",R6)))</formula>
    </cfRule>
  </conditionalFormatting>
  <conditionalFormatting sqref="R6:R65">
    <cfRule type="containsText" dxfId="471" priority="29">
      <formula>NOT(ISERROR(SEARCH("NOT SET",R6)))</formula>
    </cfRule>
  </conditionalFormatting>
  <conditionalFormatting sqref="R6:R65">
    <cfRule type="containsText" dxfId="472" priority="30">
      <formula>NOT(ISERROR(SEARCH("NOT STARTED",R6)))</formula>
    </cfRule>
  </conditionalFormatting>
  <conditionalFormatting sqref="R6:R65">
    <cfRule type="containsText" dxfId="473" priority="31">
      <formula>NOT(ISERROR(SEARCH("SCHEDULED",R6)))</formula>
    </cfRule>
  </conditionalFormatting>
  <conditionalFormatting sqref="R6:R65">
    <cfRule type="containsText" dxfId="474" priority="32">
      <formula>NOT(ISERROR(SEARCH("CLOSED",R6)))</formula>
    </cfRule>
  </conditionalFormatting>
  <conditionalFormatting sqref="R6:R65">
    <cfRule type="containsText" dxfId="475" priority="33">
      <formula>NOT(ISERROR(SEARCH("IN THE PANTRY",R6)))</formula>
    </cfRule>
  </conditionalFormatting>
  <conditionalFormatting sqref="R6:R65">
    <cfRule type="containsText" dxfId="476" priority="34">
      <formula>NOT(ISERROR(SEARCH("BALANCE OPEN",R6)))</formula>
    </cfRule>
  </conditionalFormatting>
  <dataValidations count="5">
    <dataValidation type="custom" allowBlank="1" showErrorMessage="1" errorStyle="warning" errorTitle="That is not a date yet" error="Type a real date, so the workbook can count days with it. &quot;Before Christmas&quot; cannot be sorted." sqref="L6:L65">
      <formula1>=OR(L6="",ISNUMBER(L6))</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M6:M65">
      <formula1>=List_BudgetCategory</formula1>
    </dataValidation>
    <dataValidation type="custom" allowBlank="1" showErrorMessage="1" errorStyle="warning" errorTitle="That looks like text" error="Type the number on its own — no currency symbol and no words. The column adds the symbol for you." sqref="N6:N65">
      <formula1>=OR(N6="",ISNUMBER(N6))</formula1>
    </dataValidation>
    <dataValidation type="custom" allowBlank="1" showErrorMessage="1" errorStyle="warning" errorTitle="That looks like text" error="Type the number on its own — no currency symbol and no words. The column adds the symbol for you." sqref="O6:O65">
      <formula1>=OR(O6="",ISNUMBER(O6))</formula1>
    </dataValidation>
    <dataValidation type="list" allowBlank="1" showErrorMessage="1" errorStyle="warning" errorTitle="Not one of the usual values" error="This column normally uses a value from the WardrobeStatus list on LISTS. You can keep what you typed, or add it to the list so it appears in the dropdown." sqref="P6:P65">
      <formula1>=List_WardrobeStatus</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&amp;LEVENTS + WARDROBE&amp;C&amp;P of &amp;N&amp;RThe Christmas Season Master Command Center™</oddFooter>
  </headerFooter>
  <legacyDrawing r:id="rId7"/>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9452"/>
    <pageSetUpPr fitToPage="1"/>
  </sheetPr>
  <dimension ref="A1:V4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24" customWidth="1"/>
    <col min="4" max="4" width="13" customWidth="1"/>
    <col min="5" max="5" width="20" customWidth="1"/>
    <col min="6" max="6" width="18" customWidth="1"/>
    <col min="7" max="7" width="13" customWidth="1"/>
    <col min="8" max="8" width="11" customWidth="1"/>
    <col min="9" max="9" width="13" customWidth="1"/>
    <col min="10" max="11" width="24" customWidth="1"/>
    <col min="12" max="12" width="17" customWidth="1"/>
    <col min="13" max="15" width="13" customWidth="1"/>
    <col min="16" max="16" width="30" customWidth="1"/>
    <col min="17" max="17" width="26" customWidth="1"/>
    <col min="18" max="18" width="32" customWidth="1"/>
    <col min="19" max="19" width="14" customWidth="1"/>
    <col min="20" max="21" width="18" hidden="1" customWidth="1"/>
    <col min="22" max="22" width="2" customWidth="1"/>
  </cols>
  <sheetData>
    <row r="1" ht="21" customHeight="1" spans="1:22" x14ac:dyDescent="0.25">
      <c r="A1" s="62"/>
      <c r="B1" s="63" t="s">
        <v>8</v>
      </c>
      <c r="C1" s="63"/>
      <c r="D1" s="63" t="s">
        <v>9</v>
      </c>
      <c r="E1" s="63" t="s">
        <v>10</v>
      </c>
      <c r="F1" s="63" t="s">
        <v>11</v>
      </c>
      <c r="G1" s="63" t="s">
        <v>12</v>
      </c>
      <c r="H1" s="62"/>
      <c r="I1" s="62"/>
      <c r="J1" s="62"/>
      <c r="K1" s="62"/>
      <c r="L1" s="62"/>
      <c r="M1" s="62"/>
      <c r="N1" s="62"/>
      <c r="O1" s="62"/>
      <c r="P1" s="62"/>
      <c r="Q1" s="62"/>
      <c r="R1" s="62"/>
      <c r="S1" s="62"/>
      <c r="T1" s="62"/>
      <c r="U1" s="62"/>
      <c r="V1" s="62"/>
    </row>
    <row r="2" ht="34" customHeight="1" spans="1:22" x14ac:dyDescent="0.25">
      <c r="A2" s="64"/>
      <c r="B2" s="65" t="s">
        <v>781</v>
      </c>
      <c r="C2" s="64"/>
      <c r="D2" s="64"/>
      <c r="E2" s="64"/>
      <c r="F2" s="64"/>
      <c r="G2" s="64"/>
      <c r="H2" s="64"/>
      <c r="I2" s="64"/>
      <c r="J2" s="64"/>
      <c r="K2" s="64"/>
      <c r="L2" s="64"/>
      <c r="M2" s="64"/>
      <c r="N2" s="64"/>
      <c r="O2" s="64"/>
      <c r="P2" s="64"/>
      <c r="Q2" s="64"/>
      <c r="R2" s="64"/>
      <c r="S2" s="64"/>
      <c r="T2" s="64"/>
      <c r="U2" s="64"/>
      <c r="V2" s="64"/>
    </row>
    <row r="3" ht="18" customHeight="1" spans="1:22" x14ac:dyDescent="0.25">
      <c r="A3" s="64"/>
      <c r="B3" s="66" t="s">
        <v>782</v>
      </c>
      <c r="C3" s="64"/>
      <c r="D3" s="64"/>
      <c r="E3" s="64"/>
      <c r="F3" s="64"/>
      <c r="G3" s="64"/>
      <c r="H3" s="64"/>
      <c r="I3" s="64"/>
      <c r="J3" s="64"/>
      <c r="K3" s="64"/>
      <c r="L3" s="64"/>
      <c r="M3" s="64"/>
      <c r="N3" s="64"/>
      <c r="O3" s="64"/>
      <c r="P3" s="64"/>
      <c r="Q3" s="64"/>
      <c r="R3" s="64"/>
      <c r="S3" s="64"/>
      <c r="T3" s="64"/>
      <c r="U3" s="64"/>
      <c r="V3" s="64"/>
    </row>
    <row r="4" ht="17" customHeight="1" spans="1:22" x14ac:dyDescent="0.25">
      <c r="A4" s="64"/>
      <c r="B4" s="67" t="s">
        <v>160</v>
      </c>
      <c r="C4" s="64"/>
      <c r="D4" s="64"/>
      <c r="E4" s="64"/>
      <c r="F4" s="64"/>
      <c r="G4" s="64"/>
      <c r="H4" s="64"/>
      <c r="I4" s="64"/>
      <c r="J4" s="64"/>
      <c r="K4" s="64"/>
      <c r="L4" s="64"/>
      <c r="M4" s="64"/>
      <c r="N4" s="64"/>
      <c r="O4" s="64"/>
      <c r="P4" s="64"/>
      <c r="Q4" s="64"/>
      <c r="R4" s="64"/>
      <c r="S4" s="64"/>
      <c r="T4" s="64"/>
      <c r="U4" s="64"/>
      <c r="V4" s="64"/>
    </row>
    <row r="5" ht="32" customHeight="1" spans="1:22" x14ac:dyDescent="0.25">
      <c r="A5" s="73"/>
      <c r="B5" s="74" t="s">
        <v>783</v>
      </c>
      <c r="C5" s="74" t="s">
        <v>784</v>
      </c>
      <c r="D5" s="74" t="s">
        <v>414</v>
      </c>
      <c r="E5" s="74" t="s">
        <v>785</v>
      </c>
      <c r="F5" s="74" t="s">
        <v>786</v>
      </c>
      <c r="G5" s="74" t="s">
        <v>787</v>
      </c>
      <c r="H5" s="74" t="s">
        <v>788</v>
      </c>
      <c r="I5" s="74" t="s">
        <v>789</v>
      </c>
      <c r="J5" s="74" t="s">
        <v>790</v>
      </c>
      <c r="K5" s="74" t="s">
        <v>791</v>
      </c>
      <c r="L5" s="74" t="s">
        <v>300</v>
      </c>
      <c r="M5" s="74" t="s">
        <v>309</v>
      </c>
      <c r="N5" s="74" t="s">
        <v>310</v>
      </c>
      <c r="O5" s="74" t="s">
        <v>260</v>
      </c>
      <c r="P5" s="74" t="s">
        <v>792</v>
      </c>
      <c r="Q5" s="74" t="s">
        <v>793</v>
      </c>
      <c r="R5" s="74" t="s">
        <v>179</v>
      </c>
      <c r="S5" s="74" t="s">
        <v>422</v>
      </c>
      <c r="T5" s="74" t="s">
        <v>180</v>
      </c>
      <c r="U5" s="74" t="s">
        <v>323</v>
      </c>
      <c r="V5" s="73"/>
    </row>
    <row r="6" ht="17" customHeight="1" spans="1:22" x14ac:dyDescent="0.25">
      <c r="A6" s="75"/>
      <c r="B6" s="76" t="s">
        <v>794</v>
      </c>
      <c r="C6" s="76" t="s">
        <v>795</v>
      </c>
      <c r="D6" s="76" t="s">
        <v>796</v>
      </c>
      <c r="E6" s="76" t="s">
        <v>797</v>
      </c>
      <c r="F6" s="76" t="s">
        <v>798</v>
      </c>
      <c r="G6" s="81">
        <v>46382</v>
      </c>
      <c r="H6" s="94" t="s">
        <v>799</v>
      </c>
      <c r="I6" s="81">
        <v>46384</v>
      </c>
      <c r="J6" s="76" t="s">
        <v>800</v>
      </c>
      <c r="K6" s="76" t="s">
        <v>801</v>
      </c>
      <c r="L6" s="76" t="s">
        <v>287</v>
      </c>
      <c r="M6" s="84">
        <v>288</v>
      </c>
      <c r="N6" s="84">
        <v>288</v>
      </c>
      <c r="O6" s="76" t="s">
        <v>802</v>
      </c>
      <c r="P6" s="77" t="s">
        <v>803</v>
      </c>
      <c r="Q6" s="77" t="s">
        <v>804</v>
      </c>
      <c r="R6" s="77" t="s">
        <v>186</v>
      </c>
      <c r="S6" s="78">
        <f>IF($B6="","",IF(OR($O6="Cancelled",$G6&lt;TODAY()-1),"COMPLETE",IF($G6="","NO DATE",IF($G6&lt;TODAY(),"OVERDUE",IF($G6-TODAY()&lt;=7,"THIS WEEK","SCHEDULED")))))</f>
      </c>
      <c r="T6" s="78">
        <f>IF($B6="",0,IF(COUNTIF('TRAVEL PLAN'!$B$6:$B$45,$B6)&gt;1,1,0))</f>
      </c>
      <c r="U6" s="78">
        <f>IF(OR(N($M6)&gt;0,N($N6)&gt;0),IF($L6="",1,IF(COUNTIF('MASTER BUDGET'!$D$6:$D$25,$L6)=0,1,0)),0)</f>
      </c>
      <c r="V6" s="75"/>
    </row>
    <row r="7" ht="17" customHeight="1" spans="1:22" x14ac:dyDescent="0.25">
      <c r="A7" s="75"/>
      <c r="B7" s="76" t="s">
        <v>805</v>
      </c>
      <c r="C7" s="76" t="s">
        <v>806</v>
      </c>
      <c r="D7" s="76" t="s">
        <v>807</v>
      </c>
      <c r="E7" s="76" t="s">
        <v>808</v>
      </c>
      <c r="F7" s="76"/>
      <c r="G7" s="81">
        <v>46378</v>
      </c>
      <c r="H7" s="94" t="s">
        <v>689</v>
      </c>
      <c r="I7" s="81"/>
      <c r="J7" s="76" t="s">
        <v>809</v>
      </c>
      <c r="K7" s="76" t="s">
        <v>810</v>
      </c>
      <c r="L7" s="76" t="s">
        <v>287</v>
      </c>
      <c r="M7" s="84">
        <v>85</v>
      </c>
      <c r="N7" s="84"/>
      <c r="O7" s="76" t="s">
        <v>811</v>
      </c>
      <c r="P7" s="77"/>
      <c r="Q7" s="77"/>
      <c r="R7" s="77" t="s">
        <v>186</v>
      </c>
      <c r="S7" s="78">
        <f>IF($B7="","",IF(OR($O7="Cancelled",$G7&lt;TODAY()-1),"COMPLETE",IF($G7="","NO DATE",IF($G7&lt;TODAY(),"OVERDUE",IF($G7-TODAY()&lt;=7,"THIS WEEK","SCHEDULED")))))</f>
      </c>
      <c r="T7" s="78">
        <f>IF($B7="",0,IF(COUNTIF('TRAVEL PLAN'!$B$6:$B$45,$B7)&gt;1,1,0))</f>
      </c>
      <c r="U7" s="78">
        <f>IF(OR(N($M7)&gt;0,N($N7)&gt;0),IF($L7="",1,IF(COUNTIF('MASTER BUDGET'!$D$6:$D$25,$L7)=0,1,0)),0)</f>
      </c>
      <c r="V7" s="75"/>
    </row>
    <row r="8" ht="17" customHeight="1" spans="1:22" x14ac:dyDescent="0.25">
      <c r="A8" s="75"/>
      <c r="B8" s="76" t="s">
        <v>812</v>
      </c>
      <c r="C8" s="76" t="s">
        <v>813</v>
      </c>
      <c r="D8" s="76" t="s">
        <v>688</v>
      </c>
      <c r="E8" s="76" t="s">
        <v>814</v>
      </c>
      <c r="F8" s="76"/>
      <c r="G8" s="81">
        <v>46386</v>
      </c>
      <c r="H8" s="94"/>
      <c r="I8" s="81">
        <v>46389</v>
      </c>
      <c r="J8" s="76" t="s">
        <v>815</v>
      </c>
      <c r="K8" s="76" t="s">
        <v>816</v>
      </c>
      <c r="L8" s="76" t="s">
        <v>287</v>
      </c>
      <c r="M8" s="84">
        <v>620</v>
      </c>
      <c r="N8" s="84"/>
      <c r="O8" s="76" t="s">
        <v>817</v>
      </c>
      <c r="P8" s="77" t="s">
        <v>818</v>
      </c>
      <c r="Q8" s="77"/>
      <c r="R8" s="77" t="s">
        <v>186</v>
      </c>
      <c r="S8" s="78">
        <f>IF($B8="","",IF(OR($O8="Cancelled",$G8&lt;TODAY()-1),"COMPLETE",IF($G8="","NO DATE",IF($G8&lt;TODAY(),"OVERDUE",IF($G8-TODAY()&lt;=7,"THIS WEEK","SCHEDULED")))))</f>
      </c>
      <c r="T8" s="78">
        <f>IF($B8="",0,IF(COUNTIF('TRAVEL PLAN'!$B$6:$B$45,$B8)&gt;1,1,0))</f>
      </c>
      <c r="U8" s="78">
        <f>IF(OR(N($M8)&gt;0,N($N8)&gt;0),IF($L8="",1,IF(COUNTIF('MASTER BUDGET'!$D$6:$D$25,$L8)=0,1,0)),0)</f>
      </c>
      <c r="V8" s="75"/>
    </row>
    <row r="9" ht="17" customHeight="1" spans="1:22" x14ac:dyDescent="0.25">
      <c r="A9" s="75"/>
      <c r="B9" s="79"/>
      <c r="C9" s="79"/>
      <c r="D9" s="79"/>
      <c r="E9" s="79"/>
      <c r="F9" s="79"/>
      <c r="G9" s="82"/>
      <c r="H9" s="96"/>
      <c r="I9" s="82"/>
      <c r="J9" s="79"/>
      <c r="K9" s="79"/>
      <c r="L9" s="79"/>
      <c r="M9" s="86"/>
      <c r="N9" s="86"/>
      <c r="O9" s="79"/>
      <c r="P9" s="80"/>
      <c r="Q9" s="80"/>
      <c r="R9" s="80"/>
      <c r="S9" s="78">
        <f>IF($B9="","",IF(OR($O9="Cancelled",$G9&lt;TODAY()-1),"COMPLETE",IF($G9="","NO DATE",IF($G9&lt;TODAY(),"OVERDUE",IF($G9-TODAY()&lt;=7,"THIS WEEK","SCHEDULED")))))</f>
      </c>
      <c r="T9" s="78">
        <f>IF($B9="",0,IF(COUNTIF('TRAVEL PLAN'!$B$6:$B$45,$B9)&gt;1,1,0))</f>
      </c>
      <c r="U9" s="78">
        <f>IF(OR(N($M9)&gt;0,N($N9)&gt;0),IF($L9="",1,IF(COUNTIF('MASTER BUDGET'!$D$6:$D$25,$L9)=0,1,0)),0)</f>
      </c>
      <c r="V9" s="75"/>
    </row>
    <row r="10" ht="17" customHeight="1" spans="1:22" x14ac:dyDescent="0.25">
      <c r="A10" s="75"/>
      <c r="B10" s="79"/>
      <c r="C10" s="79"/>
      <c r="D10" s="79"/>
      <c r="E10" s="79"/>
      <c r="F10" s="79"/>
      <c r="G10" s="82"/>
      <c r="H10" s="96"/>
      <c r="I10" s="82"/>
      <c r="J10" s="79"/>
      <c r="K10" s="79"/>
      <c r="L10" s="79"/>
      <c r="M10" s="86"/>
      <c r="N10" s="86"/>
      <c r="O10" s="79"/>
      <c r="P10" s="80"/>
      <c r="Q10" s="80"/>
      <c r="R10" s="80"/>
      <c r="S10" s="78">
        <f>IF($B10="","",IF(OR($O10="Cancelled",$G10&lt;TODAY()-1),"COMPLETE",IF($G10="","NO DATE",IF($G10&lt;TODAY(),"OVERDUE",IF($G10-TODAY()&lt;=7,"THIS WEEK","SCHEDULED")))))</f>
      </c>
      <c r="T10" s="78">
        <f>IF($B10="",0,IF(COUNTIF('TRAVEL PLAN'!$B$6:$B$45,$B10)&gt;1,1,0))</f>
      </c>
      <c r="U10" s="78">
        <f>IF(OR(N($M10)&gt;0,N($N10)&gt;0),IF($L10="",1,IF(COUNTIF('MASTER BUDGET'!$D$6:$D$25,$L10)=0,1,0)),0)</f>
      </c>
      <c r="V10" s="75"/>
    </row>
    <row r="11" ht="17" customHeight="1" spans="1:22" x14ac:dyDescent="0.25">
      <c r="A11" s="75"/>
      <c r="B11" s="79"/>
      <c r="C11" s="79"/>
      <c r="D11" s="79"/>
      <c r="E11" s="79"/>
      <c r="F11" s="79"/>
      <c r="G11" s="82"/>
      <c r="H11" s="96"/>
      <c r="I11" s="82"/>
      <c r="J11" s="79"/>
      <c r="K11" s="79"/>
      <c r="L11" s="79"/>
      <c r="M11" s="86"/>
      <c r="N11" s="86"/>
      <c r="O11" s="79"/>
      <c r="P11" s="80"/>
      <c r="Q11" s="80"/>
      <c r="R11" s="80"/>
      <c r="S11" s="78">
        <f>IF($B11="","",IF(OR($O11="Cancelled",$G11&lt;TODAY()-1),"COMPLETE",IF($G11="","NO DATE",IF($G11&lt;TODAY(),"OVERDUE",IF($G11-TODAY()&lt;=7,"THIS WEEK","SCHEDULED")))))</f>
      </c>
      <c r="T11" s="78">
        <f>IF($B11="",0,IF(COUNTIF('TRAVEL PLAN'!$B$6:$B$45,$B11)&gt;1,1,0))</f>
      </c>
      <c r="U11" s="78">
        <f>IF(OR(N($M11)&gt;0,N($N11)&gt;0),IF($L11="",1,IF(COUNTIF('MASTER BUDGET'!$D$6:$D$25,$L11)=0,1,0)),0)</f>
      </c>
      <c r="V11" s="75"/>
    </row>
    <row r="12" ht="17" customHeight="1" spans="1:22" x14ac:dyDescent="0.25">
      <c r="A12" s="75"/>
      <c r="B12" s="79"/>
      <c r="C12" s="79"/>
      <c r="D12" s="79"/>
      <c r="E12" s="79"/>
      <c r="F12" s="79"/>
      <c r="G12" s="82"/>
      <c r="H12" s="96"/>
      <c r="I12" s="82"/>
      <c r="J12" s="79"/>
      <c r="K12" s="79"/>
      <c r="L12" s="79"/>
      <c r="M12" s="86"/>
      <c r="N12" s="86"/>
      <c r="O12" s="79"/>
      <c r="P12" s="80"/>
      <c r="Q12" s="80"/>
      <c r="R12" s="80"/>
      <c r="S12" s="78">
        <f>IF($B12="","",IF(OR($O12="Cancelled",$G12&lt;TODAY()-1),"COMPLETE",IF($G12="","NO DATE",IF($G12&lt;TODAY(),"OVERDUE",IF($G12-TODAY()&lt;=7,"THIS WEEK","SCHEDULED")))))</f>
      </c>
      <c r="T12" s="78">
        <f>IF($B12="",0,IF(COUNTIF('TRAVEL PLAN'!$B$6:$B$45,$B12)&gt;1,1,0))</f>
      </c>
      <c r="U12" s="78">
        <f>IF(OR(N($M12)&gt;0,N($N12)&gt;0),IF($L12="",1,IF(COUNTIF('MASTER BUDGET'!$D$6:$D$25,$L12)=0,1,0)),0)</f>
      </c>
      <c r="V12" s="75"/>
    </row>
    <row r="13" ht="17" customHeight="1" spans="1:22" x14ac:dyDescent="0.25">
      <c r="A13" s="75"/>
      <c r="B13" s="79"/>
      <c r="C13" s="79"/>
      <c r="D13" s="79"/>
      <c r="E13" s="79"/>
      <c r="F13" s="79"/>
      <c r="G13" s="82"/>
      <c r="H13" s="96"/>
      <c r="I13" s="82"/>
      <c r="J13" s="79"/>
      <c r="K13" s="79"/>
      <c r="L13" s="79"/>
      <c r="M13" s="86"/>
      <c r="N13" s="86"/>
      <c r="O13" s="79"/>
      <c r="P13" s="80"/>
      <c r="Q13" s="80"/>
      <c r="R13" s="80"/>
      <c r="S13" s="78">
        <f>IF($B13="","",IF(OR($O13="Cancelled",$G13&lt;TODAY()-1),"COMPLETE",IF($G13="","NO DATE",IF($G13&lt;TODAY(),"OVERDUE",IF($G13-TODAY()&lt;=7,"THIS WEEK","SCHEDULED")))))</f>
      </c>
      <c r="T13" s="78">
        <f>IF($B13="",0,IF(COUNTIF('TRAVEL PLAN'!$B$6:$B$45,$B13)&gt;1,1,0))</f>
      </c>
      <c r="U13" s="78">
        <f>IF(OR(N($M13)&gt;0,N($N13)&gt;0),IF($L13="",1,IF(COUNTIF('MASTER BUDGET'!$D$6:$D$25,$L13)=0,1,0)),0)</f>
      </c>
      <c r="V13" s="75"/>
    </row>
    <row r="14" ht="17" customHeight="1" spans="1:22" x14ac:dyDescent="0.25">
      <c r="A14" s="75"/>
      <c r="B14" s="79"/>
      <c r="C14" s="79"/>
      <c r="D14" s="79"/>
      <c r="E14" s="79"/>
      <c r="F14" s="79"/>
      <c r="G14" s="82"/>
      <c r="H14" s="96"/>
      <c r="I14" s="82"/>
      <c r="J14" s="79"/>
      <c r="K14" s="79"/>
      <c r="L14" s="79"/>
      <c r="M14" s="86"/>
      <c r="N14" s="86"/>
      <c r="O14" s="79"/>
      <c r="P14" s="80"/>
      <c r="Q14" s="80"/>
      <c r="R14" s="80"/>
      <c r="S14" s="78">
        <f>IF($B14="","",IF(OR($O14="Cancelled",$G14&lt;TODAY()-1),"COMPLETE",IF($G14="","NO DATE",IF($G14&lt;TODAY(),"OVERDUE",IF($G14-TODAY()&lt;=7,"THIS WEEK","SCHEDULED")))))</f>
      </c>
      <c r="T14" s="78">
        <f>IF($B14="",0,IF(COUNTIF('TRAVEL PLAN'!$B$6:$B$45,$B14)&gt;1,1,0))</f>
      </c>
      <c r="U14" s="78">
        <f>IF(OR(N($M14)&gt;0,N($N14)&gt;0),IF($L14="",1,IF(COUNTIF('MASTER BUDGET'!$D$6:$D$25,$L14)=0,1,0)),0)</f>
      </c>
      <c r="V14" s="75"/>
    </row>
    <row r="15" ht="17" customHeight="1" spans="1:22" x14ac:dyDescent="0.25">
      <c r="A15" s="75"/>
      <c r="B15" s="79"/>
      <c r="C15" s="79"/>
      <c r="D15" s="79"/>
      <c r="E15" s="79"/>
      <c r="F15" s="79"/>
      <c r="G15" s="82"/>
      <c r="H15" s="96"/>
      <c r="I15" s="82"/>
      <c r="J15" s="79"/>
      <c r="K15" s="79"/>
      <c r="L15" s="79"/>
      <c r="M15" s="86"/>
      <c r="N15" s="86"/>
      <c r="O15" s="79"/>
      <c r="P15" s="80"/>
      <c r="Q15" s="80"/>
      <c r="R15" s="80"/>
      <c r="S15" s="78">
        <f>IF($B15="","",IF(OR($O15="Cancelled",$G15&lt;TODAY()-1),"COMPLETE",IF($G15="","NO DATE",IF($G15&lt;TODAY(),"OVERDUE",IF($G15-TODAY()&lt;=7,"THIS WEEK","SCHEDULED")))))</f>
      </c>
      <c r="T15" s="78">
        <f>IF($B15="",0,IF(COUNTIF('TRAVEL PLAN'!$B$6:$B$45,$B15)&gt;1,1,0))</f>
      </c>
      <c r="U15" s="78">
        <f>IF(OR(N($M15)&gt;0,N($N15)&gt;0),IF($L15="",1,IF(COUNTIF('MASTER BUDGET'!$D$6:$D$25,$L15)=0,1,0)),0)</f>
      </c>
      <c r="V15" s="75"/>
    </row>
    <row r="16" ht="17" customHeight="1" spans="1:22" x14ac:dyDescent="0.25">
      <c r="A16" s="75"/>
      <c r="B16" s="79"/>
      <c r="C16" s="79"/>
      <c r="D16" s="79"/>
      <c r="E16" s="79"/>
      <c r="F16" s="79"/>
      <c r="G16" s="82"/>
      <c r="H16" s="96"/>
      <c r="I16" s="82"/>
      <c r="J16" s="79"/>
      <c r="K16" s="79"/>
      <c r="L16" s="79"/>
      <c r="M16" s="86"/>
      <c r="N16" s="86"/>
      <c r="O16" s="79"/>
      <c r="P16" s="80"/>
      <c r="Q16" s="80"/>
      <c r="R16" s="80"/>
      <c r="S16" s="78">
        <f>IF($B16="","",IF(OR($O16="Cancelled",$G16&lt;TODAY()-1),"COMPLETE",IF($G16="","NO DATE",IF($G16&lt;TODAY(),"OVERDUE",IF($G16-TODAY()&lt;=7,"THIS WEEK","SCHEDULED")))))</f>
      </c>
      <c r="T16" s="78">
        <f>IF($B16="",0,IF(COUNTIF('TRAVEL PLAN'!$B$6:$B$45,$B16)&gt;1,1,0))</f>
      </c>
      <c r="U16" s="78">
        <f>IF(OR(N($M16)&gt;0,N($N16)&gt;0),IF($L16="",1,IF(COUNTIF('MASTER BUDGET'!$D$6:$D$25,$L16)=0,1,0)),0)</f>
      </c>
      <c r="V16" s="75"/>
    </row>
    <row r="17" ht="17" customHeight="1" spans="1:22" x14ac:dyDescent="0.25">
      <c r="A17" s="75"/>
      <c r="B17" s="79"/>
      <c r="C17" s="79"/>
      <c r="D17" s="79"/>
      <c r="E17" s="79"/>
      <c r="F17" s="79"/>
      <c r="G17" s="82"/>
      <c r="H17" s="96"/>
      <c r="I17" s="82"/>
      <c r="J17" s="79"/>
      <c r="K17" s="79"/>
      <c r="L17" s="79"/>
      <c r="M17" s="86"/>
      <c r="N17" s="86"/>
      <c r="O17" s="79"/>
      <c r="P17" s="80"/>
      <c r="Q17" s="80"/>
      <c r="R17" s="80"/>
      <c r="S17" s="78">
        <f>IF($B17="","",IF(OR($O17="Cancelled",$G17&lt;TODAY()-1),"COMPLETE",IF($G17="","NO DATE",IF($G17&lt;TODAY(),"OVERDUE",IF($G17-TODAY()&lt;=7,"THIS WEEK","SCHEDULED")))))</f>
      </c>
      <c r="T17" s="78">
        <f>IF($B17="",0,IF(COUNTIF('TRAVEL PLAN'!$B$6:$B$45,$B17)&gt;1,1,0))</f>
      </c>
      <c r="U17" s="78">
        <f>IF(OR(N($M17)&gt;0,N($N17)&gt;0),IF($L17="",1,IF(COUNTIF('MASTER BUDGET'!$D$6:$D$25,$L17)=0,1,0)),0)</f>
      </c>
      <c r="V17" s="75"/>
    </row>
    <row r="18" ht="17" customHeight="1" spans="1:22" x14ac:dyDescent="0.25">
      <c r="A18" s="75"/>
      <c r="B18" s="79"/>
      <c r="C18" s="79"/>
      <c r="D18" s="79"/>
      <c r="E18" s="79"/>
      <c r="F18" s="79"/>
      <c r="G18" s="82"/>
      <c r="H18" s="96"/>
      <c r="I18" s="82"/>
      <c r="J18" s="79"/>
      <c r="K18" s="79"/>
      <c r="L18" s="79"/>
      <c r="M18" s="86"/>
      <c r="N18" s="86"/>
      <c r="O18" s="79"/>
      <c r="P18" s="80"/>
      <c r="Q18" s="80"/>
      <c r="R18" s="80"/>
      <c r="S18" s="78">
        <f>IF($B18="","",IF(OR($O18="Cancelled",$G18&lt;TODAY()-1),"COMPLETE",IF($G18="","NO DATE",IF($G18&lt;TODAY(),"OVERDUE",IF($G18-TODAY()&lt;=7,"THIS WEEK","SCHEDULED")))))</f>
      </c>
      <c r="T18" s="78">
        <f>IF($B18="",0,IF(COUNTIF('TRAVEL PLAN'!$B$6:$B$45,$B18)&gt;1,1,0))</f>
      </c>
      <c r="U18" s="78">
        <f>IF(OR(N($M18)&gt;0,N($N18)&gt;0),IF($L18="",1,IF(COUNTIF('MASTER BUDGET'!$D$6:$D$25,$L18)=0,1,0)),0)</f>
      </c>
      <c r="V18" s="75"/>
    </row>
    <row r="19" ht="17" customHeight="1" spans="1:22" x14ac:dyDescent="0.25">
      <c r="A19" s="75"/>
      <c r="B19" s="79"/>
      <c r="C19" s="79"/>
      <c r="D19" s="79"/>
      <c r="E19" s="79"/>
      <c r="F19" s="79"/>
      <c r="G19" s="82"/>
      <c r="H19" s="96"/>
      <c r="I19" s="82"/>
      <c r="J19" s="79"/>
      <c r="K19" s="79"/>
      <c r="L19" s="79"/>
      <c r="M19" s="86"/>
      <c r="N19" s="86"/>
      <c r="O19" s="79"/>
      <c r="P19" s="80"/>
      <c r="Q19" s="80"/>
      <c r="R19" s="80"/>
      <c r="S19" s="78">
        <f>IF($B19="","",IF(OR($O19="Cancelled",$G19&lt;TODAY()-1),"COMPLETE",IF($G19="","NO DATE",IF($G19&lt;TODAY(),"OVERDUE",IF($G19-TODAY()&lt;=7,"THIS WEEK","SCHEDULED")))))</f>
      </c>
      <c r="T19" s="78">
        <f>IF($B19="",0,IF(COUNTIF('TRAVEL PLAN'!$B$6:$B$45,$B19)&gt;1,1,0))</f>
      </c>
      <c r="U19" s="78">
        <f>IF(OR(N($M19)&gt;0,N($N19)&gt;0),IF($L19="",1,IF(COUNTIF('MASTER BUDGET'!$D$6:$D$25,$L19)=0,1,0)),0)</f>
      </c>
      <c r="V19" s="75"/>
    </row>
    <row r="20" ht="17" customHeight="1" spans="1:22" x14ac:dyDescent="0.25">
      <c r="A20" s="75"/>
      <c r="B20" s="79"/>
      <c r="C20" s="79"/>
      <c r="D20" s="79"/>
      <c r="E20" s="79"/>
      <c r="F20" s="79"/>
      <c r="G20" s="82"/>
      <c r="H20" s="96"/>
      <c r="I20" s="82"/>
      <c r="J20" s="79"/>
      <c r="K20" s="79"/>
      <c r="L20" s="79"/>
      <c r="M20" s="86"/>
      <c r="N20" s="86"/>
      <c r="O20" s="79"/>
      <c r="P20" s="80"/>
      <c r="Q20" s="80"/>
      <c r="R20" s="80"/>
      <c r="S20" s="78">
        <f>IF($B20="","",IF(OR($O20="Cancelled",$G20&lt;TODAY()-1),"COMPLETE",IF($G20="","NO DATE",IF($G20&lt;TODAY(),"OVERDUE",IF($G20-TODAY()&lt;=7,"THIS WEEK","SCHEDULED")))))</f>
      </c>
      <c r="T20" s="78">
        <f>IF($B20="",0,IF(COUNTIF('TRAVEL PLAN'!$B$6:$B$45,$B20)&gt;1,1,0))</f>
      </c>
      <c r="U20" s="78">
        <f>IF(OR(N($M20)&gt;0,N($N20)&gt;0),IF($L20="",1,IF(COUNTIF('MASTER BUDGET'!$D$6:$D$25,$L20)=0,1,0)),0)</f>
      </c>
      <c r="V20" s="75"/>
    </row>
    <row r="21" ht="17" customHeight="1" spans="1:22" x14ac:dyDescent="0.25">
      <c r="A21" s="75"/>
      <c r="B21" s="79"/>
      <c r="C21" s="79"/>
      <c r="D21" s="79"/>
      <c r="E21" s="79"/>
      <c r="F21" s="79"/>
      <c r="G21" s="82"/>
      <c r="H21" s="96"/>
      <c r="I21" s="82"/>
      <c r="J21" s="79"/>
      <c r="K21" s="79"/>
      <c r="L21" s="79"/>
      <c r="M21" s="86"/>
      <c r="N21" s="86"/>
      <c r="O21" s="79"/>
      <c r="P21" s="80"/>
      <c r="Q21" s="80"/>
      <c r="R21" s="80"/>
      <c r="S21" s="78">
        <f>IF($B21="","",IF(OR($O21="Cancelled",$G21&lt;TODAY()-1),"COMPLETE",IF($G21="","NO DATE",IF($G21&lt;TODAY(),"OVERDUE",IF($G21-TODAY()&lt;=7,"THIS WEEK","SCHEDULED")))))</f>
      </c>
      <c r="T21" s="78">
        <f>IF($B21="",0,IF(COUNTIF('TRAVEL PLAN'!$B$6:$B$45,$B21)&gt;1,1,0))</f>
      </c>
      <c r="U21" s="78">
        <f>IF(OR(N($M21)&gt;0,N($N21)&gt;0),IF($L21="",1,IF(COUNTIF('MASTER BUDGET'!$D$6:$D$25,$L21)=0,1,0)),0)</f>
      </c>
      <c r="V21" s="75"/>
    </row>
    <row r="22" ht="17" customHeight="1" spans="1:22" x14ac:dyDescent="0.25">
      <c r="A22" s="75"/>
      <c r="B22" s="79"/>
      <c r="C22" s="79"/>
      <c r="D22" s="79"/>
      <c r="E22" s="79"/>
      <c r="F22" s="79"/>
      <c r="G22" s="82"/>
      <c r="H22" s="96"/>
      <c r="I22" s="82"/>
      <c r="J22" s="79"/>
      <c r="K22" s="79"/>
      <c r="L22" s="79"/>
      <c r="M22" s="86"/>
      <c r="N22" s="86"/>
      <c r="O22" s="79"/>
      <c r="P22" s="80"/>
      <c r="Q22" s="80"/>
      <c r="R22" s="80"/>
      <c r="S22" s="78">
        <f>IF($B22="","",IF(OR($O22="Cancelled",$G22&lt;TODAY()-1),"COMPLETE",IF($G22="","NO DATE",IF($G22&lt;TODAY(),"OVERDUE",IF($G22-TODAY()&lt;=7,"THIS WEEK","SCHEDULED")))))</f>
      </c>
      <c r="T22" s="78">
        <f>IF($B22="",0,IF(COUNTIF('TRAVEL PLAN'!$B$6:$B$45,$B22)&gt;1,1,0))</f>
      </c>
      <c r="U22" s="78">
        <f>IF(OR(N($M22)&gt;0,N($N22)&gt;0),IF($L22="",1,IF(COUNTIF('MASTER BUDGET'!$D$6:$D$25,$L22)=0,1,0)),0)</f>
      </c>
      <c r="V22" s="75"/>
    </row>
    <row r="23" ht="17" customHeight="1" spans="1:22" x14ac:dyDescent="0.25">
      <c r="A23" s="75"/>
      <c r="B23" s="79"/>
      <c r="C23" s="79"/>
      <c r="D23" s="79"/>
      <c r="E23" s="79"/>
      <c r="F23" s="79"/>
      <c r="G23" s="82"/>
      <c r="H23" s="96"/>
      <c r="I23" s="82"/>
      <c r="J23" s="79"/>
      <c r="K23" s="79"/>
      <c r="L23" s="79"/>
      <c r="M23" s="86"/>
      <c r="N23" s="86"/>
      <c r="O23" s="79"/>
      <c r="P23" s="80"/>
      <c r="Q23" s="80"/>
      <c r="R23" s="80"/>
      <c r="S23" s="78">
        <f>IF($B23="","",IF(OR($O23="Cancelled",$G23&lt;TODAY()-1),"COMPLETE",IF($G23="","NO DATE",IF($G23&lt;TODAY(),"OVERDUE",IF($G23-TODAY()&lt;=7,"THIS WEEK","SCHEDULED")))))</f>
      </c>
      <c r="T23" s="78">
        <f>IF($B23="",0,IF(COUNTIF('TRAVEL PLAN'!$B$6:$B$45,$B23)&gt;1,1,0))</f>
      </c>
      <c r="U23" s="78">
        <f>IF(OR(N($M23)&gt;0,N($N23)&gt;0),IF($L23="",1,IF(COUNTIF('MASTER BUDGET'!$D$6:$D$25,$L23)=0,1,0)),0)</f>
      </c>
      <c r="V23" s="75"/>
    </row>
    <row r="24" ht="17" customHeight="1" spans="1:22" x14ac:dyDescent="0.25">
      <c r="A24" s="75"/>
      <c r="B24" s="79"/>
      <c r="C24" s="79"/>
      <c r="D24" s="79"/>
      <c r="E24" s="79"/>
      <c r="F24" s="79"/>
      <c r="G24" s="82"/>
      <c r="H24" s="96"/>
      <c r="I24" s="82"/>
      <c r="J24" s="79"/>
      <c r="K24" s="79"/>
      <c r="L24" s="79"/>
      <c r="M24" s="86"/>
      <c r="N24" s="86"/>
      <c r="O24" s="79"/>
      <c r="P24" s="80"/>
      <c r="Q24" s="80"/>
      <c r="R24" s="80"/>
      <c r="S24" s="78">
        <f>IF($B24="","",IF(OR($O24="Cancelled",$G24&lt;TODAY()-1),"COMPLETE",IF($G24="","NO DATE",IF($G24&lt;TODAY(),"OVERDUE",IF($G24-TODAY()&lt;=7,"THIS WEEK","SCHEDULED")))))</f>
      </c>
      <c r="T24" s="78">
        <f>IF($B24="",0,IF(COUNTIF('TRAVEL PLAN'!$B$6:$B$45,$B24)&gt;1,1,0))</f>
      </c>
      <c r="U24" s="78">
        <f>IF(OR(N($M24)&gt;0,N($N24)&gt;0),IF($L24="",1,IF(COUNTIF('MASTER BUDGET'!$D$6:$D$25,$L24)=0,1,0)),0)</f>
      </c>
      <c r="V24" s="75"/>
    </row>
    <row r="25" ht="17" customHeight="1" spans="1:22" x14ac:dyDescent="0.25">
      <c r="A25" s="75"/>
      <c r="B25" s="79"/>
      <c r="C25" s="79"/>
      <c r="D25" s="79"/>
      <c r="E25" s="79"/>
      <c r="F25" s="79"/>
      <c r="G25" s="82"/>
      <c r="H25" s="96"/>
      <c r="I25" s="82"/>
      <c r="J25" s="79"/>
      <c r="K25" s="79"/>
      <c r="L25" s="79"/>
      <c r="M25" s="86"/>
      <c r="N25" s="86"/>
      <c r="O25" s="79"/>
      <c r="P25" s="80"/>
      <c r="Q25" s="80"/>
      <c r="R25" s="80"/>
      <c r="S25" s="78">
        <f>IF($B25="","",IF(OR($O25="Cancelled",$G25&lt;TODAY()-1),"COMPLETE",IF($G25="","NO DATE",IF($G25&lt;TODAY(),"OVERDUE",IF($G25-TODAY()&lt;=7,"THIS WEEK","SCHEDULED")))))</f>
      </c>
      <c r="T25" s="78">
        <f>IF($B25="",0,IF(COUNTIF('TRAVEL PLAN'!$B$6:$B$45,$B25)&gt;1,1,0))</f>
      </c>
      <c r="U25" s="78">
        <f>IF(OR(N($M25)&gt;0,N($N25)&gt;0),IF($L25="",1,IF(COUNTIF('MASTER BUDGET'!$D$6:$D$25,$L25)=0,1,0)),0)</f>
      </c>
      <c r="V25" s="75"/>
    </row>
    <row r="26" ht="17" customHeight="1" spans="1:22" x14ac:dyDescent="0.25">
      <c r="A26" s="75"/>
      <c r="B26" s="79"/>
      <c r="C26" s="79"/>
      <c r="D26" s="79"/>
      <c r="E26" s="79"/>
      <c r="F26" s="79"/>
      <c r="G26" s="82"/>
      <c r="H26" s="96"/>
      <c r="I26" s="82"/>
      <c r="J26" s="79"/>
      <c r="K26" s="79"/>
      <c r="L26" s="79"/>
      <c r="M26" s="86"/>
      <c r="N26" s="86"/>
      <c r="O26" s="79"/>
      <c r="P26" s="80"/>
      <c r="Q26" s="80"/>
      <c r="R26" s="80"/>
      <c r="S26" s="78">
        <f>IF($B26="","",IF(OR($O26="Cancelled",$G26&lt;TODAY()-1),"COMPLETE",IF($G26="","NO DATE",IF($G26&lt;TODAY(),"OVERDUE",IF($G26-TODAY()&lt;=7,"THIS WEEK","SCHEDULED")))))</f>
      </c>
      <c r="T26" s="78">
        <f>IF($B26="",0,IF(COUNTIF('TRAVEL PLAN'!$B$6:$B$45,$B26)&gt;1,1,0))</f>
      </c>
      <c r="U26" s="78">
        <f>IF(OR(N($M26)&gt;0,N($N26)&gt;0),IF($L26="",1,IF(COUNTIF('MASTER BUDGET'!$D$6:$D$25,$L26)=0,1,0)),0)</f>
      </c>
      <c r="V26" s="75"/>
    </row>
    <row r="27" ht="17" customHeight="1" spans="1:22" x14ac:dyDescent="0.25">
      <c r="A27" s="75"/>
      <c r="B27" s="79"/>
      <c r="C27" s="79"/>
      <c r="D27" s="79"/>
      <c r="E27" s="79"/>
      <c r="F27" s="79"/>
      <c r="G27" s="82"/>
      <c r="H27" s="96"/>
      <c r="I27" s="82"/>
      <c r="J27" s="79"/>
      <c r="K27" s="79"/>
      <c r="L27" s="79"/>
      <c r="M27" s="86"/>
      <c r="N27" s="86"/>
      <c r="O27" s="79"/>
      <c r="P27" s="80"/>
      <c r="Q27" s="80"/>
      <c r="R27" s="80"/>
      <c r="S27" s="78">
        <f>IF($B27="","",IF(OR($O27="Cancelled",$G27&lt;TODAY()-1),"COMPLETE",IF($G27="","NO DATE",IF($G27&lt;TODAY(),"OVERDUE",IF($G27-TODAY()&lt;=7,"THIS WEEK","SCHEDULED")))))</f>
      </c>
      <c r="T27" s="78">
        <f>IF($B27="",0,IF(COUNTIF('TRAVEL PLAN'!$B$6:$B$45,$B27)&gt;1,1,0))</f>
      </c>
      <c r="U27" s="78">
        <f>IF(OR(N($M27)&gt;0,N($N27)&gt;0),IF($L27="",1,IF(COUNTIF('MASTER BUDGET'!$D$6:$D$25,$L27)=0,1,0)),0)</f>
      </c>
      <c r="V27" s="75"/>
    </row>
    <row r="28" ht="17" customHeight="1" spans="1:22" x14ac:dyDescent="0.25">
      <c r="A28" s="75"/>
      <c r="B28" s="79"/>
      <c r="C28" s="79"/>
      <c r="D28" s="79"/>
      <c r="E28" s="79"/>
      <c r="F28" s="79"/>
      <c r="G28" s="82"/>
      <c r="H28" s="96"/>
      <c r="I28" s="82"/>
      <c r="J28" s="79"/>
      <c r="K28" s="79"/>
      <c r="L28" s="79"/>
      <c r="M28" s="86"/>
      <c r="N28" s="86"/>
      <c r="O28" s="79"/>
      <c r="P28" s="80"/>
      <c r="Q28" s="80"/>
      <c r="R28" s="80"/>
      <c r="S28" s="78">
        <f>IF($B28="","",IF(OR($O28="Cancelled",$G28&lt;TODAY()-1),"COMPLETE",IF($G28="","NO DATE",IF($G28&lt;TODAY(),"OVERDUE",IF($G28-TODAY()&lt;=7,"THIS WEEK","SCHEDULED")))))</f>
      </c>
      <c r="T28" s="78">
        <f>IF($B28="",0,IF(COUNTIF('TRAVEL PLAN'!$B$6:$B$45,$B28)&gt;1,1,0))</f>
      </c>
      <c r="U28" s="78">
        <f>IF(OR(N($M28)&gt;0,N($N28)&gt;0),IF($L28="",1,IF(COUNTIF('MASTER BUDGET'!$D$6:$D$25,$L28)=0,1,0)),0)</f>
      </c>
      <c r="V28" s="75"/>
    </row>
    <row r="29" ht="17" customHeight="1" spans="1:22" x14ac:dyDescent="0.25">
      <c r="A29" s="75"/>
      <c r="B29" s="79"/>
      <c r="C29" s="79"/>
      <c r="D29" s="79"/>
      <c r="E29" s="79"/>
      <c r="F29" s="79"/>
      <c r="G29" s="82"/>
      <c r="H29" s="96"/>
      <c r="I29" s="82"/>
      <c r="J29" s="79"/>
      <c r="K29" s="79"/>
      <c r="L29" s="79"/>
      <c r="M29" s="86"/>
      <c r="N29" s="86"/>
      <c r="O29" s="79"/>
      <c r="P29" s="80"/>
      <c r="Q29" s="80"/>
      <c r="R29" s="80"/>
      <c r="S29" s="78">
        <f>IF($B29="","",IF(OR($O29="Cancelled",$G29&lt;TODAY()-1),"COMPLETE",IF($G29="","NO DATE",IF($G29&lt;TODAY(),"OVERDUE",IF($G29-TODAY()&lt;=7,"THIS WEEK","SCHEDULED")))))</f>
      </c>
      <c r="T29" s="78">
        <f>IF($B29="",0,IF(COUNTIF('TRAVEL PLAN'!$B$6:$B$45,$B29)&gt;1,1,0))</f>
      </c>
      <c r="U29" s="78">
        <f>IF(OR(N($M29)&gt;0,N($N29)&gt;0),IF($L29="",1,IF(COUNTIF('MASTER BUDGET'!$D$6:$D$25,$L29)=0,1,0)),0)</f>
      </c>
      <c r="V29" s="75"/>
    </row>
    <row r="30" ht="17" customHeight="1" spans="1:22" x14ac:dyDescent="0.25">
      <c r="A30" s="75"/>
      <c r="B30" s="79"/>
      <c r="C30" s="79"/>
      <c r="D30" s="79"/>
      <c r="E30" s="79"/>
      <c r="F30" s="79"/>
      <c r="G30" s="82"/>
      <c r="H30" s="96"/>
      <c r="I30" s="82"/>
      <c r="J30" s="79"/>
      <c r="K30" s="79"/>
      <c r="L30" s="79"/>
      <c r="M30" s="86"/>
      <c r="N30" s="86"/>
      <c r="O30" s="79"/>
      <c r="P30" s="80"/>
      <c r="Q30" s="80"/>
      <c r="R30" s="80"/>
      <c r="S30" s="78">
        <f>IF($B30="","",IF(OR($O30="Cancelled",$G30&lt;TODAY()-1),"COMPLETE",IF($G30="","NO DATE",IF($G30&lt;TODAY(),"OVERDUE",IF($G30-TODAY()&lt;=7,"THIS WEEK","SCHEDULED")))))</f>
      </c>
      <c r="T30" s="78">
        <f>IF($B30="",0,IF(COUNTIF('TRAVEL PLAN'!$B$6:$B$45,$B30)&gt;1,1,0))</f>
      </c>
      <c r="U30" s="78">
        <f>IF(OR(N($M30)&gt;0,N($N30)&gt;0),IF($L30="",1,IF(COUNTIF('MASTER BUDGET'!$D$6:$D$25,$L30)=0,1,0)),0)</f>
      </c>
      <c r="V30" s="75"/>
    </row>
    <row r="31" ht="17" customHeight="1" spans="1:22" x14ac:dyDescent="0.25">
      <c r="A31" s="75"/>
      <c r="B31" s="79"/>
      <c r="C31" s="79"/>
      <c r="D31" s="79"/>
      <c r="E31" s="79"/>
      <c r="F31" s="79"/>
      <c r="G31" s="82"/>
      <c r="H31" s="96"/>
      <c r="I31" s="82"/>
      <c r="J31" s="79"/>
      <c r="K31" s="79"/>
      <c r="L31" s="79"/>
      <c r="M31" s="86"/>
      <c r="N31" s="86"/>
      <c r="O31" s="79"/>
      <c r="P31" s="80"/>
      <c r="Q31" s="80"/>
      <c r="R31" s="80"/>
      <c r="S31" s="78">
        <f>IF($B31="","",IF(OR($O31="Cancelled",$G31&lt;TODAY()-1),"COMPLETE",IF($G31="","NO DATE",IF($G31&lt;TODAY(),"OVERDUE",IF($G31-TODAY()&lt;=7,"THIS WEEK","SCHEDULED")))))</f>
      </c>
      <c r="T31" s="78">
        <f>IF($B31="",0,IF(COUNTIF('TRAVEL PLAN'!$B$6:$B$45,$B31)&gt;1,1,0))</f>
      </c>
      <c r="U31" s="78">
        <f>IF(OR(N($M31)&gt;0,N($N31)&gt;0),IF($L31="",1,IF(COUNTIF('MASTER BUDGET'!$D$6:$D$25,$L31)=0,1,0)),0)</f>
      </c>
      <c r="V31" s="75"/>
    </row>
    <row r="32" ht="17" customHeight="1" spans="1:22" x14ac:dyDescent="0.25">
      <c r="A32" s="75"/>
      <c r="B32" s="79"/>
      <c r="C32" s="79"/>
      <c r="D32" s="79"/>
      <c r="E32" s="79"/>
      <c r="F32" s="79"/>
      <c r="G32" s="82"/>
      <c r="H32" s="96"/>
      <c r="I32" s="82"/>
      <c r="J32" s="79"/>
      <c r="K32" s="79"/>
      <c r="L32" s="79"/>
      <c r="M32" s="86"/>
      <c r="N32" s="86"/>
      <c r="O32" s="79"/>
      <c r="P32" s="80"/>
      <c r="Q32" s="80"/>
      <c r="R32" s="80"/>
      <c r="S32" s="78">
        <f>IF($B32="","",IF(OR($O32="Cancelled",$G32&lt;TODAY()-1),"COMPLETE",IF($G32="","NO DATE",IF($G32&lt;TODAY(),"OVERDUE",IF($G32-TODAY()&lt;=7,"THIS WEEK","SCHEDULED")))))</f>
      </c>
      <c r="T32" s="78">
        <f>IF($B32="",0,IF(COUNTIF('TRAVEL PLAN'!$B$6:$B$45,$B32)&gt;1,1,0))</f>
      </c>
      <c r="U32" s="78">
        <f>IF(OR(N($M32)&gt;0,N($N32)&gt;0),IF($L32="",1,IF(COUNTIF('MASTER BUDGET'!$D$6:$D$25,$L32)=0,1,0)),0)</f>
      </c>
      <c r="V32" s="75"/>
    </row>
    <row r="33" ht="17" customHeight="1" spans="1:22" x14ac:dyDescent="0.25">
      <c r="A33" s="75"/>
      <c r="B33" s="79"/>
      <c r="C33" s="79"/>
      <c r="D33" s="79"/>
      <c r="E33" s="79"/>
      <c r="F33" s="79"/>
      <c r="G33" s="82"/>
      <c r="H33" s="96"/>
      <c r="I33" s="82"/>
      <c r="J33" s="79"/>
      <c r="K33" s="79"/>
      <c r="L33" s="79"/>
      <c r="M33" s="86"/>
      <c r="N33" s="86"/>
      <c r="O33" s="79"/>
      <c r="P33" s="80"/>
      <c r="Q33" s="80"/>
      <c r="R33" s="80"/>
      <c r="S33" s="78">
        <f>IF($B33="","",IF(OR($O33="Cancelled",$G33&lt;TODAY()-1),"COMPLETE",IF($G33="","NO DATE",IF($G33&lt;TODAY(),"OVERDUE",IF($G33-TODAY()&lt;=7,"THIS WEEK","SCHEDULED")))))</f>
      </c>
      <c r="T33" s="78">
        <f>IF($B33="",0,IF(COUNTIF('TRAVEL PLAN'!$B$6:$B$45,$B33)&gt;1,1,0))</f>
      </c>
      <c r="U33" s="78">
        <f>IF(OR(N($M33)&gt;0,N($N33)&gt;0),IF($L33="",1,IF(COUNTIF('MASTER BUDGET'!$D$6:$D$25,$L33)=0,1,0)),0)</f>
      </c>
      <c r="V33" s="75"/>
    </row>
    <row r="34" ht="17" customHeight="1" spans="1:22" x14ac:dyDescent="0.25">
      <c r="A34" s="75"/>
      <c r="B34" s="79"/>
      <c r="C34" s="79"/>
      <c r="D34" s="79"/>
      <c r="E34" s="79"/>
      <c r="F34" s="79"/>
      <c r="G34" s="82"/>
      <c r="H34" s="96"/>
      <c r="I34" s="82"/>
      <c r="J34" s="79"/>
      <c r="K34" s="79"/>
      <c r="L34" s="79"/>
      <c r="M34" s="86"/>
      <c r="N34" s="86"/>
      <c r="O34" s="79"/>
      <c r="P34" s="80"/>
      <c r="Q34" s="80"/>
      <c r="R34" s="80"/>
      <c r="S34" s="78">
        <f>IF($B34="","",IF(OR($O34="Cancelled",$G34&lt;TODAY()-1),"COMPLETE",IF($G34="","NO DATE",IF($G34&lt;TODAY(),"OVERDUE",IF($G34-TODAY()&lt;=7,"THIS WEEK","SCHEDULED")))))</f>
      </c>
      <c r="T34" s="78">
        <f>IF($B34="",0,IF(COUNTIF('TRAVEL PLAN'!$B$6:$B$45,$B34)&gt;1,1,0))</f>
      </c>
      <c r="U34" s="78">
        <f>IF(OR(N($M34)&gt;0,N($N34)&gt;0),IF($L34="",1,IF(COUNTIF('MASTER BUDGET'!$D$6:$D$25,$L34)=0,1,0)),0)</f>
      </c>
      <c r="V34" s="75"/>
    </row>
    <row r="35" ht="17" customHeight="1" spans="1:22" x14ac:dyDescent="0.25">
      <c r="A35" s="75"/>
      <c r="B35" s="79"/>
      <c r="C35" s="79"/>
      <c r="D35" s="79"/>
      <c r="E35" s="79"/>
      <c r="F35" s="79"/>
      <c r="G35" s="82"/>
      <c r="H35" s="96"/>
      <c r="I35" s="82"/>
      <c r="J35" s="79"/>
      <c r="K35" s="79"/>
      <c r="L35" s="79"/>
      <c r="M35" s="86"/>
      <c r="N35" s="86"/>
      <c r="O35" s="79"/>
      <c r="P35" s="80"/>
      <c r="Q35" s="80"/>
      <c r="R35" s="80"/>
      <c r="S35" s="78">
        <f>IF($B35="","",IF(OR($O35="Cancelled",$G35&lt;TODAY()-1),"COMPLETE",IF($G35="","NO DATE",IF($G35&lt;TODAY(),"OVERDUE",IF($G35-TODAY()&lt;=7,"THIS WEEK","SCHEDULED")))))</f>
      </c>
      <c r="T35" s="78">
        <f>IF($B35="",0,IF(COUNTIF('TRAVEL PLAN'!$B$6:$B$45,$B35)&gt;1,1,0))</f>
      </c>
      <c r="U35" s="78">
        <f>IF(OR(N($M35)&gt;0,N($N35)&gt;0),IF($L35="",1,IF(COUNTIF('MASTER BUDGET'!$D$6:$D$25,$L35)=0,1,0)),0)</f>
      </c>
      <c r="V35" s="75"/>
    </row>
    <row r="36" ht="17" customHeight="1" spans="1:22" x14ac:dyDescent="0.25">
      <c r="A36" s="75"/>
      <c r="B36" s="79"/>
      <c r="C36" s="79"/>
      <c r="D36" s="79"/>
      <c r="E36" s="79"/>
      <c r="F36" s="79"/>
      <c r="G36" s="82"/>
      <c r="H36" s="96"/>
      <c r="I36" s="82"/>
      <c r="J36" s="79"/>
      <c r="K36" s="79"/>
      <c r="L36" s="79"/>
      <c r="M36" s="86"/>
      <c r="N36" s="86"/>
      <c r="O36" s="79"/>
      <c r="P36" s="80"/>
      <c r="Q36" s="80"/>
      <c r="R36" s="80"/>
      <c r="S36" s="78">
        <f>IF($B36="","",IF(OR($O36="Cancelled",$G36&lt;TODAY()-1),"COMPLETE",IF($G36="","NO DATE",IF($G36&lt;TODAY(),"OVERDUE",IF($G36-TODAY()&lt;=7,"THIS WEEK","SCHEDULED")))))</f>
      </c>
      <c r="T36" s="78">
        <f>IF($B36="",0,IF(COUNTIF('TRAVEL PLAN'!$B$6:$B$45,$B36)&gt;1,1,0))</f>
      </c>
      <c r="U36" s="78">
        <f>IF(OR(N($M36)&gt;0,N($N36)&gt;0),IF($L36="",1,IF(COUNTIF('MASTER BUDGET'!$D$6:$D$25,$L36)=0,1,0)),0)</f>
      </c>
      <c r="V36" s="75"/>
    </row>
    <row r="37" ht="17" customHeight="1" spans="1:22" x14ac:dyDescent="0.25">
      <c r="A37" s="75"/>
      <c r="B37" s="79"/>
      <c r="C37" s="79"/>
      <c r="D37" s="79"/>
      <c r="E37" s="79"/>
      <c r="F37" s="79"/>
      <c r="G37" s="82"/>
      <c r="H37" s="96"/>
      <c r="I37" s="82"/>
      <c r="J37" s="79"/>
      <c r="K37" s="79"/>
      <c r="L37" s="79"/>
      <c r="M37" s="86"/>
      <c r="N37" s="86"/>
      <c r="O37" s="79"/>
      <c r="P37" s="80"/>
      <c r="Q37" s="80"/>
      <c r="R37" s="80"/>
      <c r="S37" s="78">
        <f>IF($B37="","",IF(OR($O37="Cancelled",$G37&lt;TODAY()-1),"COMPLETE",IF($G37="","NO DATE",IF($G37&lt;TODAY(),"OVERDUE",IF($G37-TODAY()&lt;=7,"THIS WEEK","SCHEDULED")))))</f>
      </c>
      <c r="T37" s="78">
        <f>IF($B37="",0,IF(COUNTIF('TRAVEL PLAN'!$B$6:$B$45,$B37)&gt;1,1,0))</f>
      </c>
      <c r="U37" s="78">
        <f>IF(OR(N($M37)&gt;0,N($N37)&gt;0),IF($L37="",1,IF(COUNTIF('MASTER BUDGET'!$D$6:$D$25,$L37)=0,1,0)),0)</f>
      </c>
      <c r="V37" s="75"/>
    </row>
    <row r="38" ht="17" customHeight="1" spans="1:22" x14ac:dyDescent="0.25">
      <c r="A38" s="75"/>
      <c r="B38" s="79"/>
      <c r="C38" s="79"/>
      <c r="D38" s="79"/>
      <c r="E38" s="79"/>
      <c r="F38" s="79"/>
      <c r="G38" s="82"/>
      <c r="H38" s="96"/>
      <c r="I38" s="82"/>
      <c r="J38" s="79"/>
      <c r="K38" s="79"/>
      <c r="L38" s="79"/>
      <c r="M38" s="86"/>
      <c r="N38" s="86"/>
      <c r="O38" s="79"/>
      <c r="P38" s="80"/>
      <c r="Q38" s="80"/>
      <c r="R38" s="80"/>
      <c r="S38" s="78">
        <f>IF($B38="","",IF(OR($O38="Cancelled",$G38&lt;TODAY()-1),"COMPLETE",IF($G38="","NO DATE",IF($G38&lt;TODAY(),"OVERDUE",IF($G38-TODAY()&lt;=7,"THIS WEEK","SCHEDULED")))))</f>
      </c>
      <c r="T38" s="78">
        <f>IF($B38="",0,IF(COUNTIF('TRAVEL PLAN'!$B$6:$B$45,$B38)&gt;1,1,0))</f>
      </c>
      <c r="U38" s="78">
        <f>IF(OR(N($M38)&gt;0,N($N38)&gt;0),IF($L38="",1,IF(COUNTIF('MASTER BUDGET'!$D$6:$D$25,$L38)=0,1,0)),0)</f>
      </c>
      <c r="V38" s="75"/>
    </row>
    <row r="39" ht="17" customHeight="1" spans="1:22" x14ac:dyDescent="0.25">
      <c r="A39" s="75"/>
      <c r="B39" s="79"/>
      <c r="C39" s="79"/>
      <c r="D39" s="79"/>
      <c r="E39" s="79"/>
      <c r="F39" s="79"/>
      <c r="G39" s="82"/>
      <c r="H39" s="96"/>
      <c r="I39" s="82"/>
      <c r="J39" s="79"/>
      <c r="K39" s="79"/>
      <c r="L39" s="79"/>
      <c r="M39" s="86"/>
      <c r="N39" s="86"/>
      <c r="O39" s="79"/>
      <c r="P39" s="80"/>
      <c r="Q39" s="80"/>
      <c r="R39" s="80"/>
      <c r="S39" s="78">
        <f>IF($B39="","",IF(OR($O39="Cancelled",$G39&lt;TODAY()-1),"COMPLETE",IF($G39="","NO DATE",IF($G39&lt;TODAY(),"OVERDUE",IF($G39-TODAY()&lt;=7,"THIS WEEK","SCHEDULED")))))</f>
      </c>
      <c r="T39" s="78">
        <f>IF($B39="",0,IF(COUNTIF('TRAVEL PLAN'!$B$6:$B$45,$B39)&gt;1,1,0))</f>
      </c>
      <c r="U39" s="78">
        <f>IF(OR(N($M39)&gt;0,N($N39)&gt;0),IF($L39="",1,IF(COUNTIF('MASTER BUDGET'!$D$6:$D$25,$L39)=0,1,0)),0)</f>
      </c>
      <c r="V39" s="75"/>
    </row>
    <row r="40" ht="17" customHeight="1" spans="1:22" x14ac:dyDescent="0.25">
      <c r="A40" s="75"/>
      <c r="B40" s="79"/>
      <c r="C40" s="79"/>
      <c r="D40" s="79"/>
      <c r="E40" s="79"/>
      <c r="F40" s="79"/>
      <c r="G40" s="82"/>
      <c r="H40" s="96"/>
      <c r="I40" s="82"/>
      <c r="J40" s="79"/>
      <c r="K40" s="79"/>
      <c r="L40" s="79"/>
      <c r="M40" s="86"/>
      <c r="N40" s="86"/>
      <c r="O40" s="79"/>
      <c r="P40" s="80"/>
      <c r="Q40" s="80"/>
      <c r="R40" s="80"/>
      <c r="S40" s="78">
        <f>IF($B40="","",IF(OR($O40="Cancelled",$G40&lt;TODAY()-1),"COMPLETE",IF($G40="","NO DATE",IF($G40&lt;TODAY(),"OVERDUE",IF($G40-TODAY()&lt;=7,"THIS WEEK","SCHEDULED")))))</f>
      </c>
      <c r="T40" s="78">
        <f>IF($B40="",0,IF(COUNTIF('TRAVEL PLAN'!$B$6:$B$45,$B40)&gt;1,1,0))</f>
      </c>
      <c r="U40" s="78">
        <f>IF(OR(N($M40)&gt;0,N($N40)&gt;0),IF($L40="",1,IF(COUNTIF('MASTER BUDGET'!$D$6:$D$25,$L40)=0,1,0)),0)</f>
      </c>
      <c r="V40" s="75"/>
    </row>
    <row r="41" ht="17" customHeight="1" spans="1:22" x14ac:dyDescent="0.25">
      <c r="A41" s="75"/>
      <c r="B41" s="79"/>
      <c r="C41" s="79"/>
      <c r="D41" s="79"/>
      <c r="E41" s="79"/>
      <c r="F41" s="79"/>
      <c r="G41" s="82"/>
      <c r="H41" s="96"/>
      <c r="I41" s="82"/>
      <c r="J41" s="79"/>
      <c r="K41" s="79"/>
      <c r="L41" s="79"/>
      <c r="M41" s="86"/>
      <c r="N41" s="86"/>
      <c r="O41" s="79"/>
      <c r="P41" s="80"/>
      <c r="Q41" s="80"/>
      <c r="R41" s="80"/>
      <c r="S41" s="78">
        <f>IF($B41="","",IF(OR($O41="Cancelled",$G41&lt;TODAY()-1),"COMPLETE",IF($G41="","NO DATE",IF($G41&lt;TODAY(),"OVERDUE",IF($G41-TODAY()&lt;=7,"THIS WEEK","SCHEDULED")))))</f>
      </c>
      <c r="T41" s="78">
        <f>IF($B41="",0,IF(COUNTIF('TRAVEL PLAN'!$B$6:$B$45,$B41)&gt;1,1,0))</f>
      </c>
      <c r="U41" s="78">
        <f>IF(OR(N($M41)&gt;0,N($N41)&gt;0),IF($L41="",1,IF(COUNTIF('MASTER BUDGET'!$D$6:$D$25,$L41)=0,1,0)),0)</f>
      </c>
      <c r="V41" s="75"/>
    </row>
    <row r="42" ht="17" customHeight="1" spans="1:22" x14ac:dyDescent="0.25">
      <c r="A42" s="75"/>
      <c r="B42" s="79"/>
      <c r="C42" s="79"/>
      <c r="D42" s="79"/>
      <c r="E42" s="79"/>
      <c r="F42" s="79"/>
      <c r="G42" s="82"/>
      <c r="H42" s="96"/>
      <c r="I42" s="82"/>
      <c r="J42" s="79"/>
      <c r="K42" s="79"/>
      <c r="L42" s="79"/>
      <c r="M42" s="86"/>
      <c r="N42" s="86"/>
      <c r="O42" s="79"/>
      <c r="P42" s="80"/>
      <c r="Q42" s="80"/>
      <c r="R42" s="80"/>
      <c r="S42" s="78">
        <f>IF($B42="","",IF(OR($O42="Cancelled",$G42&lt;TODAY()-1),"COMPLETE",IF($G42="","NO DATE",IF($G42&lt;TODAY(),"OVERDUE",IF($G42-TODAY()&lt;=7,"THIS WEEK","SCHEDULED")))))</f>
      </c>
      <c r="T42" s="78">
        <f>IF($B42="",0,IF(COUNTIF('TRAVEL PLAN'!$B$6:$B$45,$B42)&gt;1,1,0))</f>
      </c>
      <c r="U42" s="78">
        <f>IF(OR(N($M42)&gt;0,N($N42)&gt;0),IF($L42="",1,IF(COUNTIF('MASTER BUDGET'!$D$6:$D$25,$L42)=0,1,0)),0)</f>
      </c>
      <c r="V42" s="75"/>
    </row>
    <row r="43" ht="17" customHeight="1" spans="1:22" x14ac:dyDescent="0.25">
      <c r="A43" s="75"/>
      <c r="B43" s="79"/>
      <c r="C43" s="79"/>
      <c r="D43" s="79"/>
      <c r="E43" s="79"/>
      <c r="F43" s="79"/>
      <c r="G43" s="82"/>
      <c r="H43" s="96"/>
      <c r="I43" s="82"/>
      <c r="J43" s="79"/>
      <c r="K43" s="79"/>
      <c r="L43" s="79"/>
      <c r="M43" s="86"/>
      <c r="N43" s="86"/>
      <c r="O43" s="79"/>
      <c r="P43" s="80"/>
      <c r="Q43" s="80"/>
      <c r="R43" s="80"/>
      <c r="S43" s="78">
        <f>IF($B43="","",IF(OR($O43="Cancelled",$G43&lt;TODAY()-1),"COMPLETE",IF($G43="","NO DATE",IF($G43&lt;TODAY(),"OVERDUE",IF($G43-TODAY()&lt;=7,"THIS WEEK","SCHEDULED")))))</f>
      </c>
      <c r="T43" s="78">
        <f>IF($B43="",0,IF(COUNTIF('TRAVEL PLAN'!$B$6:$B$45,$B43)&gt;1,1,0))</f>
      </c>
      <c r="U43" s="78">
        <f>IF(OR(N($M43)&gt;0,N($N43)&gt;0),IF($L43="",1,IF(COUNTIF('MASTER BUDGET'!$D$6:$D$25,$L43)=0,1,0)),0)</f>
      </c>
      <c r="V43" s="75"/>
    </row>
    <row r="44" ht="17" customHeight="1" spans="1:22" x14ac:dyDescent="0.25">
      <c r="A44" s="75"/>
      <c r="B44" s="79"/>
      <c r="C44" s="79"/>
      <c r="D44" s="79"/>
      <c r="E44" s="79"/>
      <c r="F44" s="79"/>
      <c r="G44" s="82"/>
      <c r="H44" s="96"/>
      <c r="I44" s="82"/>
      <c r="J44" s="79"/>
      <c r="K44" s="79"/>
      <c r="L44" s="79"/>
      <c r="M44" s="86"/>
      <c r="N44" s="86"/>
      <c r="O44" s="79"/>
      <c r="P44" s="80"/>
      <c r="Q44" s="80"/>
      <c r="R44" s="80"/>
      <c r="S44" s="78">
        <f>IF($B44="","",IF(OR($O44="Cancelled",$G44&lt;TODAY()-1),"COMPLETE",IF($G44="","NO DATE",IF($G44&lt;TODAY(),"OVERDUE",IF($G44-TODAY()&lt;=7,"THIS WEEK","SCHEDULED")))))</f>
      </c>
      <c r="T44" s="78">
        <f>IF($B44="",0,IF(COUNTIF('TRAVEL PLAN'!$B$6:$B$45,$B44)&gt;1,1,0))</f>
      </c>
      <c r="U44" s="78">
        <f>IF(OR(N($M44)&gt;0,N($N44)&gt;0),IF($L44="",1,IF(COUNTIF('MASTER BUDGET'!$D$6:$D$25,$L44)=0,1,0)),0)</f>
      </c>
      <c r="V44" s="75"/>
    </row>
    <row r="45" ht="17" customHeight="1" spans="1:22" x14ac:dyDescent="0.25">
      <c r="A45" s="75"/>
      <c r="B45" s="79"/>
      <c r="C45" s="79"/>
      <c r="D45" s="79"/>
      <c r="E45" s="79"/>
      <c r="F45" s="79"/>
      <c r="G45" s="82"/>
      <c r="H45" s="96"/>
      <c r="I45" s="82"/>
      <c r="J45" s="79"/>
      <c r="K45" s="79"/>
      <c r="L45" s="79"/>
      <c r="M45" s="86"/>
      <c r="N45" s="86"/>
      <c r="O45" s="79"/>
      <c r="P45" s="80"/>
      <c r="Q45" s="80"/>
      <c r="R45" s="80"/>
      <c r="S45" s="78">
        <f>IF($B45="","",IF(OR($O45="Cancelled",$G45&lt;TODAY()-1),"COMPLETE",IF($G45="","NO DATE",IF($G45&lt;TODAY(),"OVERDUE",IF($G45-TODAY()&lt;=7,"THIS WEEK","SCHEDULED")))))</f>
      </c>
      <c r="T45" s="78">
        <f>IF($B45="",0,IF(COUNTIF('TRAVEL PLAN'!$B$6:$B$45,$B45)&gt;1,1,0))</f>
      </c>
      <c r="U45" s="78">
        <f>IF(OR(N($M45)&gt;0,N($N45)&gt;0),IF($L45="",1,IF(COUNTIF('MASTER BUDGET'!$D$6:$D$25,$L45)=0,1,0)),0)</f>
      </c>
      <c r="V45" s="75"/>
    </row>
  </sheetData>
  <autoFilter ref="B5:U45"/>
  <mergeCells count="1">
    <mergeCell ref="B1:C1"/>
  </mergeCells>
  <conditionalFormatting sqref="S6:S45">
    <cfRule type="containsText" dxfId="477" priority="1">
      <formula>NOT(ISERROR(SEARCH("OVER BUDGET",S6)))</formula>
    </cfRule>
  </conditionalFormatting>
  <conditionalFormatting sqref="S6:S45">
    <cfRule type="containsText" dxfId="478" priority="2">
      <formula>NOT(ISERROR(SEARCH("OVERDUE",S6)))</formula>
    </cfRule>
  </conditionalFormatting>
  <conditionalFormatting sqref="S6:S45">
    <cfRule type="containsText" dxfId="479" priority="3">
      <formula>NOT(ISERROR(SEARCH("LATE",S6)))</formula>
    </cfRule>
  </conditionalFormatting>
  <conditionalFormatting sqref="S6:S45">
    <cfRule type="containsText" dxfId="480" priority="4">
      <formula>NOT(ISERROR(SEARCH("WINDOW CLOSED",S6)))</formula>
    </cfRule>
  </conditionalFormatting>
  <conditionalFormatting sqref="S6:S45">
    <cfRule type="containsText" dxfId="481" priority="5">
      <formula>NOT(ISERROR(SEARCH("BALANCE OVERDUE",S6)))</formula>
    </cfRule>
  </conditionalFormatting>
  <conditionalFormatting sqref="S6:S45">
    <cfRule type="containsText" dxfId="482" priority="6">
      <formula>NOT(ISERROR(SEARCH("PREP OVERDUE",S6)))</formula>
    </cfRule>
  </conditionalFormatting>
  <conditionalFormatting sqref="S6:S45">
    <cfRule type="containsText" dxfId="483" priority="7">
      <formula>NOT(ISERROR(SEARCH("CHECK DUPLICATE",S6)))</formula>
    </cfRule>
  </conditionalFormatting>
  <conditionalFormatting sqref="S6:S45">
    <cfRule type="containsText" dxfId="484" priority="8">
      <formula>NOT(ISERROR(SEARCH("MISSING DATE",S6)))</formula>
    </cfRule>
  </conditionalFormatting>
  <conditionalFormatting sqref="S6:S45">
    <cfRule type="containsText" dxfId="485" priority="9">
      <formula>NOT(ISERROR(SEARCH("NOT FOUND",S6)))</formula>
    </cfRule>
  </conditionalFormatting>
  <conditionalFormatting sqref="S6:S45">
    <cfRule type="containsText" dxfId="486" priority="10">
      <formula>NOT(ISERROR(SEARCH("NEAR LIMIT",S6)))</formula>
    </cfRule>
  </conditionalFormatting>
  <conditionalFormatting sqref="S6:S45">
    <cfRule type="containsText" dxfId="487" priority="11">
      <formula>NOT(ISERROR(SEARCH("THIS WEEK",S6)))</formula>
    </cfRule>
  </conditionalFormatting>
  <conditionalFormatting sqref="S6:S45">
    <cfRule type="containsText" dxfId="488" priority="12">
      <formula>NOT(ISERROR(SEARCH("CLOSING SOON",S6)))</formula>
    </cfRule>
  </conditionalFormatting>
  <conditionalFormatting sqref="S6:S45">
    <cfRule type="containsText" dxfId="489" priority="13">
      <formula>NOT(ISERROR(SEARCH("NO TRACKING",S6)))</formula>
    </cfRule>
  </conditionalFormatting>
  <conditionalFormatting sqref="S6:S45">
    <cfRule type="containsText" dxfId="490" priority="14">
      <formula>NOT(ISERROR(SEARCH("LOW",S6)))</formula>
    </cfRule>
  </conditionalFormatting>
  <conditionalFormatting sqref="S6:S45">
    <cfRule type="containsText" dxfId="491" priority="15">
      <formula>NOT(ISERROR(SEARCH("AWAITING REFUND",S6)))</formula>
    </cfRule>
  </conditionalFormatting>
  <conditionalFormatting sqref="S6:S45">
    <cfRule type="containsText" dxfId="492" priority="16">
      <formula>NOT(ISERROR(SEARCH("BALANCE DUE SOON",S6)))</formula>
    </cfRule>
  </conditionalFormatting>
  <conditionalFormatting sqref="S6:S45">
    <cfRule type="containsText" dxfId="493" priority="17">
      <formula>NOT(ISERROR(SEARCH("TO BUY",S6)))</formula>
    </cfRule>
  </conditionalFormatting>
  <conditionalFormatting sqref="S6:S45">
    <cfRule type="containsText" dxfId="494" priority="18">
      <formula>NOT(ISERROR(SEARCH("NO DATE",S6)))</formula>
    </cfRule>
  </conditionalFormatting>
  <conditionalFormatting sqref="S6:S45">
    <cfRule type="containsText" dxfId="495" priority="19">
      <formula>NOT(ISERROR(SEARCH("NO COUNT",S6)))</formula>
    </cfRule>
  </conditionalFormatting>
  <conditionalFormatting sqref="S6:S45">
    <cfRule type="containsText" dxfId="496" priority="20">
      <formula>NOT(ISERROR(SEARCH("ON TRACK",S6)))</formula>
    </cfRule>
  </conditionalFormatting>
  <conditionalFormatting sqref="S6:S45">
    <cfRule type="containsText" dxfId="497" priority="21">
      <formula>NOT(ISERROR(SEARCH("COMPLETE",S6)))</formula>
    </cfRule>
  </conditionalFormatting>
  <conditionalFormatting sqref="S6:S45">
    <cfRule type="containsText" dxfId="498" priority="22">
      <formula>NOT(ISERROR(SEARCH("DONE",S6)))</formula>
    </cfRule>
  </conditionalFormatting>
  <conditionalFormatting sqref="S6:S45">
    <cfRule type="containsText" dxfId="499" priority="23">
      <formula>NOT(ISERROR(SEARCH("ARRIVED",S6)))</formula>
    </cfRule>
  </conditionalFormatting>
  <conditionalFormatting sqref="S6:S45">
    <cfRule type="containsText" dxfId="500" priority="24">
      <formula>NOT(ISERROR(SEARCH("SETTLED",S6)))</formula>
    </cfRule>
  </conditionalFormatting>
  <conditionalFormatting sqref="S6:S45">
    <cfRule type="containsText" dxfId="501" priority="25">
      <formula>NOT(ISERROR(SEARCH("AT BUDGET",S6)))</formula>
    </cfRule>
  </conditionalFormatting>
  <conditionalFormatting sqref="S6:S45">
    <cfRule type="containsText" dxfId="502" priority="26">
      <formula>NOT(ISERROR(SEARCH("IN STOCK",S6)))</formula>
    </cfRule>
  </conditionalFormatting>
  <conditionalFormatting sqref="S6:S45">
    <cfRule type="containsText" dxfId="503" priority="27">
      <formula>NOT(ISERROR(SEARCH("BOUGHT",S6)))</formula>
    </cfRule>
  </conditionalFormatting>
  <conditionalFormatting sqref="S6:S45">
    <cfRule type="containsText" dxfId="504" priority="28">
      <formula>NOT(ISERROR(SEARCH("READY",S6)))</formula>
    </cfRule>
  </conditionalFormatting>
  <conditionalFormatting sqref="S6:S45">
    <cfRule type="containsText" dxfId="505" priority="29">
      <formula>NOT(ISERROR(SEARCH("NOT SET",S6)))</formula>
    </cfRule>
  </conditionalFormatting>
  <conditionalFormatting sqref="S6:S45">
    <cfRule type="containsText" dxfId="506" priority="30">
      <formula>NOT(ISERROR(SEARCH("NOT STARTED",S6)))</formula>
    </cfRule>
  </conditionalFormatting>
  <conditionalFormatting sqref="S6:S45">
    <cfRule type="containsText" dxfId="507" priority="31">
      <formula>NOT(ISERROR(SEARCH("SCHEDULED",S6)))</formula>
    </cfRule>
  </conditionalFormatting>
  <conditionalFormatting sqref="S6:S45">
    <cfRule type="containsText" dxfId="508" priority="32">
      <formula>NOT(ISERROR(SEARCH("CLOSED",S6)))</formula>
    </cfRule>
  </conditionalFormatting>
  <conditionalFormatting sqref="S6:S45">
    <cfRule type="containsText" dxfId="509" priority="33">
      <formula>NOT(ISERROR(SEARCH("IN THE PANTRY",S6)))</formula>
    </cfRule>
  </conditionalFormatting>
  <conditionalFormatting sqref="S6:S45">
    <cfRule type="containsText" dxfId="510" priority="34">
      <formula>NOT(ISERROR(SEARCH("BALANCE OPEN",S6)))</formula>
    </cfRule>
  </conditionalFormatting>
  <dataValidations count="8">
    <dataValidation type="list" allowBlank="1" showErrorMessage="1" errorStyle="warning" errorTitle="Not one of the usual values" error="This column normally uses a value from the TravelType list on LISTS. You can keep what you typed, or add it to the list so it appears in the dropdown." sqref="D6:D45">
      <formula1>=List_TravelType</formula1>
    </dataValidation>
    <dataValidation type="custom" allowBlank="1" showErrorMessage="1" errorStyle="warning" errorTitle="That is not a date yet" error="Type a real date, so the workbook can count days with it. &quot;Before Christmas&quot; cannot be sorted." sqref="G6:G45">
      <formula1>=OR(G6="",ISNUMBER(G6))</formula1>
    </dataValidation>
    <dataValidation type="custom" allowBlank="1" showErrorMessage="1" errorStyle="warning" errorTitle="That is not a date yet" error="Type a real date, so the workbook can count days with it. &quot;Before Christmas&quot; cannot be sorted." sqref="H6:H45">
      <formula1>=OR(H6="",ISNUMBER(H6))</formula1>
    </dataValidation>
    <dataValidation type="custom" allowBlank="1" showErrorMessage="1" errorStyle="warning" errorTitle="That is not a date yet" error="Type a real date, so the workbook can count days with it. &quot;Before Christmas&quot; cannot be sorted." sqref="I6:I45">
      <formula1>=OR(I6="",ISNUMBER(I6))</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L6:L45">
      <formula1>=List_BudgetCategory</formula1>
    </dataValidation>
    <dataValidation type="custom" allowBlank="1" showErrorMessage="1" errorStyle="warning" errorTitle="That looks like text" error="Type the number on its own — no currency symbol and no words. The column adds the symbol for you." sqref="M6:M45">
      <formula1>=OR(M6="",ISNUMBER(M6))</formula1>
    </dataValidation>
    <dataValidation type="custom" allowBlank="1" showErrorMessage="1" errorStyle="warning" errorTitle="That looks like text" error="Type the number on its own — no currency symbol and no words. The column adds the symbol for you." sqref="N6:N45">
      <formula1>=OR(N6="",ISNUMBER(N6))</formula1>
    </dataValidation>
    <dataValidation type="list" allowBlank="1" showErrorMessage="1" errorStyle="warning" errorTitle="Not one of the usual values" error="This column normally uses a value from the BookingStatus list on LISTS. You can keep what you typed, or add it to the list so it appears in the dropdown." sqref="O6:O45">
      <formula1>=List_BookingStatus</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&amp;LTRAVEL PLAN&amp;C&amp;P of &amp;N&amp;RThe Christmas Season Master Command Center™</oddFooter>
  </headerFooter>
  <legacyDrawing r:id="rId7"/>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M10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16" customWidth="1"/>
    <col min="4" max="4" width="34" customWidth="1"/>
    <col min="5" max="5" width="16" customWidth="1"/>
    <col min="6" max="6" width="13" customWidth="1"/>
    <col min="7" max="7" width="15" customWidth="1"/>
    <col min="8" max="8" width="14" customWidth="1"/>
    <col min="9" max="9" width="26" customWidth="1"/>
    <col min="10" max="10" width="14" customWidth="1"/>
    <col min="11" max="11" width="34" customWidth="1"/>
    <col min="12" max="12" width="18" hidden="1" customWidth="1"/>
    <col min="13" max="13" width="2" customWidth="1"/>
  </cols>
  <sheetData>
    <row r="1" ht="21" customHeight="1" spans="1:13" x14ac:dyDescent="0.25">
      <c r="A1" s="62"/>
      <c r="B1" s="63" t="s">
        <v>8</v>
      </c>
      <c r="C1" s="63"/>
      <c r="D1" s="63" t="s">
        <v>9</v>
      </c>
      <c r="E1" s="63" t="s">
        <v>10</v>
      </c>
      <c r="F1" s="63" t="s">
        <v>11</v>
      </c>
      <c r="G1" s="63" t="s">
        <v>12</v>
      </c>
      <c r="H1" s="62"/>
      <c r="I1" s="62"/>
      <c r="J1" s="62"/>
      <c r="K1" s="62"/>
      <c r="L1" s="62"/>
      <c r="M1" s="62"/>
    </row>
    <row r="2" ht="34" customHeight="1" spans="1:13" x14ac:dyDescent="0.25">
      <c r="A2" s="64"/>
      <c r="B2" s="65" t="s">
        <v>819</v>
      </c>
      <c r="C2" s="64"/>
      <c r="D2" s="64"/>
      <c r="E2" s="64"/>
      <c r="F2" s="64"/>
      <c r="G2" s="64"/>
      <c r="H2" s="64"/>
      <c r="I2" s="64"/>
      <c r="J2" s="64"/>
      <c r="K2" s="64"/>
      <c r="L2" s="64"/>
      <c r="M2" s="64"/>
    </row>
    <row r="3" ht="18" customHeight="1" spans="1:13" x14ac:dyDescent="0.25">
      <c r="A3" s="64"/>
      <c r="B3" s="66" t="s">
        <v>820</v>
      </c>
      <c r="C3" s="64"/>
      <c r="D3" s="64"/>
      <c r="E3" s="64"/>
      <c r="F3" s="64"/>
      <c r="G3" s="64"/>
      <c r="H3" s="64"/>
      <c r="I3" s="64"/>
      <c r="J3" s="64"/>
      <c r="K3" s="64"/>
      <c r="L3" s="64"/>
      <c r="M3" s="64"/>
    </row>
    <row r="4" ht="17" customHeight="1" spans="1:13" x14ac:dyDescent="0.25">
      <c r="A4" s="64"/>
      <c r="B4" s="67" t="s">
        <v>160</v>
      </c>
      <c r="C4" s="64"/>
      <c r="D4" s="64"/>
      <c r="E4" s="64"/>
      <c r="F4" s="64"/>
      <c r="G4" s="64"/>
      <c r="H4" s="64"/>
      <c r="I4" s="64"/>
      <c r="J4" s="64"/>
      <c r="K4" s="64"/>
      <c r="L4" s="64"/>
      <c r="M4" s="64"/>
    </row>
    <row r="5" ht="32" customHeight="1" spans="1:13" x14ac:dyDescent="0.25">
      <c r="A5" s="73"/>
      <c r="B5" s="74" t="s">
        <v>821</v>
      </c>
      <c r="C5" s="74" t="s">
        <v>822</v>
      </c>
      <c r="D5" s="74" t="s">
        <v>823</v>
      </c>
      <c r="E5" s="74" t="s">
        <v>176</v>
      </c>
      <c r="F5" s="74" t="s">
        <v>824</v>
      </c>
      <c r="G5" s="74" t="s">
        <v>825</v>
      </c>
      <c r="H5" s="74" t="s">
        <v>260</v>
      </c>
      <c r="I5" s="74" t="s">
        <v>826</v>
      </c>
      <c r="J5" s="74" t="s">
        <v>422</v>
      </c>
      <c r="K5" s="74" t="s">
        <v>179</v>
      </c>
      <c r="L5" s="74" t="s">
        <v>180</v>
      </c>
      <c r="M5" s="73"/>
    </row>
    <row r="6" ht="17" customHeight="1" spans="1:13" x14ac:dyDescent="0.25">
      <c r="A6" s="75"/>
      <c r="B6" s="76" t="s">
        <v>827</v>
      </c>
      <c r="C6" s="76" t="s">
        <v>682</v>
      </c>
      <c r="D6" s="77" t="s">
        <v>828</v>
      </c>
      <c r="E6" s="76" t="s">
        <v>184</v>
      </c>
      <c r="F6" s="81">
        <v>46375</v>
      </c>
      <c r="G6" s="76" t="s">
        <v>829</v>
      </c>
      <c r="H6" s="76" t="s">
        <v>434</v>
      </c>
      <c r="I6" s="77" t="s">
        <v>830</v>
      </c>
      <c r="J6" s="78">
        <f>IF($B6="","",IF(OR($H6="Complete",$H6="Dropped"),"COMPLETE",IF($F6="","NO DATE",IF($F6&lt;TODAY(),"OVERDUE",IF($F6-TODAY()&lt;=7,"THIS WEEK","SCHEDULED")))))</f>
      </c>
      <c r="K6" s="77" t="s">
        <v>186</v>
      </c>
      <c r="L6" s="78">
        <f>IF($B6="",0,IF(COUNTIF('CLEANING + HOME PREP'!$B$6:$B$105,$B6)&gt;1,1,0))</f>
      </c>
      <c r="M6" s="75"/>
    </row>
    <row r="7" ht="17" customHeight="1" spans="1:13" x14ac:dyDescent="0.25">
      <c r="A7" s="75"/>
      <c r="B7" s="76" t="s">
        <v>831</v>
      </c>
      <c r="C7" s="76" t="s">
        <v>503</v>
      </c>
      <c r="D7" s="77" t="s">
        <v>832</v>
      </c>
      <c r="E7" s="76" t="s">
        <v>543</v>
      </c>
      <c r="F7" s="81">
        <v>46377</v>
      </c>
      <c r="G7" s="76" t="s">
        <v>833</v>
      </c>
      <c r="H7" s="76" t="s">
        <v>434</v>
      </c>
      <c r="I7" s="77" t="s">
        <v>834</v>
      </c>
      <c r="J7" s="78">
        <f>IF($B7="","",IF(OR($H7="Complete",$H7="Dropped"),"COMPLETE",IF($F7="","NO DATE",IF($F7&lt;TODAY(),"OVERDUE",IF($F7-TODAY()&lt;=7,"THIS WEEK","SCHEDULED")))))</f>
      </c>
      <c r="K7" s="77" t="s">
        <v>186</v>
      </c>
      <c r="L7" s="78">
        <f>IF($B7="",0,IF(COUNTIF('CLEANING + HOME PREP'!$B$6:$B$105,$B7)&gt;1,1,0))</f>
      </c>
      <c r="M7" s="75"/>
    </row>
    <row r="8" ht="17" customHeight="1" spans="1:13" x14ac:dyDescent="0.25">
      <c r="A8" s="75"/>
      <c r="B8" s="76" t="s">
        <v>835</v>
      </c>
      <c r="C8" s="76" t="s">
        <v>518</v>
      </c>
      <c r="D8" s="77" t="s">
        <v>836</v>
      </c>
      <c r="E8" s="76" t="s">
        <v>184</v>
      </c>
      <c r="F8" s="81">
        <v>46357</v>
      </c>
      <c r="G8" s="76" t="s">
        <v>837</v>
      </c>
      <c r="H8" s="76" t="s">
        <v>838</v>
      </c>
      <c r="I8" s="77"/>
      <c r="J8" s="78">
        <f>IF($B8="","",IF(OR($H8="Complete",$H8="Dropped"),"COMPLETE",IF($F8="","NO DATE",IF($F8&lt;TODAY(),"OVERDUE",IF($F8-TODAY()&lt;=7,"THIS WEEK","SCHEDULED")))))</f>
      </c>
      <c r="K8" s="77" t="s">
        <v>186</v>
      </c>
      <c r="L8" s="78">
        <f>IF($B8="",0,IF(COUNTIF('CLEANING + HOME PREP'!$B$6:$B$105,$B8)&gt;1,1,0))</f>
      </c>
      <c r="M8" s="75"/>
    </row>
    <row r="9" ht="17" customHeight="1" spans="1:13" x14ac:dyDescent="0.25">
      <c r="A9" s="75"/>
      <c r="B9" s="79"/>
      <c r="C9" s="79"/>
      <c r="D9" s="80"/>
      <c r="E9" s="79"/>
      <c r="F9" s="82"/>
      <c r="G9" s="79"/>
      <c r="H9" s="79"/>
      <c r="I9" s="80"/>
      <c r="J9" s="78">
        <f>IF($B9="","",IF(OR($H9="Complete",$H9="Dropped"),"COMPLETE",IF($F9="","NO DATE",IF($F9&lt;TODAY(),"OVERDUE",IF($F9-TODAY()&lt;=7,"THIS WEEK","SCHEDULED")))))</f>
      </c>
      <c r="K9" s="80"/>
      <c r="L9" s="78">
        <f>IF($B9="",0,IF(COUNTIF('CLEANING + HOME PREP'!$B$6:$B$105,$B9)&gt;1,1,0))</f>
      </c>
      <c r="M9" s="75"/>
    </row>
    <row r="10" ht="17" customHeight="1" spans="1:13" x14ac:dyDescent="0.25">
      <c r="A10" s="75"/>
      <c r="B10" s="79"/>
      <c r="C10" s="79"/>
      <c r="D10" s="80"/>
      <c r="E10" s="79"/>
      <c r="F10" s="82"/>
      <c r="G10" s="79"/>
      <c r="H10" s="79"/>
      <c r="I10" s="80"/>
      <c r="J10" s="78">
        <f>IF($B10="","",IF(OR($H10="Complete",$H10="Dropped"),"COMPLETE",IF($F10="","NO DATE",IF($F10&lt;TODAY(),"OVERDUE",IF($F10-TODAY()&lt;=7,"THIS WEEK","SCHEDULED")))))</f>
      </c>
      <c r="K10" s="80"/>
      <c r="L10" s="78">
        <f>IF($B10="",0,IF(COUNTIF('CLEANING + HOME PREP'!$B$6:$B$105,$B10)&gt;1,1,0))</f>
      </c>
      <c r="M10" s="75"/>
    </row>
    <row r="11" ht="17" customHeight="1" spans="1:13" x14ac:dyDescent="0.25">
      <c r="A11" s="75"/>
      <c r="B11" s="79"/>
      <c r="C11" s="79"/>
      <c r="D11" s="80"/>
      <c r="E11" s="79"/>
      <c r="F11" s="82"/>
      <c r="G11" s="79"/>
      <c r="H11" s="79"/>
      <c r="I11" s="80"/>
      <c r="J11" s="78">
        <f>IF($B11="","",IF(OR($H11="Complete",$H11="Dropped"),"COMPLETE",IF($F11="","NO DATE",IF($F11&lt;TODAY(),"OVERDUE",IF($F11-TODAY()&lt;=7,"THIS WEEK","SCHEDULED")))))</f>
      </c>
      <c r="K11" s="80"/>
      <c r="L11" s="78">
        <f>IF($B11="",0,IF(COUNTIF('CLEANING + HOME PREP'!$B$6:$B$105,$B11)&gt;1,1,0))</f>
      </c>
      <c r="M11" s="75"/>
    </row>
    <row r="12" ht="17" customHeight="1" spans="1:13" x14ac:dyDescent="0.25">
      <c r="A12" s="75"/>
      <c r="B12" s="79"/>
      <c r="C12" s="79"/>
      <c r="D12" s="80"/>
      <c r="E12" s="79"/>
      <c r="F12" s="82"/>
      <c r="G12" s="79"/>
      <c r="H12" s="79"/>
      <c r="I12" s="80"/>
      <c r="J12" s="78">
        <f>IF($B12="","",IF(OR($H12="Complete",$H12="Dropped"),"COMPLETE",IF($F12="","NO DATE",IF($F12&lt;TODAY(),"OVERDUE",IF($F12-TODAY()&lt;=7,"THIS WEEK","SCHEDULED")))))</f>
      </c>
      <c r="K12" s="80"/>
      <c r="L12" s="78">
        <f>IF($B12="",0,IF(COUNTIF('CLEANING + HOME PREP'!$B$6:$B$105,$B12)&gt;1,1,0))</f>
      </c>
      <c r="M12" s="75"/>
    </row>
    <row r="13" ht="17" customHeight="1" spans="1:13" x14ac:dyDescent="0.25">
      <c r="A13" s="75"/>
      <c r="B13" s="79"/>
      <c r="C13" s="79"/>
      <c r="D13" s="80"/>
      <c r="E13" s="79"/>
      <c r="F13" s="82"/>
      <c r="G13" s="79"/>
      <c r="H13" s="79"/>
      <c r="I13" s="80"/>
      <c r="J13" s="78">
        <f>IF($B13="","",IF(OR($H13="Complete",$H13="Dropped"),"COMPLETE",IF($F13="","NO DATE",IF($F13&lt;TODAY(),"OVERDUE",IF($F13-TODAY()&lt;=7,"THIS WEEK","SCHEDULED")))))</f>
      </c>
      <c r="K13" s="80"/>
      <c r="L13" s="78">
        <f>IF($B13="",0,IF(COUNTIF('CLEANING + HOME PREP'!$B$6:$B$105,$B13)&gt;1,1,0))</f>
      </c>
      <c r="M13" s="75"/>
    </row>
    <row r="14" ht="17" customHeight="1" spans="1:13" x14ac:dyDescent="0.25">
      <c r="A14" s="75"/>
      <c r="B14" s="79"/>
      <c r="C14" s="79"/>
      <c r="D14" s="80"/>
      <c r="E14" s="79"/>
      <c r="F14" s="82"/>
      <c r="G14" s="79"/>
      <c r="H14" s="79"/>
      <c r="I14" s="80"/>
      <c r="J14" s="78">
        <f>IF($B14="","",IF(OR($H14="Complete",$H14="Dropped"),"COMPLETE",IF($F14="","NO DATE",IF($F14&lt;TODAY(),"OVERDUE",IF($F14-TODAY()&lt;=7,"THIS WEEK","SCHEDULED")))))</f>
      </c>
      <c r="K14" s="80"/>
      <c r="L14" s="78">
        <f>IF($B14="",0,IF(COUNTIF('CLEANING + HOME PREP'!$B$6:$B$105,$B14)&gt;1,1,0))</f>
      </c>
      <c r="M14" s="75"/>
    </row>
    <row r="15" ht="17" customHeight="1" spans="1:13" x14ac:dyDescent="0.25">
      <c r="A15" s="75"/>
      <c r="B15" s="79"/>
      <c r="C15" s="79"/>
      <c r="D15" s="80"/>
      <c r="E15" s="79"/>
      <c r="F15" s="82"/>
      <c r="G15" s="79"/>
      <c r="H15" s="79"/>
      <c r="I15" s="80"/>
      <c r="J15" s="78">
        <f>IF($B15="","",IF(OR($H15="Complete",$H15="Dropped"),"COMPLETE",IF($F15="","NO DATE",IF($F15&lt;TODAY(),"OVERDUE",IF($F15-TODAY()&lt;=7,"THIS WEEK","SCHEDULED")))))</f>
      </c>
      <c r="K15" s="80"/>
      <c r="L15" s="78">
        <f>IF($B15="",0,IF(COUNTIF('CLEANING + HOME PREP'!$B$6:$B$105,$B15)&gt;1,1,0))</f>
      </c>
      <c r="M15" s="75"/>
    </row>
    <row r="16" ht="17" customHeight="1" spans="1:13" x14ac:dyDescent="0.25">
      <c r="A16" s="75"/>
      <c r="B16" s="79"/>
      <c r="C16" s="79"/>
      <c r="D16" s="80"/>
      <c r="E16" s="79"/>
      <c r="F16" s="82"/>
      <c r="G16" s="79"/>
      <c r="H16" s="79"/>
      <c r="I16" s="80"/>
      <c r="J16" s="78">
        <f>IF($B16="","",IF(OR($H16="Complete",$H16="Dropped"),"COMPLETE",IF($F16="","NO DATE",IF($F16&lt;TODAY(),"OVERDUE",IF($F16-TODAY()&lt;=7,"THIS WEEK","SCHEDULED")))))</f>
      </c>
      <c r="K16" s="80"/>
      <c r="L16" s="78">
        <f>IF($B16="",0,IF(COUNTIF('CLEANING + HOME PREP'!$B$6:$B$105,$B16)&gt;1,1,0))</f>
      </c>
      <c r="M16" s="75"/>
    </row>
    <row r="17" ht="17" customHeight="1" spans="1:13" x14ac:dyDescent="0.25">
      <c r="A17" s="75"/>
      <c r="B17" s="79"/>
      <c r="C17" s="79"/>
      <c r="D17" s="80"/>
      <c r="E17" s="79"/>
      <c r="F17" s="82"/>
      <c r="G17" s="79"/>
      <c r="H17" s="79"/>
      <c r="I17" s="80"/>
      <c r="J17" s="78">
        <f>IF($B17="","",IF(OR($H17="Complete",$H17="Dropped"),"COMPLETE",IF($F17="","NO DATE",IF($F17&lt;TODAY(),"OVERDUE",IF($F17-TODAY()&lt;=7,"THIS WEEK","SCHEDULED")))))</f>
      </c>
      <c r="K17" s="80"/>
      <c r="L17" s="78">
        <f>IF($B17="",0,IF(COUNTIF('CLEANING + HOME PREP'!$B$6:$B$105,$B17)&gt;1,1,0))</f>
      </c>
      <c r="M17" s="75"/>
    </row>
    <row r="18" ht="17" customHeight="1" spans="1:13" x14ac:dyDescent="0.25">
      <c r="A18" s="75"/>
      <c r="B18" s="79"/>
      <c r="C18" s="79"/>
      <c r="D18" s="80"/>
      <c r="E18" s="79"/>
      <c r="F18" s="82"/>
      <c r="G18" s="79"/>
      <c r="H18" s="79"/>
      <c r="I18" s="80"/>
      <c r="J18" s="78">
        <f>IF($B18="","",IF(OR($H18="Complete",$H18="Dropped"),"COMPLETE",IF($F18="","NO DATE",IF($F18&lt;TODAY(),"OVERDUE",IF($F18-TODAY()&lt;=7,"THIS WEEK","SCHEDULED")))))</f>
      </c>
      <c r="K18" s="80"/>
      <c r="L18" s="78">
        <f>IF($B18="",0,IF(COUNTIF('CLEANING + HOME PREP'!$B$6:$B$105,$B18)&gt;1,1,0))</f>
      </c>
      <c r="M18" s="75"/>
    </row>
    <row r="19" ht="17" customHeight="1" spans="1:13" x14ac:dyDescent="0.25">
      <c r="A19" s="75"/>
      <c r="B19" s="79"/>
      <c r="C19" s="79"/>
      <c r="D19" s="80"/>
      <c r="E19" s="79"/>
      <c r="F19" s="82"/>
      <c r="G19" s="79"/>
      <c r="H19" s="79"/>
      <c r="I19" s="80"/>
      <c r="J19" s="78">
        <f>IF($B19="","",IF(OR($H19="Complete",$H19="Dropped"),"COMPLETE",IF($F19="","NO DATE",IF($F19&lt;TODAY(),"OVERDUE",IF($F19-TODAY()&lt;=7,"THIS WEEK","SCHEDULED")))))</f>
      </c>
      <c r="K19" s="80"/>
      <c r="L19" s="78">
        <f>IF($B19="",0,IF(COUNTIF('CLEANING + HOME PREP'!$B$6:$B$105,$B19)&gt;1,1,0))</f>
      </c>
      <c r="M19" s="75"/>
    </row>
    <row r="20" ht="17" customHeight="1" spans="1:13" x14ac:dyDescent="0.25">
      <c r="A20" s="75"/>
      <c r="B20" s="79"/>
      <c r="C20" s="79"/>
      <c r="D20" s="80"/>
      <c r="E20" s="79"/>
      <c r="F20" s="82"/>
      <c r="G20" s="79"/>
      <c r="H20" s="79"/>
      <c r="I20" s="80"/>
      <c r="J20" s="78">
        <f>IF($B20="","",IF(OR($H20="Complete",$H20="Dropped"),"COMPLETE",IF($F20="","NO DATE",IF($F20&lt;TODAY(),"OVERDUE",IF($F20-TODAY()&lt;=7,"THIS WEEK","SCHEDULED")))))</f>
      </c>
      <c r="K20" s="80"/>
      <c r="L20" s="78">
        <f>IF($B20="",0,IF(COUNTIF('CLEANING + HOME PREP'!$B$6:$B$105,$B20)&gt;1,1,0))</f>
      </c>
      <c r="M20" s="75"/>
    </row>
    <row r="21" ht="17" customHeight="1" spans="1:13" x14ac:dyDescent="0.25">
      <c r="A21" s="75"/>
      <c r="B21" s="79"/>
      <c r="C21" s="79"/>
      <c r="D21" s="80"/>
      <c r="E21" s="79"/>
      <c r="F21" s="82"/>
      <c r="G21" s="79"/>
      <c r="H21" s="79"/>
      <c r="I21" s="80"/>
      <c r="J21" s="78">
        <f>IF($B21="","",IF(OR($H21="Complete",$H21="Dropped"),"COMPLETE",IF($F21="","NO DATE",IF($F21&lt;TODAY(),"OVERDUE",IF($F21-TODAY()&lt;=7,"THIS WEEK","SCHEDULED")))))</f>
      </c>
      <c r="K21" s="80"/>
      <c r="L21" s="78">
        <f>IF($B21="",0,IF(COUNTIF('CLEANING + HOME PREP'!$B$6:$B$105,$B21)&gt;1,1,0))</f>
      </c>
      <c r="M21" s="75"/>
    </row>
    <row r="22" ht="17" customHeight="1" spans="1:13" x14ac:dyDescent="0.25">
      <c r="A22" s="75"/>
      <c r="B22" s="79"/>
      <c r="C22" s="79"/>
      <c r="D22" s="80"/>
      <c r="E22" s="79"/>
      <c r="F22" s="82"/>
      <c r="G22" s="79"/>
      <c r="H22" s="79"/>
      <c r="I22" s="80"/>
      <c r="J22" s="78">
        <f>IF($B22="","",IF(OR($H22="Complete",$H22="Dropped"),"COMPLETE",IF($F22="","NO DATE",IF($F22&lt;TODAY(),"OVERDUE",IF($F22-TODAY()&lt;=7,"THIS WEEK","SCHEDULED")))))</f>
      </c>
      <c r="K22" s="80"/>
      <c r="L22" s="78">
        <f>IF($B22="",0,IF(COUNTIF('CLEANING + HOME PREP'!$B$6:$B$105,$B22)&gt;1,1,0))</f>
      </c>
      <c r="M22" s="75"/>
    </row>
    <row r="23" ht="17" customHeight="1" spans="1:13" x14ac:dyDescent="0.25">
      <c r="A23" s="75"/>
      <c r="B23" s="79"/>
      <c r="C23" s="79"/>
      <c r="D23" s="80"/>
      <c r="E23" s="79"/>
      <c r="F23" s="82"/>
      <c r="G23" s="79"/>
      <c r="H23" s="79"/>
      <c r="I23" s="80"/>
      <c r="J23" s="78">
        <f>IF($B23="","",IF(OR($H23="Complete",$H23="Dropped"),"COMPLETE",IF($F23="","NO DATE",IF($F23&lt;TODAY(),"OVERDUE",IF($F23-TODAY()&lt;=7,"THIS WEEK","SCHEDULED")))))</f>
      </c>
      <c r="K23" s="80"/>
      <c r="L23" s="78">
        <f>IF($B23="",0,IF(COUNTIF('CLEANING + HOME PREP'!$B$6:$B$105,$B23)&gt;1,1,0))</f>
      </c>
      <c r="M23" s="75"/>
    </row>
    <row r="24" ht="17" customHeight="1" spans="1:13" x14ac:dyDescent="0.25">
      <c r="A24" s="75"/>
      <c r="B24" s="79"/>
      <c r="C24" s="79"/>
      <c r="D24" s="80"/>
      <c r="E24" s="79"/>
      <c r="F24" s="82"/>
      <c r="G24" s="79"/>
      <c r="H24" s="79"/>
      <c r="I24" s="80"/>
      <c r="J24" s="78">
        <f>IF($B24="","",IF(OR($H24="Complete",$H24="Dropped"),"COMPLETE",IF($F24="","NO DATE",IF($F24&lt;TODAY(),"OVERDUE",IF($F24-TODAY()&lt;=7,"THIS WEEK","SCHEDULED")))))</f>
      </c>
      <c r="K24" s="80"/>
      <c r="L24" s="78">
        <f>IF($B24="",0,IF(COUNTIF('CLEANING + HOME PREP'!$B$6:$B$105,$B24)&gt;1,1,0))</f>
      </c>
      <c r="M24" s="75"/>
    </row>
    <row r="25" ht="17" customHeight="1" spans="1:13" x14ac:dyDescent="0.25">
      <c r="A25" s="75"/>
      <c r="B25" s="79"/>
      <c r="C25" s="79"/>
      <c r="D25" s="80"/>
      <c r="E25" s="79"/>
      <c r="F25" s="82"/>
      <c r="G25" s="79"/>
      <c r="H25" s="79"/>
      <c r="I25" s="80"/>
      <c r="J25" s="78">
        <f>IF($B25="","",IF(OR($H25="Complete",$H25="Dropped"),"COMPLETE",IF($F25="","NO DATE",IF($F25&lt;TODAY(),"OVERDUE",IF($F25-TODAY()&lt;=7,"THIS WEEK","SCHEDULED")))))</f>
      </c>
      <c r="K25" s="80"/>
      <c r="L25" s="78">
        <f>IF($B25="",0,IF(COUNTIF('CLEANING + HOME PREP'!$B$6:$B$105,$B25)&gt;1,1,0))</f>
      </c>
      <c r="M25" s="75"/>
    </row>
    <row r="26" ht="17" customHeight="1" spans="1:13" x14ac:dyDescent="0.25">
      <c r="A26" s="75"/>
      <c r="B26" s="79"/>
      <c r="C26" s="79"/>
      <c r="D26" s="80"/>
      <c r="E26" s="79"/>
      <c r="F26" s="82"/>
      <c r="G26" s="79"/>
      <c r="H26" s="79"/>
      <c r="I26" s="80"/>
      <c r="J26" s="78">
        <f>IF($B26="","",IF(OR($H26="Complete",$H26="Dropped"),"COMPLETE",IF($F26="","NO DATE",IF($F26&lt;TODAY(),"OVERDUE",IF($F26-TODAY()&lt;=7,"THIS WEEK","SCHEDULED")))))</f>
      </c>
      <c r="K26" s="80"/>
      <c r="L26" s="78">
        <f>IF($B26="",0,IF(COUNTIF('CLEANING + HOME PREP'!$B$6:$B$105,$B26)&gt;1,1,0))</f>
      </c>
      <c r="M26" s="75"/>
    </row>
    <row r="27" ht="17" customHeight="1" spans="1:13" x14ac:dyDescent="0.25">
      <c r="A27" s="75"/>
      <c r="B27" s="79"/>
      <c r="C27" s="79"/>
      <c r="D27" s="80"/>
      <c r="E27" s="79"/>
      <c r="F27" s="82"/>
      <c r="G27" s="79"/>
      <c r="H27" s="79"/>
      <c r="I27" s="80"/>
      <c r="J27" s="78">
        <f>IF($B27="","",IF(OR($H27="Complete",$H27="Dropped"),"COMPLETE",IF($F27="","NO DATE",IF($F27&lt;TODAY(),"OVERDUE",IF($F27-TODAY()&lt;=7,"THIS WEEK","SCHEDULED")))))</f>
      </c>
      <c r="K27" s="80"/>
      <c r="L27" s="78">
        <f>IF($B27="",0,IF(COUNTIF('CLEANING + HOME PREP'!$B$6:$B$105,$B27)&gt;1,1,0))</f>
      </c>
      <c r="M27" s="75"/>
    </row>
    <row r="28" ht="17" customHeight="1" spans="1:13" x14ac:dyDescent="0.25">
      <c r="A28" s="75"/>
      <c r="B28" s="79"/>
      <c r="C28" s="79"/>
      <c r="D28" s="80"/>
      <c r="E28" s="79"/>
      <c r="F28" s="82"/>
      <c r="G28" s="79"/>
      <c r="H28" s="79"/>
      <c r="I28" s="80"/>
      <c r="J28" s="78">
        <f>IF($B28="","",IF(OR($H28="Complete",$H28="Dropped"),"COMPLETE",IF($F28="","NO DATE",IF($F28&lt;TODAY(),"OVERDUE",IF($F28-TODAY()&lt;=7,"THIS WEEK","SCHEDULED")))))</f>
      </c>
      <c r="K28" s="80"/>
      <c r="L28" s="78">
        <f>IF($B28="",0,IF(COUNTIF('CLEANING + HOME PREP'!$B$6:$B$105,$B28)&gt;1,1,0))</f>
      </c>
      <c r="M28" s="75"/>
    </row>
    <row r="29" ht="17" customHeight="1" spans="1:13" x14ac:dyDescent="0.25">
      <c r="A29" s="75"/>
      <c r="B29" s="79"/>
      <c r="C29" s="79"/>
      <c r="D29" s="80"/>
      <c r="E29" s="79"/>
      <c r="F29" s="82"/>
      <c r="G29" s="79"/>
      <c r="H29" s="79"/>
      <c r="I29" s="80"/>
      <c r="J29" s="78">
        <f>IF($B29="","",IF(OR($H29="Complete",$H29="Dropped"),"COMPLETE",IF($F29="","NO DATE",IF($F29&lt;TODAY(),"OVERDUE",IF($F29-TODAY()&lt;=7,"THIS WEEK","SCHEDULED")))))</f>
      </c>
      <c r="K29" s="80"/>
      <c r="L29" s="78">
        <f>IF($B29="",0,IF(COUNTIF('CLEANING + HOME PREP'!$B$6:$B$105,$B29)&gt;1,1,0))</f>
      </c>
      <c r="M29" s="75"/>
    </row>
    <row r="30" ht="17" customHeight="1" spans="1:13" x14ac:dyDescent="0.25">
      <c r="A30" s="75"/>
      <c r="B30" s="79"/>
      <c r="C30" s="79"/>
      <c r="D30" s="80"/>
      <c r="E30" s="79"/>
      <c r="F30" s="82"/>
      <c r="G30" s="79"/>
      <c r="H30" s="79"/>
      <c r="I30" s="80"/>
      <c r="J30" s="78">
        <f>IF($B30="","",IF(OR($H30="Complete",$H30="Dropped"),"COMPLETE",IF($F30="","NO DATE",IF($F30&lt;TODAY(),"OVERDUE",IF($F30-TODAY()&lt;=7,"THIS WEEK","SCHEDULED")))))</f>
      </c>
      <c r="K30" s="80"/>
      <c r="L30" s="78">
        <f>IF($B30="",0,IF(COUNTIF('CLEANING + HOME PREP'!$B$6:$B$105,$B30)&gt;1,1,0))</f>
      </c>
      <c r="M30" s="75"/>
    </row>
    <row r="31" ht="17" customHeight="1" spans="1:13" x14ac:dyDescent="0.25">
      <c r="A31" s="75"/>
      <c r="B31" s="79"/>
      <c r="C31" s="79"/>
      <c r="D31" s="80"/>
      <c r="E31" s="79"/>
      <c r="F31" s="82"/>
      <c r="G31" s="79"/>
      <c r="H31" s="79"/>
      <c r="I31" s="80"/>
      <c r="J31" s="78">
        <f>IF($B31="","",IF(OR($H31="Complete",$H31="Dropped"),"COMPLETE",IF($F31="","NO DATE",IF($F31&lt;TODAY(),"OVERDUE",IF($F31-TODAY()&lt;=7,"THIS WEEK","SCHEDULED")))))</f>
      </c>
      <c r="K31" s="80"/>
      <c r="L31" s="78">
        <f>IF($B31="",0,IF(COUNTIF('CLEANING + HOME PREP'!$B$6:$B$105,$B31)&gt;1,1,0))</f>
      </c>
      <c r="M31" s="75"/>
    </row>
    <row r="32" ht="17" customHeight="1" spans="1:13" x14ac:dyDescent="0.25">
      <c r="A32" s="75"/>
      <c r="B32" s="79"/>
      <c r="C32" s="79"/>
      <c r="D32" s="80"/>
      <c r="E32" s="79"/>
      <c r="F32" s="82"/>
      <c r="G32" s="79"/>
      <c r="H32" s="79"/>
      <c r="I32" s="80"/>
      <c r="J32" s="78">
        <f>IF($B32="","",IF(OR($H32="Complete",$H32="Dropped"),"COMPLETE",IF($F32="","NO DATE",IF($F32&lt;TODAY(),"OVERDUE",IF($F32-TODAY()&lt;=7,"THIS WEEK","SCHEDULED")))))</f>
      </c>
      <c r="K32" s="80"/>
      <c r="L32" s="78">
        <f>IF($B32="",0,IF(COUNTIF('CLEANING + HOME PREP'!$B$6:$B$105,$B32)&gt;1,1,0))</f>
      </c>
      <c r="M32" s="75"/>
    </row>
    <row r="33" ht="17" customHeight="1" spans="1:13" x14ac:dyDescent="0.25">
      <c r="A33" s="75"/>
      <c r="B33" s="79"/>
      <c r="C33" s="79"/>
      <c r="D33" s="80"/>
      <c r="E33" s="79"/>
      <c r="F33" s="82"/>
      <c r="G33" s="79"/>
      <c r="H33" s="79"/>
      <c r="I33" s="80"/>
      <c r="J33" s="78">
        <f>IF($B33="","",IF(OR($H33="Complete",$H33="Dropped"),"COMPLETE",IF($F33="","NO DATE",IF($F33&lt;TODAY(),"OVERDUE",IF($F33-TODAY()&lt;=7,"THIS WEEK","SCHEDULED")))))</f>
      </c>
      <c r="K33" s="80"/>
      <c r="L33" s="78">
        <f>IF($B33="",0,IF(COUNTIF('CLEANING + HOME PREP'!$B$6:$B$105,$B33)&gt;1,1,0))</f>
      </c>
      <c r="M33" s="75"/>
    </row>
    <row r="34" ht="17" customHeight="1" spans="1:13" x14ac:dyDescent="0.25">
      <c r="A34" s="75"/>
      <c r="B34" s="79"/>
      <c r="C34" s="79"/>
      <c r="D34" s="80"/>
      <c r="E34" s="79"/>
      <c r="F34" s="82"/>
      <c r="G34" s="79"/>
      <c r="H34" s="79"/>
      <c r="I34" s="80"/>
      <c r="J34" s="78">
        <f>IF($B34="","",IF(OR($H34="Complete",$H34="Dropped"),"COMPLETE",IF($F34="","NO DATE",IF($F34&lt;TODAY(),"OVERDUE",IF($F34-TODAY()&lt;=7,"THIS WEEK","SCHEDULED")))))</f>
      </c>
      <c r="K34" s="80"/>
      <c r="L34" s="78">
        <f>IF($B34="",0,IF(COUNTIF('CLEANING + HOME PREP'!$B$6:$B$105,$B34)&gt;1,1,0))</f>
      </c>
      <c r="M34" s="75"/>
    </row>
    <row r="35" ht="17" customHeight="1" spans="1:13" x14ac:dyDescent="0.25">
      <c r="A35" s="75"/>
      <c r="B35" s="79"/>
      <c r="C35" s="79"/>
      <c r="D35" s="80"/>
      <c r="E35" s="79"/>
      <c r="F35" s="82"/>
      <c r="G35" s="79"/>
      <c r="H35" s="79"/>
      <c r="I35" s="80"/>
      <c r="J35" s="78">
        <f>IF($B35="","",IF(OR($H35="Complete",$H35="Dropped"),"COMPLETE",IF($F35="","NO DATE",IF($F35&lt;TODAY(),"OVERDUE",IF($F35-TODAY()&lt;=7,"THIS WEEK","SCHEDULED")))))</f>
      </c>
      <c r="K35" s="80"/>
      <c r="L35" s="78">
        <f>IF($B35="",0,IF(COUNTIF('CLEANING + HOME PREP'!$B$6:$B$105,$B35)&gt;1,1,0))</f>
      </c>
      <c r="M35" s="75"/>
    </row>
    <row r="36" ht="17" customHeight="1" spans="1:13" x14ac:dyDescent="0.25">
      <c r="A36" s="75"/>
      <c r="B36" s="79"/>
      <c r="C36" s="79"/>
      <c r="D36" s="80"/>
      <c r="E36" s="79"/>
      <c r="F36" s="82"/>
      <c r="G36" s="79"/>
      <c r="H36" s="79"/>
      <c r="I36" s="80"/>
      <c r="J36" s="78">
        <f>IF($B36="","",IF(OR($H36="Complete",$H36="Dropped"),"COMPLETE",IF($F36="","NO DATE",IF($F36&lt;TODAY(),"OVERDUE",IF($F36-TODAY()&lt;=7,"THIS WEEK","SCHEDULED")))))</f>
      </c>
      <c r="K36" s="80"/>
      <c r="L36" s="78">
        <f>IF($B36="",0,IF(COUNTIF('CLEANING + HOME PREP'!$B$6:$B$105,$B36)&gt;1,1,0))</f>
      </c>
      <c r="M36" s="75"/>
    </row>
    <row r="37" ht="17" customHeight="1" spans="1:13" x14ac:dyDescent="0.25">
      <c r="A37" s="75"/>
      <c r="B37" s="79"/>
      <c r="C37" s="79"/>
      <c r="D37" s="80"/>
      <c r="E37" s="79"/>
      <c r="F37" s="82"/>
      <c r="G37" s="79"/>
      <c r="H37" s="79"/>
      <c r="I37" s="80"/>
      <c r="J37" s="78">
        <f>IF($B37="","",IF(OR($H37="Complete",$H37="Dropped"),"COMPLETE",IF($F37="","NO DATE",IF($F37&lt;TODAY(),"OVERDUE",IF($F37-TODAY()&lt;=7,"THIS WEEK","SCHEDULED")))))</f>
      </c>
      <c r="K37" s="80"/>
      <c r="L37" s="78">
        <f>IF($B37="",0,IF(COUNTIF('CLEANING + HOME PREP'!$B$6:$B$105,$B37)&gt;1,1,0))</f>
      </c>
      <c r="M37" s="75"/>
    </row>
    <row r="38" ht="17" customHeight="1" spans="1:13" x14ac:dyDescent="0.25">
      <c r="A38" s="75"/>
      <c r="B38" s="79"/>
      <c r="C38" s="79"/>
      <c r="D38" s="80"/>
      <c r="E38" s="79"/>
      <c r="F38" s="82"/>
      <c r="G38" s="79"/>
      <c r="H38" s="79"/>
      <c r="I38" s="80"/>
      <c r="J38" s="78">
        <f>IF($B38="","",IF(OR($H38="Complete",$H38="Dropped"),"COMPLETE",IF($F38="","NO DATE",IF($F38&lt;TODAY(),"OVERDUE",IF($F38-TODAY()&lt;=7,"THIS WEEK","SCHEDULED")))))</f>
      </c>
      <c r="K38" s="80"/>
      <c r="L38" s="78">
        <f>IF($B38="",0,IF(COUNTIF('CLEANING + HOME PREP'!$B$6:$B$105,$B38)&gt;1,1,0))</f>
      </c>
      <c r="M38" s="75"/>
    </row>
    <row r="39" ht="17" customHeight="1" spans="1:13" x14ac:dyDescent="0.25">
      <c r="A39" s="75"/>
      <c r="B39" s="79"/>
      <c r="C39" s="79"/>
      <c r="D39" s="80"/>
      <c r="E39" s="79"/>
      <c r="F39" s="82"/>
      <c r="G39" s="79"/>
      <c r="H39" s="79"/>
      <c r="I39" s="80"/>
      <c r="J39" s="78">
        <f>IF($B39="","",IF(OR($H39="Complete",$H39="Dropped"),"COMPLETE",IF($F39="","NO DATE",IF($F39&lt;TODAY(),"OVERDUE",IF($F39-TODAY()&lt;=7,"THIS WEEK","SCHEDULED")))))</f>
      </c>
      <c r="K39" s="80"/>
      <c r="L39" s="78">
        <f>IF($B39="",0,IF(COUNTIF('CLEANING + HOME PREP'!$B$6:$B$105,$B39)&gt;1,1,0))</f>
      </c>
      <c r="M39" s="75"/>
    </row>
    <row r="40" ht="17" customHeight="1" spans="1:13" x14ac:dyDescent="0.25">
      <c r="A40" s="75"/>
      <c r="B40" s="79"/>
      <c r="C40" s="79"/>
      <c r="D40" s="80"/>
      <c r="E40" s="79"/>
      <c r="F40" s="82"/>
      <c r="G40" s="79"/>
      <c r="H40" s="79"/>
      <c r="I40" s="80"/>
      <c r="J40" s="78">
        <f>IF($B40="","",IF(OR($H40="Complete",$H40="Dropped"),"COMPLETE",IF($F40="","NO DATE",IF($F40&lt;TODAY(),"OVERDUE",IF($F40-TODAY()&lt;=7,"THIS WEEK","SCHEDULED")))))</f>
      </c>
      <c r="K40" s="80"/>
      <c r="L40" s="78">
        <f>IF($B40="",0,IF(COUNTIF('CLEANING + HOME PREP'!$B$6:$B$105,$B40)&gt;1,1,0))</f>
      </c>
      <c r="M40" s="75"/>
    </row>
    <row r="41" ht="17" customHeight="1" spans="1:13" x14ac:dyDescent="0.25">
      <c r="A41" s="75"/>
      <c r="B41" s="79"/>
      <c r="C41" s="79"/>
      <c r="D41" s="80"/>
      <c r="E41" s="79"/>
      <c r="F41" s="82"/>
      <c r="G41" s="79"/>
      <c r="H41" s="79"/>
      <c r="I41" s="80"/>
      <c r="J41" s="78">
        <f>IF($B41="","",IF(OR($H41="Complete",$H41="Dropped"),"COMPLETE",IF($F41="","NO DATE",IF($F41&lt;TODAY(),"OVERDUE",IF($F41-TODAY()&lt;=7,"THIS WEEK","SCHEDULED")))))</f>
      </c>
      <c r="K41" s="80"/>
      <c r="L41" s="78">
        <f>IF($B41="",0,IF(COUNTIF('CLEANING + HOME PREP'!$B$6:$B$105,$B41)&gt;1,1,0))</f>
      </c>
      <c r="M41" s="75"/>
    </row>
    <row r="42" ht="17" customHeight="1" spans="1:13" x14ac:dyDescent="0.25">
      <c r="A42" s="75"/>
      <c r="B42" s="79"/>
      <c r="C42" s="79"/>
      <c r="D42" s="80"/>
      <c r="E42" s="79"/>
      <c r="F42" s="82"/>
      <c r="G42" s="79"/>
      <c r="H42" s="79"/>
      <c r="I42" s="80"/>
      <c r="J42" s="78">
        <f>IF($B42="","",IF(OR($H42="Complete",$H42="Dropped"),"COMPLETE",IF($F42="","NO DATE",IF($F42&lt;TODAY(),"OVERDUE",IF($F42-TODAY()&lt;=7,"THIS WEEK","SCHEDULED")))))</f>
      </c>
      <c r="K42" s="80"/>
      <c r="L42" s="78">
        <f>IF($B42="",0,IF(COUNTIF('CLEANING + HOME PREP'!$B$6:$B$105,$B42)&gt;1,1,0))</f>
      </c>
      <c r="M42" s="75"/>
    </row>
    <row r="43" ht="17" customHeight="1" spans="1:13" x14ac:dyDescent="0.25">
      <c r="A43" s="75"/>
      <c r="B43" s="79"/>
      <c r="C43" s="79"/>
      <c r="D43" s="80"/>
      <c r="E43" s="79"/>
      <c r="F43" s="82"/>
      <c r="G43" s="79"/>
      <c r="H43" s="79"/>
      <c r="I43" s="80"/>
      <c r="J43" s="78">
        <f>IF($B43="","",IF(OR($H43="Complete",$H43="Dropped"),"COMPLETE",IF($F43="","NO DATE",IF($F43&lt;TODAY(),"OVERDUE",IF($F43-TODAY()&lt;=7,"THIS WEEK","SCHEDULED")))))</f>
      </c>
      <c r="K43" s="80"/>
      <c r="L43" s="78">
        <f>IF($B43="",0,IF(COUNTIF('CLEANING + HOME PREP'!$B$6:$B$105,$B43)&gt;1,1,0))</f>
      </c>
      <c r="M43" s="75"/>
    </row>
    <row r="44" ht="17" customHeight="1" spans="1:13" x14ac:dyDescent="0.25">
      <c r="A44" s="75"/>
      <c r="B44" s="79"/>
      <c r="C44" s="79"/>
      <c r="D44" s="80"/>
      <c r="E44" s="79"/>
      <c r="F44" s="82"/>
      <c r="G44" s="79"/>
      <c r="H44" s="79"/>
      <c r="I44" s="80"/>
      <c r="J44" s="78">
        <f>IF($B44="","",IF(OR($H44="Complete",$H44="Dropped"),"COMPLETE",IF($F44="","NO DATE",IF($F44&lt;TODAY(),"OVERDUE",IF($F44-TODAY()&lt;=7,"THIS WEEK","SCHEDULED")))))</f>
      </c>
      <c r="K44" s="80"/>
      <c r="L44" s="78">
        <f>IF($B44="",0,IF(COUNTIF('CLEANING + HOME PREP'!$B$6:$B$105,$B44)&gt;1,1,0))</f>
      </c>
      <c r="M44" s="75"/>
    </row>
    <row r="45" ht="17" customHeight="1" spans="1:13" x14ac:dyDescent="0.25">
      <c r="A45" s="75"/>
      <c r="B45" s="79"/>
      <c r="C45" s="79"/>
      <c r="D45" s="80"/>
      <c r="E45" s="79"/>
      <c r="F45" s="82"/>
      <c r="G45" s="79"/>
      <c r="H45" s="79"/>
      <c r="I45" s="80"/>
      <c r="J45" s="78">
        <f>IF($B45="","",IF(OR($H45="Complete",$H45="Dropped"),"COMPLETE",IF($F45="","NO DATE",IF($F45&lt;TODAY(),"OVERDUE",IF($F45-TODAY()&lt;=7,"THIS WEEK","SCHEDULED")))))</f>
      </c>
      <c r="K45" s="80"/>
      <c r="L45" s="78">
        <f>IF($B45="",0,IF(COUNTIF('CLEANING + HOME PREP'!$B$6:$B$105,$B45)&gt;1,1,0))</f>
      </c>
      <c r="M45" s="75"/>
    </row>
    <row r="46" ht="17" customHeight="1" spans="1:13" x14ac:dyDescent="0.25">
      <c r="A46" s="75"/>
      <c r="B46" s="79"/>
      <c r="C46" s="79"/>
      <c r="D46" s="80"/>
      <c r="E46" s="79"/>
      <c r="F46" s="82"/>
      <c r="G46" s="79"/>
      <c r="H46" s="79"/>
      <c r="I46" s="80"/>
      <c r="J46" s="78">
        <f>IF($B46="","",IF(OR($H46="Complete",$H46="Dropped"),"COMPLETE",IF($F46="","NO DATE",IF($F46&lt;TODAY(),"OVERDUE",IF($F46-TODAY()&lt;=7,"THIS WEEK","SCHEDULED")))))</f>
      </c>
      <c r="K46" s="80"/>
      <c r="L46" s="78">
        <f>IF($B46="",0,IF(COUNTIF('CLEANING + HOME PREP'!$B$6:$B$105,$B46)&gt;1,1,0))</f>
      </c>
      <c r="M46" s="75"/>
    </row>
    <row r="47" ht="17" customHeight="1" spans="1:13" x14ac:dyDescent="0.25">
      <c r="A47" s="75"/>
      <c r="B47" s="79"/>
      <c r="C47" s="79"/>
      <c r="D47" s="80"/>
      <c r="E47" s="79"/>
      <c r="F47" s="82"/>
      <c r="G47" s="79"/>
      <c r="H47" s="79"/>
      <c r="I47" s="80"/>
      <c r="J47" s="78">
        <f>IF($B47="","",IF(OR($H47="Complete",$H47="Dropped"),"COMPLETE",IF($F47="","NO DATE",IF($F47&lt;TODAY(),"OVERDUE",IF($F47-TODAY()&lt;=7,"THIS WEEK","SCHEDULED")))))</f>
      </c>
      <c r="K47" s="80"/>
      <c r="L47" s="78">
        <f>IF($B47="",0,IF(COUNTIF('CLEANING + HOME PREP'!$B$6:$B$105,$B47)&gt;1,1,0))</f>
      </c>
      <c r="M47" s="75"/>
    </row>
    <row r="48" ht="17" customHeight="1" spans="1:13" x14ac:dyDescent="0.25">
      <c r="A48" s="75"/>
      <c r="B48" s="79"/>
      <c r="C48" s="79"/>
      <c r="D48" s="80"/>
      <c r="E48" s="79"/>
      <c r="F48" s="82"/>
      <c r="G48" s="79"/>
      <c r="H48" s="79"/>
      <c r="I48" s="80"/>
      <c r="J48" s="78">
        <f>IF($B48="","",IF(OR($H48="Complete",$H48="Dropped"),"COMPLETE",IF($F48="","NO DATE",IF($F48&lt;TODAY(),"OVERDUE",IF($F48-TODAY()&lt;=7,"THIS WEEK","SCHEDULED")))))</f>
      </c>
      <c r="K48" s="80"/>
      <c r="L48" s="78">
        <f>IF($B48="",0,IF(COUNTIF('CLEANING + HOME PREP'!$B$6:$B$105,$B48)&gt;1,1,0))</f>
      </c>
      <c r="M48" s="75"/>
    </row>
    <row r="49" ht="17" customHeight="1" spans="1:13" x14ac:dyDescent="0.25">
      <c r="A49" s="75"/>
      <c r="B49" s="79"/>
      <c r="C49" s="79"/>
      <c r="D49" s="80"/>
      <c r="E49" s="79"/>
      <c r="F49" s="82"/>
      <c r="G49" s="79"/>
      <c r="H49" s="79"/>
      <c r="I49" s="80"/>
      <c r="J49" s="78">
        <f>IF($B49="","",IF(OR($H49="Complete",$H49="Dropped"),"COMPLETE",IF($F49="","NO DATE",IF($F49&lt;TODAY(),"OVERDUE",IF($F49-TODAY()&lt;=7,"THIS WEEK","SCHEDULED")))))</f>
      </c>
      <c r="K49" s="80"/>
      <c r="L49" s="78">
        <f>IF($B49="",0,IF(COUNTIF('CLEANING + HOME PREP'!$B$6:$B$105,$B49)&gt;1,1,0))</f>
      </c>
      <c r="M49" s="75"/>
    </row>
    <row r="50" ht="17" customHeight="1" spans="1:13" x14ac:dyDescent="0.25">
      <c r="A50" s="75"/>
      <c r="B50" s="79"/>
      <c r="C50" s="79"/>
      <c r="D50" s="80"/>
      <c r="E50" s="79"/>
      <c r="F50" s="82"/>
      <c r="G50" s="79"/>
      <c r="H50" s="79"/>
      <c r="I50" s="80"/>
      <c r="J50" s="78">
        <f>IF($B50="","",IF(OR($H50="Complete",$H50="Dropped"),"COMPLETE",IF($F50="","NO DATE",IF($F50&lt;TODAY(),"OVERDUE",IF($F50-TODAY()&lt;=7,"THIS WEEK","SCHEDULED")))))</f>
      </c>
      <c r="K50" s="80"/>
      <c r="L50" s="78">
        <f>IF($B50="",0,IF(COUNTIF('CLEANING + HOME PREP'!$B$6:$B$105,$B50)&gt;1,1,0))</f>
      </c>
      <c r="M50" s="75"/>
    </row>
    <row r="51" ht="17" customHeight="1" spans="1:13" x14ac:dyDescent="0.25">
      <c r="A51" s="75"/>
      <c r="B51" s="79"/>
      <c r="C51" s="79"/>
      <c r="D51" s="80"/>
      <c r="E51" s="79"/>
      <c r="F51" s="82"/>
      <c r="G51" s="79"/>
      <c r="H51" s="79"/>
      <c r="I51" s="80"/>
      <c r="J51" s="78">
        <f>IF($B51="","",IF(OR($H51="Complete",$H51="Dropped"),"COMPLETE",IF($F51="","NO DATE",IF($F51&lt;TODAY(),"OVERDUE",IF($F51-TODAY()&lt;=7,"THIS WEEK","SCHEDULED")))))</f>
      </c>
      <c r="K51" s="80"/>
      <c r="L51" s="78">
        <f>IF($B51="",0,IF(COUNTIF('CLEANING + HOME PREP'!$B$6:$B$105,$B51)&gt;1,1,0))</f>
      </c>
      <c r="M51" s="75"/>
    </row>
    <row r="52" ht="17" customHeight="1" spans="1:13" x14ac:dyDescent="0.25">
      <c r="A52" s="75"/>
      <c r="B52" s="79"/>
      <c r="C52" s="79"/>
      <c r="D52" s="80"/>
      <c r="E52" s="79"/>
      <c r="F52" s="82"/>
      <c r="G52" s="79"/>
      <c r="H52" s="79"/>
      <c r="I52" s="80"/>
      <c r="J52" s="78">
        <f>IF($B52="","",IF(OR($H52="Complete",$H52="Dropped"),"COMPLETE",IF($F52="","NO DATE",IF($F52&lt;TODAY(),"OVERDUE",IF($F52-TODAY()&lt;=7,"THIS WEEK","SCHEDULED")))))</f>
      </c>
      <c r="K52" s="80"/>
      <c r="L52" s="78">
        <f>IF($B52="",0,IF(COUNTIF('CLEANING + HOME PREP'!$B$6:$B$105,$B52)&gt;1,1,0))</f>
      </c>
      <c r="M52" s="75"/>
    </row>
    <row r="53" ht="17" customHeight="1" spans="1:13" x14ac:dyDescent="0.25">
      <c r="A53" s="75"/>
      <c r="B53" s="79"/>
      <c r="C53" s="79"/>
      <c r="D53" s="80"/>
      <c r="E53" s="79"/>
      <c r="F53" s="82"/>
      <c r="G53" s="79"/>
      <c r="H53" s="79"/>
      <c r="I53" s="80"/>
      <c r="J53" s="78">
        <f>IF($B53="","",IF(OR($H53="Complete",$H53="Dropped"),"COMPLETE",IF($F53="","NO DATE",IF($F53&lt;TODAY(),"OVERDUE",IF($F53-TODAY()&lt;=7,"THIS WEEK","SCHEDULED")))))</f>
      </c>
      <c r="K53" s="80"/>
      <c r="L53" s="78">
        <f>IF($B53="",0,IF(COUNTIF('CLEANING + HOME PREP'!$B$6:$B$105,$B53)&gt;1,1,0))</f>
      </c>
      <c r="M53" s="75"/>
    </row>
    <row r="54" ht="17" customHeight="1" spans="1:13" x14ac:dyDescent="0.25">
      <c r="A54" s="75"/>
      <c r="B54" s="79"/>
      <c r="C54" s="79"/>
      <c r="D54" s="80"/>
      <c r="E54" s="79"/>
      <c r="F54" s="82"/>
      <c r="G54" s="79"/>
      <c r="H54" s="79"/>
      <c r="I54" s="80"/>
      <c r="J54" s="78">
        <f>IF($B54="","",IF(OR($H54="Complete",$H54="Dropped"),"COMPLETE",IF($F54="","NO DATE",IF($F54&lt;TODAY(),"OVERDUE",IF($F54-TODAY()&lt;=7,"THIS WEEK","SCHEDULED")))))</f>
      </c>
      <c r="K54" s="80"/>
      <c r="L54" s="78">
        <f>IF($B54="",0,IF(COUNTIF('CLEANING + HOME PREP'!$B$6:$B$105,$B54)&gt;1,1,0))</f>
      </c>
      <c r="M54" s="75"/>
    </row>
    <row r="55" ht="17" customHeight="1" spans="1:13" x14ac:dyDescent="0.25">
      <c r="A55" s="75"/>
      <c r="B55" s="79"/>
      <c r="C55" s="79"/>
      <c r="D55" s="80"/>
      <c r="E55" s="79"/>
      <c r="F55" s="82"/>
      <c r="G55" s="79"/>
      <c r="H55" s="79"/>
      <c r="I55" s="80"/>
      <c r="J55" s="78">
        <f>IF($B55="","",IF(OR($H55="Complete",$H55="Dropped"),"COMPLETE",IF($F55="","NO DATE",IF($F55&lt;TODAY(),"OVERDUE",IF($F55-TODAY()&lt;=7,"THIS WEEK","SCHEDULED")))))</f>
      </c>
      <c r="K55" s="80"/>
      <c r="L55" s="78">
        <f>IF($B55="",0,IF(COUNTIF('CLEANING + HOME PREP'!$B$6:$B$105,$B55)&gt;1,1,0))</f>
      </c>
      <c r="M55" s="75"/>
    </row>
    <row r="56" ht="17" customHeight="1" spans="1:13" x14ac:dyDescent="0.25">
      <c r="A56" s="75"/>
      <c r="B56" s="79"/>
      <c r="C56" s="79"/>
      <c r="D56" s="80"/>
      <c r="E56" s="79"/>
      <c r="F56" s="82"/>
      <c r="G56" s="79"/>
      <c r="H56" s="79"/>
      <c r="I56" s="80"/>
      <c r="J56" s="78">
        <f>IF($B56="","",IF(OR($H56="Complete",$H56="Dropped"),"COMPLETE",IF($F56="","NO DATE",IF($F56&lt;TODAY(),"OVERDUE",IF($F56-TODAY()&lt;=7,"THIS WEEK","SCHEDULED")))))</f>
      </c>
      <c r="K56" s="80"/>
      <c r="L56" s="78">
        <f>IF($B56="",0,IF(COUNTIF('CLEANING + HOME PREP'!$B$6:$B$105,$B56)&gt;1,1,0))</f>
      </c>
      <c r="M56" s="75"/>
    </row>
    <row r="57" ht="17" customHeight="1" spans="1:13" x14ac:dyDescent="0.25">
      <c r="A57" s="75"/>
      <c r="B57" s="79"/>
      <c r="C57" s="79"/>
      <c r="D57" s="80"/>
      <c r="E57" s="79"/>
      <c r="F57" s="82"/>
      <c r="G57" s="79"/>
      <c r="H57" s="79"/>
      <c r="I57" s="80"/>
      <c r="J57" s="78">
        <f>IF($B57="","",IF(OR($H57="Complete",$H57="Dropped"),"COMPLETE",IF($F57="","NO DATE",IF($F57&lt;TODAY(),"OVERDUE",IF($F57-TODAY()&lt;=7,"THIS WEEK","SCHEDULED")))))</f>
      </c>
      <c r="K57" s="80"/>
      <c r="L57" s="78">
        <f>IF($B57="",0,IF(COUNTIF('CLEANING + HOME PREP'!$B$6:$B$105,$B57)&gt;1,1,0))</f>
      </c>
      <c r="M57" s="75"/>
    </row>
    <row r="58" ht="17" customHeight="1" spans="1:13" x14ac:dyDescent="0.25">
      <c r="A58" s="75"/>
      <c r="B58" s="79"/>
      <c r="C58" s="79"/>
      <c r="D58" s="80"/>
      <c r="E58" s="79"/>
      <c r="F58" s="82"/>
      <c r="G58" s="79"/>
      <c r="H58" s="79"/>
      <c r="I58" s="80"/>
      <c r="J58" s="78">
        <f>IF($B58="","",IF(OR($H58="Complete",$H58="Dropped"),"COMPLETE",IF($F58="","NO DATE",IF($F58&lt;TODAY(),"OVERDUE",IF($F58-TODAY()&lt;=7,"THIS WEEK","SCHEDULED")))))</f>
      </c>
      <c r="K58" s="80"/>
      <c r="L58" s="78">
        <f>IF($B58="",0,IF(COUNTIF('CLEANING + HOME PREP'!$B$6:$B$105,$B58)&gt;1,1,0))</f>
      </c>
      <c r="M58" s="75"/>
    </row>
    <row r="59" ht="17" customHeight="1" spans="1:13" x14ac:dyDescent="0.25">
      <c r="A59" s="75"/>
      <c r="B59" s="79"/>
      <c r="C59" s="79"/>
      <c r="D59" s="80"/>
      <c r="E59" s="79"/>
      <c r="F59" s="82"/>
      <c r="G59" s="79"/>
      <c r="H59" s="79"/>
      <c r="I59" s="80"/>
      <c r="J59" s="78">
        <f>IF($B59="","",IF(OR($H59="Complete",$H59="Dropped"),"COMPLETE",IF($F59="","NO DATE",IF($F59&lt;TODAY(),"OVERDUE",IF($F59-TODAY()&lt;=7,"THIS WEEK","SCHEDULED")))))</f>
      </c>
      <c r="K59" s="80"/>
      <c r="L59" s="78">
        <f>IF($B59="",0,IF(COUNTIF('CLEANING + HOME PREP'!$B$6:$B$105,$B59)&gt;1,1,0))</f>
      </c>
      <c r="M59" s="75"/>
    </row>
    <row r="60" ht="17" customHeight="1" spans="1:13" x14ac:dyDescent="0.25">
      <c r="A60" s="75"/>
      <c r="B60" s="79"/>
      <c r="C60" s="79"/>
      <c r="D60" s="80"/>
      <c r="E60" s="79"/>
      <c r="F60" s="82"/>
      <c r="G60" s="79"/>
      <c r="H60" s="79"/>
      <c r="I60" s="80"/>
      <c r="J60" s="78">
        <f>IF($B60="","",IF(OR($H60="Complete",$H60="Dropped"),"COMPLETE",IF($F60="","NO DATE",IF($F60&lt;TODAY(),"OVERDUE",IF($F60-TODAY()&lt;=7,"THIS WEEK","SCHEDULED")))))</f>
      </c>
      <c r="K60" s="80"/>
      <c r="L60" s="78">
        <f>IF($B60="",0,IF(COUNTIF('CLEANING + HOME PREP'!$B$6:$B$105,$B60)&gt;1,1,0))</f>
      </c>
      <c r="M60" s="75"/>
    </row>
    <row r="61" ht="17" customHeight="1" spans="1:13" x14ac:dyDescent="0.25">
      <c r="A61" s="75"/>
      <c r="B61" s="79"/>
      <c r="C61" s="79"/>
      <c r="D61" s="80"/>
      <c r="E61" s="79"/>
      <c r="F61" s="82"/>
      <c r="G61" s="79"/>
      <c r="H61" s="79"/>
      <c r="I61" s="80"/>
      <c r="J61" s="78">
        <f>IF($B61="","",IF(OR($H61="Complete",$H61="Dropped"),"COMPLETE",IF($F61="","NO DATE",IF($F61&lt;TODAY(),"OVERDUE",IF($F61-TODAY()&lt;=7,"THIS WEEK","SCHEDULED")))))</f>
      </c>
      <c r="K61" s="80"/>
      <c r="L61" s="78">
        <f>IF($B61="",0,IF(COUNTIF('CLEANING + HOME PREP'!$B$6:$B$105,$B61)&gt;1,1,0))</f>
      </c>
      <c r="M61" s="75"/>
    </row>
    <row r="62" ht="17" customHeight="1" spans="1:13" x14ac:dyDescent="0.25">
      <c r="A62" s="75"/>
      <c r="B62" s="79"/>
      <c r="C62" s="79"/>
      <c r="D62" s="80"/>
      <c r="E62" s="79"/>
      <c r="F62" s="82"/>
      <c r="G62" s="79"/>
      <c r="H62" s="79"/>
      <c r="I62" s="80"/>
      <c r="J62" s="78">
        <f>IF($B62="","",IF(OR($H62="Complete",$H62="Dropped"),"COMPLETE",IF($F62="","NO DATE",IF($F62&lt;TODAY(),"OVERDUE",IF($F62-TODAY()&lt;=7,"THIS WEEK","SCHEDULED")))))</f>
      </c>
      <c r="K62" s="80"/>
      <c r="L62" s="78">
        <f>IF($B62="",0,IF(COUNTIF('CLEANING + HOME PREP'!$B$6:$B$105,$B62)&gt;1,1,0))</f>
      </c>
      <c r="M62" s="75"/>
    </row>
    <row r="63" ht="17" customHeight="1" spans="1:13" x14ac:dyDescent="0.25">
      <c r="A63" s="75"/>
      <c r="B63" s="79"/>
      <c r="C63" s="79"/>
      <c r="D63" s="80"/>
      <c r="E63" s="79"/>
      <c r="F63" s="82"/>
      <c r="G63" s="79"/>
      <c r="H63" s="79"/>
      <c r="I63" s="80"/>
      <c r="J63" s="78">
        <f>IF($B63="","",IF(OR($H63="Complete",$H63="Dropped"),"COMPLETE",IF($F63="","NO DATE",IF($F63&lt;TODAY(),"OVERDUE",IF($F63-TODAY()&lt;=7,"THIS WEEK","SCHEDULED")))))</f>
      </c>
      <c r="K63" s="80"/>
      <c r="L63" s="78">
        <f>IF($B63="",0,IF(COUNTIF('CLEANING + HOME PREP'!$B$6:$B$105,$B63)&gt;1,1,0))</f>
      </c>
      <c r="M63" s="75"/>
    </row>
    <row r="64" ht="17" customHeight="1" spans="1:13" x14ac:dyDescent="0.25">
      <c r="A64" s="75"/>
      <c r="B64" s="79"/>
      <c r="C64" s="79"/>
      <c r="D64" s="80"/>
      <c r="E64" s="79"/>
      <c r="F64" s="82"/>
      <c r="G64" s="79"/>
      <c r="H64" s="79"/>
      <c r="I64" s="80"/>
      <c r="J64" s="78">
        <f>IF($B64="","",IF(OR($H64="Complete",$H64="Dropped"),"COMPLETE",IF($F64="","NO DATE",IF($F64&lt;TODAY(),"OVERDUE",IF($F64-TODAY()&lt;=7,"THIS WEEK","SCHEDULED")))))</f>
      </c>
      <c r="K64" s="80"/>
      <c r="L64" s="78">
        <f>IF($B64="",0,IF(COUNTIF('CLEANING + HOME PREP'!$B$6:$B$105,$B64)&gt;1,1,0))</f>
      </c>
      <c r="M64" s="75"/>
    </row>
    <row r="65" ht="17" customHeight="1" spans="1:13" x14ac:dyDescent="0.25">
      <c r="A65" s="75"/>
      <c r="B65" s="79"/>
      <c r="C65" s="79"/>
      <c r="D65" s="80"/>
      <c r="E65" s="79"/>
      <c r="F65" s="82"/>
      <c r="G65" s="79"/>
      <c r="H65" s="79"/>
      <c r="I65" s="80"/>
      <c r="J65" s="78">
        <f>IF($B65="","",IF(OR($H65="Complete",$H65="Dropped"),"COMPLETE",IF($F65="","NO DATE",IF($F65&lt;TODAY(),"OVERDUE",IF($F65-TODAY()&lt;=7,"THIS WEEK","SCHEDULED")))))</f>
      </c>
      <c r="K65" s="80"/>
      <c r="L65" s="78">
        <f>IF($B65="",0,IF(COUNTIF('CLEANING + HOME PREP'!$B$6:$B$105,$B65)&gt;1,1,0))</f>
      </c>
      <c r="M65" s="75"/>
    </row>
    <row r="66" ht="17" customHeight="1" spans="1:13" x14ac:dyDescent="0.25">
      <c r="A66" s="75"/>
      <c r="B66" s="79"/>
      <c r="C66" s="79"/>
      <c r="D66" s="80"/>
      <c r="E66" s="79"/>
      <c r="F66" s="82"/>
      <c r="G66" s="79"/>
      <c r="H66" s="79"/>
      <c r="I66" s="80"/>
      <c r="J66" s="78">
        <f>IF($B66="","",IF(OR($H66="Complete",$H66="Dropped"),"COMPLETE",IF($F66="","NO DATE",IF($F66&lt;TODAY(),"OVERDUE",IF($F66-TODAY()&lt;=7,"THIS WEEK","SCHEDULED")))))</f>
      </c>
      <c r="K66" s="80"/>
      <c r="L66" s="78">
        <f>IF($B66="",0,IF(COUNTIF('CLEANING + HOME PREP'!$B$6:$B$105,$B66)&gt;1,1,0))</f>
      </c>
      <c r="M66" s="75"/>
    </row>
    <row r="67" ht="17" customHeight="1" spans="1:13" x14ac:dyDescent="0.25">
      <c r="A67" s="75"/>
      <c r="B67" s="79"/>
      <c r="C67" s="79"/>
      <c r="D67" s="80"/>
      <c r="E67" s="79"/>
      <c r="F67" s="82"/>
      <c r="G67" s="79"/>
      <c r="H67" s="79"/>
      <c r="I67" s="80"/>
      <c r="J67" s="78">
        <f>IF($B67="","",IF(OR($H67="Complete",$H67="Dropped"),"COMPLETE",IF($F67="","NO DATE",IF($F67&lt;TODAY(),"OVERDUE",IF($F67-TODAY()&lt;=7,"THIS WEEK","SCHEDULED")))))</f>
      </c>
      <c r="K67" s="80"/>
      <c r="L67" s="78">
        <f>IF($B67="",0,IF(COUNTIF('CLEANING + HOME PREP'!$B$6:$B$105,$B67)&gt;1,1,0))</f>
      </c>
      <c r="M67" s="75"/>
    </row>
    <row r="68" ht="17" customHeight="1" spans="1:13" x14ac:dyDescent="0.25">
      <c r="A68" s="75"/>
      <c r="B68" s="79"/>
      <c r="C68" s="79"/>
      <c r="D68" s="80"/>
      <c r="E68" s="79"/>
      <c r="F68" s="82"/>
      <c r="G68" s="79"/>
      <c r="H68" s="79"/>
      <c r="I68" s="80"/>
      <c r="J68" s="78">
        <f>IF($B68="","",IF(OR($H68="Complete",$H68="Dropped"),"COMPLETE",IF($F68="","NO DATE",IF($F68&lt;TODAY(),"OVERDUE",IF($F68-TODAY()&lt;=7,"THIS WEEK","SCHEDULED")))))</f>
      </c>
      <c r="K68" s="80"/>
      <c r="L68" s="78">
        <f>IF($B68="",0,IF(COUNTIF('CLEANING + HOME PREP'!$B$6:$B$105,$B68)&gt;1,1,0))</f>
      </c>
      <c r="M68" s="75"/>
    </row>
    <row r="69" ht="17" customHeight="1" spans="1:13" x14ac:dyDescent="0.25">
      <c r="A69" s="75"/>
      <c r="B69" s="79"/>
      <c r="C69" s="79"/>
      <c r="D69" s="80"/>
      <c r="E69" s="79"/>
      <c r="F69" s="82"/>
      <c r="G69" s="79"/>
      <c r="H69" s="79"/>
      <c r="I69" s="80"/>
      <c r="J69" s="78">
        <f>IF($B69="","",IF(OR($H69="Complete",$H69="Dropped"),"COMPLETE",IF($F69="","NO DATE",IF($F69&lt;TODAY(),"OVERDUE",IF($F69-TODAY()&lt;=7,"THIS WEEK","SCHEDULED")))))</f>
      </c>
      <c r="K69" s="80"/>
      <c r="L69" s="78">
        <f>IF($B69="",0,IF(COUNTIF('CLEANING + HOME PREP'!$B$6:$B$105,$B69)&gt;1,1,0))</f>
      </c>
      <c r="M69" s="75"/>
    </row>
    <row r="70" ht="17" customHeight="1" spans="1:13" x14ac:dyDescent="0.25">
      <c r="A70" s="75"/>
      <c r="B70" s="79"/>
      <c r="C70" s="79"/>
      <c r="D70" s="80"/>
      <c r="E70" s="79"/>
      <c r="F70" s="82"/>
      <c r="G70" s="79"/>
      <c r="H70" s="79"/>
      <c r="I70" s="80"/>
      <c r="J70" s="78">
        <f>IF($B70="","",IF(OR($H70="Complete",$H70="Dropped"),"COMPLETE",IF($F70="","NO DATE",IF($F70&lt;TODAY(),"OVERDUE",IF($F70-TODAY()&lt;=7,"THIS WEEK","SCHEDULED")))))</f>
      </c>
      <c r="K70" s="80"/>
      <c r="L70" s="78">
        <f>IF($B70="",0,IF(COUNTIF('CLEANING + HOME PREP'!$B$6:$B$105,$B70)&gt;1,1,0))</f>
      </c>
      <c r="M70" s="75"/>
    </row>
    <row r="71" ht="17" customHeight="1" spans="1:13" x14ac:dyDescent="0.25">
      <c r="A71" s="75"/>
      <c r="B71" s="79"/>
      <c r="C71" s="79"/>
      <c r="D71" s="80"/>
      <c r="E71" s="79"/>
      <c r="F71" s="82"/>
      <c r="G71" s="79"/>
      <c r="H71" s="79"/>
      <c r="I71" s="80"/>
      <c r="J71" s="78">
        <f>IF($B71="","",IF(OR($H71="Complete",$H71="Dropped"),"COMPLETE",IF($F71="","NO DATE",IF($F71&lt;TODAY(),"OVERDUE",IF($F71-TODAY()&lt;=7,"THIS WEEK","SCHEDULED")))))</f>
      </c>
      <c r="K71" s="80"/>
      <c r="L71" s="78">
        <f>IF($B71="",0,IF(COUNTIF('CLEANING + HOME PREP'!$B$6:$B$105,$B71)&gt;1,1,0))</f>
      </c>
      <c r="M71" s="75"/>
    </row>
    <row r="72" ht="17" customHeight="1" spans="1:13" x14ac:dyDescent="0.25">
      <c r="A72" s="75"/>
      <c r="B72" s="79"/>
      <c r="C72" s="79"/>
      <c r="D72" s="80"/>
      <c r="E72" s="79"/>
      <c r="F72" s="82"/>
      <c r="G72" s="79"/>
      <c r="H72" s="79"/>
      <c r="I72" s="80"/>
      <c r="J72" s="78">
        <f>IF($B72="","",IF(OR($H72="Complete",$H72="Dropped"),"COMPLETE",IF($F72="","NO DATE",IF($F72&lt;TODAY(),"OVERDUE",IF($F72-TODAY()&lt;=7,"THIS WEEK","SCHEDULED")))))</f>
      </c>
      <c r="K72" s="80"/>
      <c r="L72" s="78">
        <f>IF($B72="",0,IF(COUNTIF('CLEANING + HOME PREP'!$B$6:$B$105,$B72)&gt;1,1,0))</f>
      </c>
      <c r="M72" s="75"/>
    </row>
    <row r="73" ht="17" customHeight="1" spans="1:13" x14ac:dyDescent="0.25">
      <c r="A73" s="75"/>
      <c r="B73" s="79"/>
      <c r="C73" s="79"/>
      <c r="D73" s="80"/>
      <c r="E73" s="79"/>
      <c r="F73" s="82"/>
      <c r="G73" s="79"/>
      <c r="H73" s="79"/>
      <c r="I73" s="80"/>
      <c r="J73" s="78">
        <f>IF($B73="","",IF(OR($H73="Complete",$H73="Dropped"),"COMPLETE",IF($F73="","NO DATE",IF($F73&lt;TODAY(),"OVERDUE",IF($F73-TODAY()&lt;=7,"THIS WEEK","SCHEDULED")))))</f>
      </c>
      <c r="K73" s="80"/>
      <c r="L73" s="78">
        <f>IF($B73="",0,IF(COUNTIF('CLEANING + HOME PREP'!$B$6:$B$105,$B73)&gt;1,1,0))</f>
      </c>
      <c r="M73" s="75"/>
    </row>
    <row r="74" ht="17" customHeight="1" spans="1:13" x14ac:dyDescent="0.25">
      <c r="A74" s="75"/>
      <c r="B74" s="79"/>
      <c r="C74" s="79"/>
      <c r="D74" s="80"/>
      <c r="E74" s="79"/>
      <c r="F74" s="82"/>
      <c r="G74" s="79"/>
      <c r="H74" s="79"/>
      <c r="I74" s="80"/>
      <c r="J74" s="78">
        <f>IF($B74="","",IF(OR($H74="Complete",$H74="Dropped"),"COMPLETE",IF($F74="","NO DATE",IF($F74&lt;TODAY(),"OVERDUE",IF($F74-TODAY()&lt;=7,"THIS WEEK","SCHEDULED")))))</f>
      </c>
      <c r="K74" s="80"/>
      <c r="L74" s="78">
        <f>IF($B74="",0,IF(COUNTIF('CLEANING + HOME PREP'!$B$6:$B$105,$B74)&gt;1,1,0))</f>
      </c>
      <c r="M74" s="75"/>
    </row>
    <row r="75" ht="17" customHeight="1" spans="1:13" x14ac:dyDescent="0.25">
      <c r="A75" s="75"/>
      <c r="B75" s="79"/>
      <c r="C75" s="79"/>
      <c r="D75" s="80"/>
      <c r="E75" s="79"/>
      <c r="F75" s="82"/>
      <c r="G75" s="79"/>
      <c r="H75" s="79"/>
      <c r="I75" s="80"/>
      <c r="J75" s="78">
        <f>IF($B75="","",IF(OR($H75="Complete",$H75="Dropped"),"COMPLETE",IF($F75="","NO DATE",IF($F75&lt;TODAY(),"OVERDUE",IF($F75-TODAY()&lt;=7,"THIS WEEK","SCHEDULED")))))</f>
      </c>
      <c r="K75" s="80"/>
      <c r="L75" s="78">
        <f>IF($B75="",0,IF(COUNTIF('CLEANING + HOME PREP'!$B$6:$B$105,$B75)&gt;1,1,0))</f>
      </c>
      <c r="M75" s="75"/>
    </row>
    <row r="76" ht="17" customHeight="1" spans="1:13" x14ac:dyDescent="0.25">
      <c r="A76" s="75"/>
      <c r="B76" s="79"/>
      <c r="C76" s="79"/>
      <c r="D76" s="80"/>
      <c r="E76" s="79"/>
      <c r="F76" s="82"/>
      <c r="G76" s="79"/>
      <c r="H76" s="79"/>
      <c r="I76" s="80"/>
      <c r="J76" s="78">
        <f>IF($B76="","",IF(OR($H76="Complete",$H76="Dropped"),"COMPLETE",IF($F76="","NO DATE",IF($F76&lt;TODAY(),"OVERDUE",IF($F76-TODAY()&lt;=7,"THIS WEEK","SCHEDULED")))))</f>
      </c>
      <c r="K76" s="80"/>
      <c r="L76" s="78">
        <f>IF($B76="",0,IF(COUNTIF('CLEANING + HOME PREP'!$B$6:$B$105,$B76)&gt;1,1,0))</f>
      </c>
      <c r="M76" s="75"/>
    </row>
    <row r="77" ht="17" customHeight="1" spans="1:13" x14ac:dyDescent="0.25">
      <c r="A77" s="75"/>
      <c r="B77" s="79"/>
      <c r="C77" s="79"/>
      <c r="D77" s="80"/>
      <c r="E77" s="79"/>
      <c r="F77" s="82"/>
      <c r="G77" s="79"/>
      <c r="H77" s="79"/>
      <c r="I77" s="80"/>
      <c r="J77" s="78">
        <f>IF($B77="","",IF(OR($H77="Complete",$H77="Dropped"),"COMPLETE",IF($F77="","NO DATE",IF($F77&lt;TODAY(),"OVERDUE",IF($F77-TODAY()&lt;=7,"THIS WEEK","SCHEDULED")))))</f>
      </c>
      <c r="K77" s="80"/>
      <c r="L77" s="78">
        <f>IF($B77="",0,IF(COUNTIF('CLEANING + HOME PREP'!$B$6:$B$105,$B77)&gt;1,1,0))</f>
      </c>
      <c r="M77" s="75"/>
    </row>
    <row r="78" ht="17" customHeight="1" spans="1:13" x14ac:dyDescent="0.25">
      <c r="A78" s="75"/>
      <c r="B78" s="79"/>
      <c r="C78" s="79"/>
      <c r="D78" s="80"/>
      <c r="E78" s="79"/>
      <c r="F78" s="82"/>
      <c r="G78" s="79"/>
      <c r="H78" s="79"/>
      <c r="I78" s="80"/>
      <c r="J78" s="78">
        <f>IF($B78="","",IF(OR($H78="Complete",$H78="Dropped"),"COMPLETE",IF($F78="","NO DATE",IF($F78&lt;TODAY(),"OVERDUE",IF($F78-TODAY()&lt;=7,"THIS WEEK","SCHEDULED")))))</f>
      </c>
      <c r="K78" s="80"/>
      <c r="L78" s="78">
        <f>IF($B78="",0,IF(COUNTIF('CLEANING + HOME PREP'!$B$6:$B$105,$B78)&gt;1,1,0))</f>
      </c>
      <c r="M78" s="75"/>
    </row>
    <row r="79" ht="17" customHeight="1" spans="1:13" x14ac:dyDescent="0.25">
      <c r="A79" s="75"/>
      <c r="B79" s="79"/>
      <c r="C79" s="79"/>
      <c r="D79" s="80"/>
      <c r="E79" s="79"/>
      <c r="F79" s="82"/>
      <c r="G79" s="79"/>
      <c r="H79" s="79"/>
      <c r="I79" s="80"/>
      <c r="J79" s="78">
        <f>IF($B79="","",IF(OR($H79="Complete",$H79="Dropped"),"COMPLETE",IF($F79="","NO DATE",IF($F79&lt;TODAY(),"OVERDUE",IF($F79-TODAY()&lt;=7,"THIS WEEK","SCHEDULED")))))</f>
      </c>
      <c r="K79" s="80"/>
      <c r="L79" s="78">
        <f>IF($B79="",0,IF(COUNTIF('CLEANING + HOME PREP'!$B$6:$B$105,$B79)&gt;1,1,0))</f>
      </c>
      <c r="M79" s="75"/>
    </row>
    <row r="80" ht="17" customHeight="1" spans="1:13" x14ac:dyDescent="0.25">
      <c r="A80" s="75"/>
      <c r="B80" s="79"/>
      <c r="C80" s="79"/>
      <c r="D80" s="80"/>
      <c r="E80" s="79"/>
      <c r="F80" s="82"/>
      <c r="G80" s="79"/>
      <c r="H80" s="79"/>
      <c r="I80" s="80"/>
      <c r="J80" s="78">
        <f>IF($B80="","",IF(OR($H80="Complete",$H80="Dropped"),"COMPLETE",IF($F80="","NO DATE",IF($F80&lt;TODAY(),"OVERDUE",IF($F80-TODAY()&lt;=7,"THIS WEEK","SCHEDULED")))))</f>
      </c>
      <c r="K80" s="80"/>
      <c r="L80" s="78">
        <f>IF($B80="",0,IF(COUNTIF('CLEANING + HOME PREP'!$B$6:$B$105,$B80)&gt;1,1,0))</f>
      </c>
      <c r="M80" s="75"/>
    </row>
    <row r="81" ht="17" customHeight="1" spans="1:13" x14ac:dyDescent="0.25">
      <c r="A81" s="75"/>
      <c r="B81" s="79"/>
      <c r="C81" s="79"/>
      <c r="D81" s="80"/>
      <c r="E81" s="79"/>
      <c r="F81" s="82"/>
      <c r="G81" s="79"/>
      <c r="H81" s="79"/>
      <c r="I81" s="80"/>
      <c r="J81" s="78">
        <f>IF($B81="","",IF(OR($H81="Complete",$H81="Dropped"),"COMPLETE",IF($F81="","NO DATE",IF($F81&lt;TODAY(),"OVERDUE",IF($F81-TODAY()&lt;=7,"THIS WEEK","SCHEDULED")))))</f>
      </c>
      <c r="K81" s="80"/>
      <c r="L81" s="78">
        <f>IF($B81="",0,IF(COUNTIF('CLEANING + HOME PREP'!$B$6:$B$105,$B81)&gt;1,1,0))</f>
      </c>
      <c r="M81" s="75"/>
    </row>
    <row r="82" ht="17" customHeight="1" spans="1:13" x14ac:dyDescent="0.25">
      <c r="A82" s="75"/>
      <c r="B82" s="79"/>
      <c r="C82" s="79"/>
      <c r="D82" s="80"/>
      <c r="E82" s="79"/>
      <c r="F82" s="82"/>
      <c r="G82" s="79"/>
      <c r="H82" s="79"/>
      <c r="I82" s="80"/>
      <c r="J82" s="78">
        <f>IF($B82="","",IF(OR($H82="Complete",$H82="Dropped"),"COMPLETE",IF($F82="","NO DATE",IF($F82&lt;TODAY(),"OVERDUE",IF($F82-TODAY()&lt;=7,"THIS WEEK","SCHEDULED")))))</f>
      </c>
      <c r="K82" s="80"/>
      <c r="L82" s="78">
        <f>IF($B82="",0,IF(COUNTIF('CLEANING + HOME PREP'!$B$6:$B$105,$B82)&gt;1,1,0))</f>
      </c>
      <c r="M82" s="75"/>
    </row>
    <row r="83" ht="17" customHeight="1" spans="1:13" x14ac:dyDescent="0.25">
      <c r="A83" s="75"/>
      <c r="B83" s="79"/>
      <c r="C83" s="79"/>
      <c r="D83" s="80"/>
      <c r="E83" s="79"/>
      <c r="F83" s="82"/>
      <c r="G83" s="79"/>
      <c r="H83" s="79"/>
      <c r="I83" s="80"/>
      <c r="J83" s="78">
        <f>IF($B83="","",IF(OR($H83="Complete",$H83="Dropped"),"COMPLETE",IF($F83="","NO DATE",IF($F83&lt;TODAY(),"OVERDUE",IF($F83-TODAY()&lt;=7,"THIS WEEK","SCHEDULED")))))</f>
      </c>
      <c r="K83" s="80"/>
      <c r="L83" s="78">
        <f>IF($B83="",0,IF(COUNTIF('CLEANING + HOME PREP'!$B$6:$B$105,$B83)&gt;1,1,0))</f>
      </c>
      <c r="M83" s="75"/>
    </row>
    <row r="84" ht="17" customHeight="1" spans="1:13" x14ac:dyDescent="0.25">
      <c r="A84" s="75"/>
      <c r="B84" s="79"/>
      <c r="C84" s="79"/>
      <c r="D84" s="80"/>
      <c r="E84" s="79"/>
      <c r="F84" s="82"/>
      <c r="G84" s="79"/>
      <c r="H84" s="79"/>
      <c r="I84" s="80"/>
      <c r="J84" s="78">
        <f>IF($B84="","",IF(OR($H84="Complete",$H84="Dropped"),"COMPLETE",IF($F84="","NO DATE",IF($F84&lt;TODAY(),"OVERDUE",IF($F84-TODAY()&lt;=7,"THIS WEEK","SCHEDULED")))))</f>
      </c>
      <c r="K84" s="80"/>
      <c r="L84" s="78">
        <f>IF($B84="",0,IF(COUNTIF('CLEANING + HOME PREP'!$B$6:$B$105,$B84)&gt;1,1,0))</f>
      </c>
      <c r="M84" s="75"/>
    </row>
    <row r="85" ht="17" customHeight="1" spans="1:13" x14ac:dyDescent="0.25">
      <c r="A85" s="75"/>
      <c r="B85" s="79"/>
      <c r="C85" s="79"/>
      <c r="D85" s="80"/>
      <c r="E85" s="79"/>
      <c r="F85" s="82"/>
      <c r="G85" s="79"/>
      <c r="H85" s="79"/>
      <c r="I85" s="80"/>
      <c r="J85" s="78">
        <f>IF($B85="","",IF(OR($H85="Complete",$H85="Dropped"),"COMPLETE",IF($F85="","NO DATE",IF($F85&lt;TODAY(),"OVERDUE",IF($F85-TODAY()&lt;=7,"THIS WEEK","SCHEDULED")))))</f>
      </c>
      <c r="K85" s="80"/>
      <c r="L85" s="78">
        <f>IF($B85="",0,IF(COUNTIF('CLEANING + HOME PREP'!$B$6:$B$105,$B85)&gt;1,1,0))</f>
      </c>
      <c r="M85" s="75"/>
    </row>
    <row r="86" ht="17" customHeight="1" spans="1:13" x14ac:dyDescent="0.25">
      <c r="A86" s="75"/>
      <c r="B86" s="79"/>
      <c r="C86" s="79"/>
      <c r="D86" s="80"/>
      <c r="E86" s="79"/>
      <c r="F86" s="82"/>
      <c r="G86" s="79"/>
      <c r="H86" s="79"/>
      <c r="I86" s="80"/>
      <c r="J86" s="78">
        <f>IF($B86="","",IF(OR($H86="Complete",$H86="Dropped"),"COMPLETE",IF($F86="","NO DATE",IF($F86&lt;TODAY(),"OVERDUE",IF($F86-TODAY()&lt;=7,"THIS WEEK","SCHEDULED")))))</f>
      </c>
      <c r="K86" s="80"/>
      <c r="L86" s="78">
        <f>IF($B86="",0,IF(COUNTIF('CLEANING + HOME PREP'!$B$6:$B$105,$B86)&gt;1,1,0))</f>
      </c>
      <c r="M86" s="75"/>
    </row>
    <row r="87" ht="17" customHeight="1" spans="1:13" x14ac:dyDescent="0.25">
      <c r="A87" s="75"/>
      <c r="B87" s="79"/>
      <c r="C87" s="79"/>
      <c r="D87" s="80"/>
      <c r="E87" s="79"/>
      <c r="F87" s="82"/>
      <c r="G87" s="79"/>
      <c r="H87" s="79"/>
      <c r="I87" s="80"/>
      <c r="J87" s="78">
        <f>IF($B87="","",IF(OR($H87="Complete",$H87="Dropped"),"COMPLETE",IF($F87="","NO DATE",IF($F87&lt;TODAY(),"OVERDUE",IF($F87-TODAY()&lt;=7,"THIS WEEK","SCHEDULED")))))</f>
      </c>
      <c r="K87" s="80"/>
      <c r="L87" s="78">
        <f>IF($B87="",0,IF(COUNTIF('CLEANING + HOME PREP'!$B$6:$B$105,$B87)&gt;1,1,0))</f>
      </c>
      <c r="M87" s="75"/>
    </row>
    <row r="88" ht="17" customHeight="1" spans="1:13" x14ac:dyDescent="0.25">
      <c r="A88" s="75"/>
      <c r="B88" s="79"/>
      <c r="C88" s="79"/>
      <c r="D88" s="80"/>
      <c r="E88" s="79"/>
      <c r="F88" s="82"/>
      <c r="G88" s="79"/>
      <c r="H88" s="79"/>
      <c r="I88" s="80"/>
      <c r="J88" s="78">
        <f>IF($B88="","",IF(OR($H88="Complete",$H88="Dropped"),"COMPLETE",IF($F88="","NO DATE",IF($F88&lt;TODAY(),"OVERDUE",IF($F88-TODAY()&lt;=7,"THIS WEEK","SCHEDULED")))))</f>
      </c>
      <c r="K88" s="80"/>
      <c r="L88" s="78">
        <f>IF($B88="",0,IF(COUNTIF('CLEANING + HOME PREP'!$B$6:$B$105,$B88)&gt;1,1,0))</f>
      </c>
      <c r="M88" s="75"/>
    </row>
    <row r="89" ht="17" customHeight="1" spans="1:13" x14ac:dyDescent="0.25">
      <c r="A89" s="75"/>
      <c r="B89" s="79"/>
      <c r="C89" s="79"/>
      <c r="D89" s="80"/>
      <c r="E89" s="79"/>
      <c r="F89" s="82"/>
      <c r="G89" s="79"/>
      <c r="H89" s="79"/>
      <c r="I89" s="80"/>
      <c r="J89" s="78">
        <f>IF($B89="","",IF(OR($H89="Complete",$H89="Dropped"),"COMPLETE",IF($F89="","NO DATE",IF($F89&lt;TODAY(),"OVERDUE",IF($F89-TODAY()&lt;=7,"THIS WEEK","SCHEDULED")))))</f>
      </c>
      <c r="K89" s="80"/>
      <c r="L89" s="78">
        <f>IF($B89="",0,IF(COUNTIF('CLEANING + HOME PREP'!$B$6:$B$105,$B89)&gt;1,1,0))</f>
      </c>
      <c r="M89" s="75"/>
    </row>
    <row r="90" ht="17" customHeight="1" spans="1:13" x14ac:dyDescent="0.25">
      <c r="A90" s="75"/>
      <c r="B90" s="79"/>
      <c r="C90" s="79"/>
      <c r="D90" s="80"/>
      <c r="E90" s="79"/>
      <c r="F90" s="82"/>
      <c r="G90" s="79"/>
      <c r="H90" s="79"/>
      <c r="I90" s="80"/>
      <c r="J90" s="78">
        <f>IF($B90="","",IF(OR($H90="Complete",$H90="Dropped"),"COMPLETE",IF($F90="","NO DATE",IF($F90&lt;TODAY(),"OVERDUE",IF($F90-TODAY()&lt;=7,"THIS WEEK","SCHEDULED")))))</f>
      </c>
      <c r="K90" s="80"/>
      <c r="L90" s="78">
        <f>IF($B90="",0,IF(COUNTIF('CLEANING + HOME PREP'!$B$6:$B$105,$B90)&gt;1,1,0))</f>
      </c>
      <c r="M90" s="75"/>
    </row>
    <row r="91" ht="17" customHeight="1" spans="1:13" x14ac:dyDescent="0.25">
      <c r="A91" s="75"/>
      <c r="B91" s="79"/>
      <c r="C91" s="79"/>
      <c r="D91" s="80"/>
      <c r="E91" s="79"/>
      <c r="F91" s="82"/>
      <c r="G91" s="79"/>
      <c r="H91" s="79"/>
      <c r="I91" s="80"/>
      <c r="J91" s="78">
        <f>IF($B91="","",IF(OR($H91="Complete",$H91="Dropped"),"COMPLETE",IF($F91="","NO DATE",IF($F91&lt;TODAY(),"OVERDUE",IF($F91-TODAY()&lt;=7,"THIS WEEK","SCHEDULED")))))</f>
      </c>
      <c r="K91" s="80"/>
      <c r="L91" s="78">
        <f>IF($B91="",0,IF(COUNTIF('CLEANING + HOME PREP'!$B$6:$B$105,$B91)&gt;1,1,0))</f>
      </c>
      <c r="M91" s="75"/>
    </row>
    <row r="92" ht="17" customHeight="1" spans="1:13" x14ac:dyDescent="0.25">
      <c r="A92" s="75"/>
      <c r="B92" s="79"/>
      <c r="C92" s="79"/>
      <c r="D92" s="80"/>
      <c r="E92" s="79"/>
      <c r="F92" s="82"/>
      <c r="G92" s="79"/>
      <c r="H92" s="79"/>
      <c r="I92" s="80"/>
      <c r="J92" s="78">
        <f>IF($B92="","",IF(OR($H92="Complete",$H92="Dropped"),"COMPLETE",IF($F92="","NO DATE",IF($F92&lt;TODAY(),"OVERDUE",IF($F92-TODAY()&lt;=7,"THIS WEEK","SCHEDULED")))))</f>
      </c>
      <c r="K92" s="80"/>
      <c r="L92" s="78">
        <f>IF($B92="",0,IF(COUNTIF('CLEANING + HOME PREP'!$B$6:$B$105,$B92)&gt;1,1,0))</f>
      </c>
      <c r="M92" s="75"/>
    </row>
    <row r="93" ht="17" customHeight="1" spans="1:13" x14ac:dyDescent="0.25">
      <c r="A93" s="75"/>
      <c r="B93" s="79"/>
      <c r="C93" s="79"/>
      <c r="D93" s="80"/>
      <c r="E93" s="79"/>
      <c r="F93" s="82"/>
      <c r="G93" s="79"/>
      <c r="H93" s="79"/>
      <c r="I93" s="80"/>
      <c r="J93" s="78">
        <f>IF($B93="","",IF(OR($H93="Complete",$H93="Dropped"),"COMPLETE",IF($F93="","NO DATE",IF($F93&lt;TODAY(),"OVERDUE",IF($F93-TODAY()&lt;=7,"THIS WEEK","SCHEDULED")))))</f>
      </c>
      <c r="K93" s="80"/>
      <c r="L93" s="78">
        <f>IF($B93="",0,IF(COUNTIF('CLEANING + HOME PREP'!$B$6:$B$105,$B93)&gt;1,1,0))</f>
      </c>
      <c r="M93" s="75"/>
    </row>
    <row r="94" ht="17" customHeight="1" spans="1:13" x14ac:dyDescent="0.25">
      <c r="A94" s="75"/>
      <c r="B94" s="79"/>
      <c r="C94" s="79"/>
      <c r="D94" s="80"/>
      <c r="E94" s="79"/>
      <c r="F94" s="82"/>
      <c r="G94" s="79"/>
      <c r="H94" s="79"/>
      <c r="I94" s="80"/>
      <c r="J94" s="78">
        <f>IF($B94="","",IF(OR($H94="Complete",$H94="Dropped"),"COMPLETE",IF($F94="","NO DATE",IF($F94&lt;TODAY(),"OVERDUE",IF($F94-TODAY()&lt;=7,"THIS WEEK","SCHEDULED")))))</f>
      </c>
      <c r="K94" s="80"/>
      <c r="L94" s="78">
        <f>IF($B94="",0,IF(COUNTIF('CLEANING + HOME PREP'!$B$6:$B$105,$B94)&gt;1,1,0))</f>
      </c>
      <c r="M94" s="75"/>
    </row>
    <row r="95" ht="17" customHeight="1" spans="1:13" x14ac:dyDescent="0.25">
      <c r="A95" s="75"/>
      <c r="B95" s="79"/>
      <c r="C95" s="79"/>
      <c r="D95" s="80"/>
      <c r="E95" s="79"/>
      <c r="F95" s="82"/>
      <c r="G95" s="79"/>
      <c r="H95" s="79"/>
      <c r="I95" s="80"/>
      <c r="J95" s="78">
        <f>IF($B95="","",IF(OR($H95="Complete",$H95="Dropped"),"COMPLETE",IF($F95="","NO DATE",IF($F95&lt;TODAY(),"OVERDUE",IF($F95-TODAY()&lt;=7,"THIS WEEK","SCHEDULED")))))</f>
      </c>
      <c r="K95" s="80"/>
      <c r="L95" s="78">
        <f>IF($B95="",0,IF(COUNTIF('CLEANING + HOME PREP'!$B$6:$B$105,$B95)&gt;1,1,0))</f>
      </c>
      <c r="M95" s="75"/>
    </row>
    <row r="96" ht="17" customHeight="1" spans="1:13" x14ac:dyDescent="0.25">
      <c r="A96" s="75"/>
      <c r="B96" s="79"/>
      <c r="C96" s="79"/>
      <c r="D96" s="80"/>
      <c r="E96" s="79"/>
      <c r="F96" s="82"/>
      <c r="G96" s="79"/>
      <c r="H96" s="79"/>
      <c r="I96" s="80"/>
      <c r="J96" s="78">
        <f>IF($B96="","",IF(OR($H96="Complete",$H96="Dropped"),"COMPLETE",IF($F96="","NO DATE",IF($F96&lt;TODAY(),"OVERDUE",IF($F96-TODAY()&lt;=7,"THIS WEEK","SCHEDULED")))))</f>
      </c>
      <c r="K96" s="80"/>
      <c r="L96" s="78">
        <f>IF($B96="",0,IF(COUNTIF('CLEANING + HOME PREP'!$B$6:$B$105,$B96)&gt;1,1,0))</f>
      </c>
      <c r="M96" s="75"/>
    </row>
    <row r="97" ht="17" customHeight="1" spans="1:13" x14ac:dyDescent="0.25">
      <c r="A97" s="75"/>
      <c r="B97" s="79"/>
      <c r="C97" s="79"/>
      <c r="D97" s="80"/>
      <c r="E97" s="79"/>
      <c r="F97" s="82"/>
      <c r="G97" s="79"/>
      <c r="H97" s="79"/>
      <c r="I97" s="80"/>
      <c r="J97" s="78">
        <f>IF($B97="","",IF(OR($H97="Complete",$H97="Dropped"),"COMPLETE",IF($F97="","NO DATE",IF($F97&lt;TODAY(),"OVERDUE",IF($F97-TODAY()&lt;=7,"THIS WEEK","SCHEDULED")))))</f>
      </c>
      <c r="K97" s="80"/>
      <c r="L97" s="78">
        <f>IF($B97="",0,IF(COUNTIF('CLEANING + HOME PREP'!$B$6:$B$105,$B97)&gt;1,1,0))</f>
      </c>
      <c r="M97" s="75"/>
    </row>
    <row r="98" ht="17" customHeight="1" spans="1:13" x14ac:dyDescent="0.25">
      <c r="A98" s="75"/>
      <c r="B98" s="79"/>
      <c r="C98" s="79"/>
      <c r="D98" s="80"/>
      <c r="E98" s="79"/>
      <c r="F98" s="82"/>
      <c r="G98" s="79"/>
      <c r="H98" s="79"/>
      <c r="I98" s="80"/>
      <c r="J98" s="78">
        <f>IF($B98="","",IF(OR($H98="Complete",$H98="Dropped"),"COMPLETE",IF($F98="","NO DATE",IF($F98&lt;TODAY(),"OVERDUE",IF($F98-TODAY()&lt;=7,"THIS WEEK","SCHEDULED")))))</f>
      </c>
      <c r="K98" s="80"/>
      <c r="L98" s="78">
        <f>IF($B98="",0,IF(COUNTIF('CLEANING + HOME PREP'!$B$6:$B$105,$B98)&gt;1,1,0))</f>
      </c>
      <c r="M98" s="75"/>
    </row>
    <row r="99" ht="17" customHeight="1" spans="1:13" x14ac:dyDescent="0.25">
      <c r="A99" s="75"/>
      <c r="B99" s="79"/>
      <c r="C99" s="79"/>
      <c r="D99" s="80"/>
      <c r="E99" s="79"/>
      <c r="F99" s="82"/>
      <c r="G99" s="79"/>
      <c r="H99" s="79"/>
      <c r="I99" s="80"/>
      <c r="J99" s="78">
        <f>IF($B99="","",IF(OR($H99="Complete",$H99="Dropped"),"COMPLETE",IF($F99="","NO DATE",IF($F99&lt;TODAY(),"OVERDUE",IF($F99-TODAY()&lt;=7,"THIS WEEK","SCHEDULED")))))</f>
      </c>
      <c r="K99" s="80"/>
      <c r="L99" s="78">
        <f>IF($B99="",0,IF(COUNTIF('CLEANING + HOME PREP'!$B$6:$B$105,$B99)&gt;1,1,0))</f>
      </c>
      <c r="M99" s="75"/>
    </row>
    <row r="100" ht="17" customHeight="1" spans="1:13" x14ac:dyDescent="0.25">
      <c r="A100" s="75"/>
      <c r="B100" s="79"/>
      <c r="C100" s="79"/>
      <c r="D100" s="80"/>
      <c r="E100" s="79"/>
      <c r="F100" s="82"/>
      <c r="G100" s="79"/>
      <c r="H100" s="79"/>
      <c r="I100" s="80"/>
      <c r="J100" s="78">
        <f>IF($B100="","",IF(OR($H100="Complete",$H100="Dropped"),"COMPLETE",IF($F100="","NO DATE",IF($F100&lt;TODAY(),"OVERDUE",IF($F100-TODAY()&lt;=7,"THIS WEEK","SCHEDULED")))))</f>
      </c>
      <c r="K100" s="80"/>
      <c r="L100" s="78">
        <f>IF($B100="",0,IF(COUNTIF('CLEANING + HOME PREP'!$B$6:$B$105,$B100)&gt;1,1,0))</f>
      </c>
      <c r="M100" s="75"/>
    </row>
    <row r="101" ht="17" customHeight="1" spans="1:13" x14ac:dyDescent="0.25">
      <c r="A101" s="75"/>
      <c r="B101" s="79"/>
      <c r="C101" s="79"/>
      <c r="D101" s="80"/>
      <c r="E101" s="79"/>
      <c r="F101" s="82"/>
      <c r="G101" s="79"/>
      <c r="H101" s="79"/>
      <c r="I101" s="80"/>
      <c r="J101" s="78">
        <f>IF($B101="","",IF(OR($H101="Complete",$H101="Dropped"),"COMPLETE",IF($F101="","NO DATE",IF($F101&lt;TODAY(),"OVERDUE",IF($F101-TODAY()&lt;=7,"THIS WEEK","SCHEDULED")))))</f>
      </c>
      <c r="K101" s="80"/>
      <c r="L101" s="78">
        <f>IF($B101="",0,IF(COUNTIF('CLEANING + HOME PREP'!$B$6:$B$105,$B101)&gt;1,1,0))</f>
      </c>
      <c r="M101" s="75"/>
    </row>
    <row r="102" ht="17" customHeight="1" spans="1:13" x14ac:dyDescent="0.25">
      <c r="A102" s="75"/>
      <c r="B102" s="79"/>
      <c r="C102" s="79"/>
      <c r="D102" s="80"/>
      <c r="E102" s="79"/>
      <c r="F102" s="82"/>
      <c r="G102" s="79"/>
      <c r="H102" s="79"/>
      <c r="I102" s="80"/>
      <c r="J102" s="78">
        <f>IF($B102="","",IF(OR($H102="Complete",$H102="Dropped"),"COMPLETE",IF($F102="","NO DATE",IF($F102&lt;TODAY(),"OVERDUE",IF($F102-TODAY()&lt;=7,"THIS WEEK","SCHEDULED")))))</f>
      </c>
      <c r="K102" s="80"/>
      <c r="L102" s="78">
        <f>IF($B102="",0,IF(COUNTIF('CLEANING + HOME PREP'!$B$6:$B$105,$B102)&gt;1,1,0))</f>
      </c>
      <c r="M102" s="75"/>
    </row>
    <row r="103" ht="17" customHeight="1" spans="1:13" x14ac:dyDescent="0.25">
      <c r="A103" s="75"/>
      <c r="B103" s="79"/>
      <c r="C103" s="79"/>
      <c r="D103" s="80"/>
      <c r="E103" s="79"/>
      <c r="F103" s="82"/>
      <c r="G103" s="79"/>
      <c r="H103" s="79"/>
      <c r="I103" s="80"/>
      <c r="J103" s="78">
        <f>IF($B103="","",IF(OR($H103="Complete",$H103="Dropped"),"COMPLETE",IF($F103="","NO DATE",IF($F103&lt;TODAY(),"OVERDUE",IF($F103-TODAY()&lt;=7,"THIS WEEK","SCHEDULED")))))</f>
      </c>
      <c r="K103" s="80"/>
      <c r="L103" s="78">
        <f>IF($B103="",0,IF(COUNTIF('CLEANING + HOME PREP'!$B$6:$B$105,$B103)&gt;1,1,0))</f>
      </c>
      <c r="M103" s="75"/>
    </row>
    <row r="104" ht="17" customHeight="1" spans="1:13" x14ac:dyDescent="0.25">
      <c r="A104" s="75"/>
      <c r="B104" s="79"/>
      <c r="C104" s="79"/>
      <c r="D104" s="80"/>
      <c r="E104" s="79"/>
      <c r="F104" s="82"/>
      <c r="G104" s="79"/>
      <c r="H104" s="79"/>
      <c r="I104" s="80"/>
      <c r="J104" s="78">
        <f>IF($B104="","",IF(OR($H104="Complete",$H104="Dropped"),"COMPLETE",IF($F104="","NO DATE",IF($F104&lt;TODAY(),"OVERDUE",IF($F104-TODAY()&lt;=7,"THIS WEEK","SCHEDULED")))))</f>
      </c>
      <c r="K104" s="80"/>
      <c r="L104" s="78">
        <f>IF($B104="",0,IF(COUNTIF('CLEANING + HOME PREP'!$B$6:$B$105,$B104)&gt;1,1,0))</f>
      </c>
      <c r="M104" s="75"/>
    </row>
    <row r="105" ht="17" customHeight="1" spans="1:13" x14ac:dyDescent="0.25">
      <c r="A105" s="75"/>
      <c r="B105" s="79"/>
      <c r="C105" s="79"/>
      <c r="D105" s="80"/>
      <c r="E105" s="79"/>
      <c r="F105" s="82"/>
      <c r="G105" s="79"/>
      <c r="H105" s="79"/>
      <c r="I105" s="80"/>
      <c r="J105" s="78">
        <f>IF($B105="","",IF(OR($H105="Complete",$H105="Dropped"),"COMPLETE",IF($F105="","NO DATE",IF($F105&lt;TODAY(),"OVERDUE",IF($F105-TODAY()&lt;=7,"THIS WEEK","SCHEDULED")))))</f>
      </c>
      <c r="K105" s="80"/>
      <c r="L105" s="78">
        <f>IF($B105="",0,IF(COUNTIF('CLEANING + HOME PREP'!$B$6:$B$105,$B105)&gt;1,1,0))</f>
      </c>
      <c r="M105" s="75"/>
    </row>
  </sheetData>
  <autoFilter ref="B5:L105"/>
  <mergeCells count="1">
    <mergeCell ref="B1:C1"/>
  </mergeCells>
  <conditionalFormatting sqref="J6:J105">
    <cfRule type="containsText" dxfId="511" priority="1">
      <formula>NOT(ISERROR(SEARCH("OVER BUDGET",J6)))</formula>
    </cfRule>
  </conditionalFormatting>
  <conditionalFormatting sqref="J6:J105">
    <cfRule type="containsText" dxfId="512" priority="2">
      <formula>NOT(ISERROR(SEARCH("OVERDUE",J6)))</formula>
    </cfRule>
  </conditionalFormatting>
  <conditionalFormatting sqref="J6:J105">
    <cfRule type="containsText" dxfId="513" priority="3">
      <formula>NOT(ISERROR(SEARCH("LATE",J6)))</formula>
    </cfRule>
  </conditionalFormatting>
  <conditionalFormatting sqref="J6:J105">
    <cfRule type="containsText" dxfId="514" priority="4">
      <formula>NOT(ISERROR(SEARCH("WINDOW CLOSED",J6)))</formula>
    </cfRule>
  </conditionalFormatting>
  <conditionalFormatting sqref="J6:J105">
    <cfRule type="containsText" dxfId="515" priority="5">
      <formula>NOT(ISERROR(SEARCH("BALANCE OVERDUE",J6)))</formula>
    </cfRule>
  </conditionalFormatting>
  <conditionalFormatting sqref="J6:J105">
    <cfRule type="containsText" dxfId="516" priority="6">
      <formula>NOT(ISERROR(SEARCH("PREP OVERDUE",J6)))</formula>
    </cfRule>
  </conditionalFormatting>
  <conditionalFormatting sqref="J6:J105">
    <cfRule type="containsText" dxfId="517" priority="7">
      <formula>NOT(ISERROR(SEARCH("CHECK DUPLICATE",J6)))</formula>
    </cfRule>
  </conditionalFormatting>
  <conditionalFormatting sqref="J6:J105">
    <cfRule type="containsText" dxfId="518" priority="8">
      <formula>NOT(ISERROR(SEARCH("MISSING DATE",J6)))</formula>
    </cfRule>
  </conditionalFormatting>
  <conditionalFormatting sqref="J6:J105">
    <cfRule type="containsText" dxfId="519" priority="9">
      <formula>NOT(ISERROR(SEARCH("NOT FOUND",J6)))</formula>
    </cfRule>
  </conditionalFormatting>
  <conditionalFormatting sqref="J6:J105">
    <cfRule type="containsText" dxfId="520" priority="10">
      <formula>NOT(ISERROR(SEARCH("NEAR LIMIT",J6)))</formula>
    </cfRule>
  </conditionalFormatting>
  <conditionalFormatting sqref="J6:J105">
    <cfRule type="containsText" dxfId="521" priority="11">
      <formula>NOT(ISERROR(SEARCH("THIS WEEK",J6)))</formula>
    </cfRule>
  </conditionalFormatting>
  <conditionalFormatting sqref="J6:J105">
    <cfRule type="containsText" dxfId="522" priority="12">
      <formula>NOT(ISERROR(SEARCH("CLOSING SOON",J6)))</formula>
    </cfRule>
  </conditionalFormatting>
  <conditionalFormatting sqref="J6:J105">
    <cfRule type="containsText" dxfId="523" priority="13">
      <formula>NOT(ISERROR(SEARCH("NO TRACKING",J6)))</formula>
    </cfRule>
  </conditionalFormatting>
  <conditionalFormatting sqref="J6:J105">
    <cfRule type="containsText" dxfId="524" priority="14">
      <formula>NOT(ISERROR(SEARCH("LOW",J6)))</formula>
    </cfRule>
  </conditionalFormatting>
  <conditionalFormatting sqref="J6:J105">
    <cfRule type="containsText" dxfId="525" priority="15">
      <formula>NOT(ISERROR(SEARCH("AWAITING REFUND",J6)))</formula>
    </cfRule>
  </conditionalFormatting>
  <conditionalFormatting sqref="J6:J105">
    <cfRule type="containsText" dxfId="526" priority="16">
      <formula>NOT(ISERROR(SEARCH("BALANCE DUE SOON",J6)))</formula>
    </cfRule>
  </conditionalFormatting>
  <conditionalFormatting sqref="J6:J105">
    <cfRule type="containsText" dxfId="527" priority="17">
      <formula>NOT(ISERROR(SEARCH("TO BUY",J6)))</formula>
    </cfRule>
  </conditionalFormatting>
  <conditionalFormatting sqref="J6:J105">
    <cfRule type="containsText" dxfId="528" priority="18">
      <formula>NOT(ISERROR(SEARCH("NO DATE",J6)))</formula>
    </cfRule>
  </conditionalFormatting>
  <conditionalFormatting sqref="J6:J105">
    <cfRule type="containsText" dxfId="529" priority="19">
      <formula>NOT(ISERROR(SEARCH("NO COUNT",J6)))</formula>
    </cfRule>
  </conditionalFormatting>
  <conditionalFormatting sqref="J6:J105">
    <cfRule type="containsText" dxfId="530" priority="20">
      <formula>NOT(ISERROR(SEARCH("ON TRACK",J6)))</formula>
    </cfRule>
  </conditionalFormatting>
  <conditionalFormatting sqref="J6:J105">
    <cfRule type="containsText" dxfId="531" priority="21">
      <formula>NOT(ISERROR(SEARCH("COMPLETE",J6)))</formula>
    </cfRule>
  </conditionalFormatting>
  <conditionalFormatting sqref="J6:J105">
    <cfRule type="containsText" dxfId="532" priority="22">
      <formula>NOT(ISERROR(SEARCH("DONE",J6)))</formula>
    </cfRule>
  </conditionalFormatting>
  <conditionalFormatting sqref="J6:J105">
    <cfRule type="containsText" dxfId="533" priority="23">
      <formula>NOT(ISERROR(SEARCH("ARRIVED",J6)))</formula>
    </cfRule>
  </conditionalFormatting>
  <conditionalFormatting sqref="J6:J105">
    <cfRule type="containsText" dxfId="534" priority="24">
      <formula>NOT(ISERROR(SEARCH("SETTLED",J6)))</formula>
    </cfRule>
  </conditionalFormatting>
  <conditionalFormatting sqref="J6:J105">
    <cfRule type="containsText" dxfId="535" priority="25">
      <formula>NOT(ISERROR(SEARCH("AT BUDGET",J6)))</formula>
    </cfRule>
  </conditionalFormatting>
  <conditionalFormatting sqref="J6:J105">
    <cfRule type="containsText" dxfId="536" priority="26">
      <formula>NOT(ISERROR(SEARCH("IN STOCK",J6)))</formula>
    </cfRule>
  </conditionalFormatting>
  <conditionalFormatting sqref="J6:J105">
    <cfRule type="containsText" dxfId="537" priority="27">
      <formula>NOT(ISERROR(SEARCH("BOUGHT",J6)))</formula>
    </cfRule>
  </conditionalFormatting>
  <conditionalFormatting sqref="J6:J105">
    <cfRule type="containsText" dxfId="538" priority="28">
      <formula>NOT(ISERROR(SEARCH("READY",J6)))</formula>
    </cfRule>
  </conditionalFormatting>
  <conditionalFormatting sqref="J6:J105">
    <cfRule type="containsText" dxfId="539" priority="29">
      <formula>NOT(ISERROR(SEARCH("NOT SET",J6)))</formula>
    </cfRule>
  </conditionalFormatting>
  <conditionalFormatting sqref="J6:J105">
    <cfRule type="containsText" dxfId="540" priority="30">
      <formula>NOT(ISERROR(SEARCH("NOT STARTED",J6)))</formula>
    </cfRule>
  </conditionalFormatting>
  <conditionalFormatting sqref="J6:J105">
    <cfRule type="containsText" dxfId="541" priority="31">
      <formula>NOT(ISERROR(SEARCH("SCHEDULED",J6)))</formula>
    </cfRule>
  </conditionalFormatting>
  <conditionalFormatting sqref="J6:J105">
    <cfRule type="containsText" dxfId="542" priority="32">
      <formula>NOT(ISERROR(SEARCH("CLOSED",J6)))</formula>
    </cfRule>
  </conditionalFormatting>
  <conditionalFormatting sqref="J6:J105">
    <cfRule type="containsText" dxfId="543" priority="33">
      <formula>NOT(ISERROR(SEARCH("IN THE PANTRY",J6)))</formula>
    </cfRule>
  </conditionalFormatting>
  <conditionalFormatting sqref="J6:J105">
    <cfRule type="containsText" dxfId="544" priority="34">
      <formula>NOT(ISERROR(SEARCH("BALANCE OPEN",J6)))</formula>
    </cfRule>
  </conditionalFormatting>
  <dataValidations count="4">
    <dataValidation type="list" allowBlank="1" showErrorMessage="1" errorStyle="warning" errorTitle="Not one of the usual values" error="This column normally uses a value from the Room list on LISTS. You can keep what you typed, or add it to the list so it appears in the dropdown." sqref="C6:C105">
      <formula1>=List_Room</formula1>
    </dataValidation>
    <dataValidation type="custom" allowBlank="1" showErrorMessage="1" errorStyle="warning" errorTitle="That is not a date yet" error="Type a real date, so the workbook can count days with it. &quot;Before Christmas&quot; cannot be sorted." sqref="F6:F105">
      <formula1>=OR(F6="",ISNUMBER(F6))</formula1>
    </dataValidation>
    <dataValidation type="list" allowBlank="1" showErrorMessage="1" errorStyle="warning" errorTitle="Not one of the usual values" error="This column normally uses a value from the Recurrence list on LISTS. You can keep what you typed, or add it to the list so it appears in the dropdown." sqref="G6:G105">
      <formula1>=List_Recurrence</formula1>
    </dataValidation>
    <dataValidation type="list" allowBlank="1" showErrorMessage="1" errorStyle="warning" errorTitle="Not one of the usual values" error="This column normally uses a value from the TaskStatus list on LISTS. You can keep what you typed, or add it to the list so it appears in the dropdown." sqref="H6:H105">
      <formula1>=List_TaskStatus</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&amp;LCLEANING + HOME PREP&amp;C&amp;P of &amp;N&amp;RThe Christmas Season Master Command Center™</oddFooter>
  </headerFooter>
  <legacyDrawing r:id="rId7"/>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P65"/>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2" max="2" width="11" customWidth="1"/>
    <col min="3" max="3" width="28" customWidth="1"/>
    <col min="4" max="4" width="15" customWidth="1"/>
    <col min="5" max="5" width="30" customWidth="1"/>
    <col min="6" max="6" width="17" customWidth="1"/>
    <col min="7" max="9" width="13" customWidth="1"/>
    <col min="10" max="11" width="11" customWidth="1"/>
    <col min="12" max="12" width="14" customWidth="1"/>
    <col min="13" max="13" width="34" customWidth="1"/>
    <col min="14" max="15" width="18" hidden="1" customWidth="1"/>
    <col min="16" max="16" width="2" customWidth="1"/>
  </cols>
  <sheetData>
    <row r="1" ht="21" customHeight="1" spans="1:16" x14ac:dyDescent="0.25">
      <c r="A1" s="62"/>
      <c r="B1" s="63" t="s">
        <v>8</v>
      </c>
      <c r="C1" s="63"/>
      <c r="D1" s="63" t="s">
        <v>9</v>
      </c>
      <c r="E1" s="63" t="s">
        <v>10</v>
      </c>
      <c r="F1" s="63" t="s">
        <v>11</v>
      </c>
      <c r="G1" s="63" t="s">
        <v>12</v>
      </c>
      <c r="H1" s="62"/>
      <c r="I1" s="62"/>
      <c r="J1" s="62"/>
      <c r="K1" s="62"/>
      <c r="L1" s="62"/>
      <c r="M1" s="62"/>
      <c r="N1" s="62"/>
      <c r="O1" s="62"/>
      <c r="P1" s="62"/>
    </row>
    <row r="2" ht="34" customHeight="1" spans="1:16" x14ac:dyDescent="0.25">
      <c r="A2" s="64"/>
      <c r="B2" s="65" t="s">
        <v>839</v>
      </c>
      <c r="C2" s="64"/>
      <c r="D2" s="64"/>
      <c r="E2" s="64"/>
      <c r="F2" s="64"/>
      <c r="G2" s="64"/>
      <c r="H2" s="64"/>
      <c r="I2" s="64"/>
      <c r="J2" s="64"/>
      <c r="K2" s="64"/>
      <c r="L2" s="64"/>
      <c r="M2" s="64"/>
      <c r="N2" s="64"/>
      <c r="O2" s="64"/>
      <c r="P2" s="64"/>
    </row>
    <row r="3" ht="18" customHeight="1" spans="1:16" x14ac:dyDescent="0.25">
      <c r="A3" s="64"/>
      <c r="B3" s="66" t="s">
        <v>840</v>
      </c>
      <c r="C3" s="64"/>
      <c r="D3" s="64"/>
      <c r="E3" s="64"/>
      <c r="F3" s="64"/>
      <c r="G3" s="64"/>
      <c r="H3" s="64"/>
      <c r="I3" s="64"/>
      <c r="J3" s="64"/>
      <c r="K3" s="64"/>
      <c r="L3" s="64"/>
      <c r="M3" s="64"/>
      <c r="N3" s="64"/>
      <c r="O3" s="64"/>
      <c r="P3" s="64"/>
    </row>
    <row r="4" ht="17" customHeight="1" spans="1:16" x14ac:dyDescent="0.25">
      <c r="A4" s="64"/>
      <c r="B4" s="67" t="s">
        <v>160</v>
      </c>
      <c r="C4" s="64"/>
      <c r="D4" s="64"/>
      <c r="E4" s="64"/>
      <c r="F4" s="64"/>
      <c r="G4" s="64"/>
      <c r="H4" s="64"/>
      <c r="I4" s="64"/>
      <c r="J4" s="64"/>
      <c r="K4" s="64"/>
      <c r="L4" s="64"/>
      <c r="M4" s="64"/>
      <c r="N4" s="64"/>
      <c r="O4" s="64"/>
      <c r="P4" s="64"/>
    </row>
    <row r="5" ht="32" customHeight="1" spans="1:16" x14ac:dyDescent="0.25">
      <c r="A5" s="73"/>
      <c r="B5" s="74" t="s">
        <v>841</v>
      </c>
      <c r="C5" s="74" t="s">
        <v>842</v>
      </c>
      <c r="D5" s="74" t="s">
        <v>414</v>
      </c>
      <c r="E5" s="74" t="s">
        <v>843</v>
      </c>
      <c r="F5" s="74" t="s">
        <v>300</v>
      </c>
      <c r="G5" s="74" t="s">
        <v>267</v>
      </c>
      <c r="H5" s="74" t="s">
        <v>268</v>
      </c>
      <c r="I5" s="74" t="s">
        <v>844</v>
      </c>
      <c r="J5" s="74" t="s">
        <v>845</v>
      </c>
      <c r="K5" s="74" t="s">
        <v>846</v>
      </c>
      <c r="L5" s="74" t="s">
        <v>260</v>
      </c>
      <c r="M5" s="74" t="s">
        <v>179</v>
      </c>
      <c r="N5" s="74" t="s">
        <v>180</v>
      </c>
      <c r="O5" s="74" t="s">
        <v>323</v>
      </c>
      <c r="P5" s="73"/>
    </row>
    <row r="6" ht="17" customHeight="1" spans="1:16" x14ac:dyDescent="0.25">
      <c r="A6" s="75"/>
      <c r="B6" s="76" t="s">
        <v>847</v>
      </c>
      <c r="C6" s="77" t="s">
        <v>848</v>
      </c>
      <c r="D6" s="76" t="s">
        <v>849</v>
      </c>
      <c r="E6" s="77" t="s">
        <v>850</v>
      </c>
      <c r="F6" s="76" t="s">
        <v>289</v>
      </c>
      <c r="G6" s="84">
        <v>250</v>
      </c>
      <c r="H6" s="84">
        <v>250</v>
      </c>
      <c r="I6" s="81">
        <v>46371</v>
      </c>
      <c r="J6" s="76" t="s">
        <v>185</v>
      </c>
      <c r="K6" s="76" t="s">
        <v>185</v>
      </c>
      <c r="L6" s="78">
        <f>IF($B6="","",IF($J6="Yes","COMPLETE",IF($I6="","NO DATE",IF($I6&lt;TODAY(),"OVERDUE",IF($I6-TODAY()&lt;=7,"THIS WEEK","SCHEDULED")))))</f>
      </c>
      <c r="M6" s="77" t="s">
        <v>186</v>
      </c>
      <c r="N6" s="78">
        <f>IF($B6="",0,IF(COUNTIF('DONATIONS + GIVING'!$B$6:$B$65,$B6)&gt;1,1,0))</f>
      </c>
      <c r="O6" s="78">
        <f>IF(OR(N($G6)&gt;0,N($H6)&gt;0),IF($F6="",1,IF(COUNTIF('MASTER BUDGET'!$D$6:$D$25,$F6)=0,1,0)),0)</f>
      </c>
      <c r="P6" s="75"/>
    </row>
    <row r="7" ht="17" customHeight="1" spans="1:16" x14ac:dyDescent="0.25">
      <c r="A7" s="75"/>
      <c r="B7" s="76" t="s">
        <v>851</v>
      </c>
      <c r="C7" s="77" t="s">
        <v>852</v>
      </c>
      <c r="D7" s="76" t="s">
        <v>853</v>
      </c>
      <c r="E7" s="77" t="s">
        <v>854</v>
      </c>
      <c r="F7" s="76" t="s">
        <v>289</v>
      </c>
      <c r="G7" s="84">
        <v>180</v>
      </c>
      <c r="H7" s="84"/>
      <c r="I7" s="81">
        <v>46366</v>
      </c>
      <c r="J7" s="76" t="s">
        <v>194</v>
      </c>
      <c r="K7" s="76" t="s">
        <v>194</v>
      </c>
      <c r="L7" s="78">
        <f>IF($B7="","",IF($J7="Yes","COMPLETE",IF($I7="","NO DATE",IF($I7&lt;TODAY(),"OVERDUE",IF($I7-TODAY()&lt;=7,"THIS WEEK","SCHEDULED")))))</f>
      </c>
      <c r="M7" s="77" t="s">
        <v>186</v>
      </c>
      <c r="N7" s="78">
        <f>IF($B7="",0,IF(COUNTIF('DONATIONS + GIVING'!$B$6:$B$65,$B7)&gt;1,1,0))</f>
      </c>
      <c r="O7" s="78">
        <f>IF(OR(N($G7)&gt;0,N($H7)&gt;0),IF($F7="",1,IF(COUNTIF('MASTER BUDGET'!$D$6:$D$25,$F7)=0,1,0)),0)</f>
      </c>
      <c r="P7" s="75"/>
    </row>
    <row r="8" ht="17" customHeight="1" spans="1:16" x14ac:dyDescent="0.25">
      <c r="A8" s="75"/>
      <c r="B8" s="76" t="s">
        <v>855</v>
      </c>
      <c r="C8" s="77" t="s">
        <v>856</v>
      </c>
      <c r="D8" s="76" t="s">
        <v>450</v>
      </c>
      <c r="E8" s="77" t="s">
        <v>857</v>
      </c>
      <c r="F8" s="76" t="s">
        <v>289</v>
      </c>
      <c r="G8" s="84"/>
      <c r="H8" s="84"/>
      <c r="I8" s="81">
        <v>46376</v>
      </c>
      <c r="J8" s="76" t="s">
        <v>194</v>
      </c>
      <c r="K8" s="76" t="s">
        <v>194</v>
      </c>
      <c r="L8" s="78">
        <f>IF($B8="","",IF($J8="Yes","COMPLETE",IF($I8="","NO DATE",IF($I8&lt;TODAY(),"OVERDUE",IF($I8-TODAY()&lt;=7,"THIS WEEK","SCHEDULED")))))</f>
      </c>
      <c r="M8" s="77" t="s">
        <v>186</v>
      </c>
      <c r="N8" s="78">
        <f>IF($B8="",0,IF(COUNTIF('DONATIONS + GIVING'!$B$6:$B$65,$B8)&gt;1,1,0))</f>
      </c>
      <c r="O8" s="78">
        <f>IF(OR(N($G8)&gt;0,N($H8)&gt;0),IF($F8="",1,IF(COUNTIF('MASTER BUDGET'!$D$6:$D$25,$F8)=0,1,0)),0)</f>
      </c>
      <c r="P8" s="75"/>
    </row>
    <row r="9" ht="17" customHeight="1" spans="1:16" x14ac:dyDescent="0.25">
      <c r="A9" s="75"/>
      <c r="B9" s="79"/>
      <c r="C9" s="80"/>
      <c r="D9" s="79"/>
      <c r="E9" s="80"/>
      <c r="F9" s="79"/>
      <c r="G9" s="86"/>
      <c r="H9" s="86"/>
      <c r="I9" s="82"/>
      <c r="J9" s="79"/>
      <c r="K9" s="79"/>
      <c r="L9" s="78">
        <f>IF($B9="","",IF($J9="Yes","COMPLETE",IF($I9="","NO DATE",IF($I9&lt;TODAY(),"OVERDUE",IF($I9-TODAY()&lt;=7,"THIS WEEK","SCHEDULED")))))</f>
      </c>
      <c r="M9" s="80"/>
      <c r="N9" s="78">
        <f>IF($B9="",0,IF(COUNTIF('DONATIONS + GIVING'!$B$6:$B$65,$B9)&gt;1,1,0))</f>
      </c>
      <c r="O9" s="78">
        <f>IF(OR(N($G9)&gt;0,N($H9)&gt;0),IF($F9="",1,IF(COUNTIF('MASTER BUDGET'!$D$6:$D$25,$F9)=0,1,0)),0)</f>
      </c>
      <c r="P9" s="75"/>
    </row>
    <row r="10" ht="17" customHeight="1" spans="1:16" x14ac:dyDescent="0.25">
      <c r="A10" s="75"/>
      <c r="B10" s="79"/>
      <c r="C10" s="80"/>
      <c r="D10" s="79"/>
      <c r="E10" s="80"/>
      <c r="F10" s="79"/>
      <c r="G10" s="86"/>
      <c r="H10" s="86"/>
      <c r="I10" s="82"/>
      <c r="J10" s="79"/>
      <c r="K10" s="79"/>
      <c r="L10" s="78">
        <f>IF($B10="","",IF($J10="Yes","COMPLETE",IF($I10="","NO DATE",IF($I10&lt;TODAY(),"OVERDUE",IF($I10-TODAY()&lt;=7,"THIS WEEK","SCHEDULED")))))</f>
      </c>
      <c r="M10" s="80"/>
      <c r="N10" s="78">
        <f>IF($B10="",0,IF(COUNTIF('DONATIONS + GIVING'!$B$6:$B$65,$B10)&gt;1,1,0))</f>
      </c>
      <c r="O10" s="78">
        <f>IF(OR(N($G10)&gt;0,N($H10)&gt;0),IF($F10="",1,IF(COUNTIF('MASTER BUDGET'!$D$6:$D$25,$F10)=0,1,0)),0)</f>
      </c>
      <c r="P10" s="75"/>
    </row>
    <row r="11" ht="17" customHeight="1" spans="1:16" x14ac:dyDescent="0.25">
      <c r="A11" s="75"/>
      <c r="B11" s="79"/>
      <c r="C11" s="80"/>
      <c r="D11" s="79"/>
      <c r="E11" s="80"/>
      <c r="F11" s="79"/>
      <c r="G11" s="86"/>
      <c r="H11" s="86"/>
      <c r="I11" s="82"/>
      <c r="J11" s="79"/>
      <c r="K11" s="79"/>
      <c r="L11" s="78">
        <f>IF($B11="","",IF($J11="Yes","COMPLETE",IF($I11="","NO DATE",IF($I11&lt;TODAY(),"OVERDUE",IF($I11-TODAY()&lt;=7,"THIS WEEK","SCHEDULED")))))</f>
      </c>
      <c r="M11" s="80"/>
      <c r="N11" s="78">
        <f>IF($B11="",0,IF(COUNTIF('DONATIONS + GIVING'!$B$6:$B$65,$B11)&gt;1,1,0))</f>
      </c>
      <c r="O11" s="78">
        <f>IF(OR(N($G11)&gt;0,N($H11)&gt;0),IF($F11="",1,IF(COUNTIF('MASTER BUDGET'!$D$6:$D$25,$F11)=0,1,0)),0)</f>
      </c>
      <c r="P11" s="75"/>
    </row>
    <row r="12" ht="17" customHeight="1" spans="1:16" x14ac:dyDescent="0.25">
      <c r="A12" s="75"/>
      <c r="B12" s="79"/>
      <c r="C12" s="80"/>
      <c r="D12" s="79"/>
      <c r="E12" s="80"/>
      <c r="F12" s="79"/>
      <c r="G12" s="86"/>
      <c r="H12" s="86"/>
      <c r="I12" s="82"/>
      <c r="J12" s="79"/>
      <c r="K12" s="79"/>
      <c r="L12" s="78">
        <f>IF($B12="","",IF($J12="Yes","COMPLETE",IF($I12="","NO DATE",IF($I12&lt;TODAY(),"OVERDUE",IF($I12-TODAY()&lt;=7,"THIS WEEK","SCHEDULED")))))</f>
      </c>
      <c r="M12" s="80"/>
      <c r="N12" s="78">
        <f>IF($B12="",0,IF(COUNTIF('DONATIONS + GIVING'!$B$6:$B$65,$B12)&gt;1,1,0))</f>
      </c>
      <c r="O12" s="78">
        <f>IF(OR(N($G12)&gt;0,N($H12)&gt;0),IF($F12="",1,IF(COUNTIF('MASTER BUDGET'!$D$6:$D$25,$F12)=0,1,0)),0)</f>
      </c>
      <c r="P12" s="75"/>
    </row>
    <row r="13" ht="17" customHeight="1" spans="1:16" x14ac:dyDescent="0.25">
      <c r="A13" s="75"/>
      <c r="B13" s="79"/>
      <c r="C13" s="80"/>
      <c r="D13" s="79"/>
      <c r="E13" s="80"/>
      <c r="F13" s="79"/>
      <c r="G13" s="86"/>
      <c r="H13" s="86"/>
      <c r="I13" s="82"/>
      <c r="J13" s="79"/>
      <c r="K13" s="79"/>
      <c r="L13" s="78">
        <f>IF($B13="","",IF($J13="Yes","COMPLETE",IF($I13="","NO DATE",IF($I13&lt;TODAY(),"OVERDUE",IF($I13-TODAY()&lt;=7,"THIS WEEK","SCHEDULED")))))</f>
      </c>
      <c r="M13" s="80"/>
      <c r="N13" s="78">
        <f>IF($B13="",0,IF(COUNTIF('DONATIONS + GIVING'!$B$6:$B$65,$B13)&gt;1,1,0))</f>
      </c>
      <c r="O13" s="78">
        <f>IF(OR(N($G13)&gt;0,N($H13)&gt;0),IF($F13="",1,IF(COUNTIF('MASTER BUDGET'!$D$6:$D$25,$F13)=0,1,0)),0)</f>
      </c>
      <c r="P13" s="75"/>
    </row>
    <row r="14" ht="17" customHeight="1" spans="1:16" x14ac:dyDescent="0.25">
      <c r="A14" s="75"/>
      <c r="B14" s="79"/>
      <c r="C14" s="80"/>
      <c r="D14" s="79"/>
      <c r="E14" s="80"/>
      <c r="F14" s="79"/>
      <c r="G14" s="86"/>
      <c r="H14" s="86"/>
      <c r="I14" s="82"/>
      <c r="J14" s="79"/>
      <c r="K14" s="79"/>
      <c r="L14" s="78">
        <f>IF($B14="","",IF($J14="Yes","COMPLETE",IF($I14="","NO DATE",IF($I14&lt;TODAY(),"OVERDUE",IF($I14-TODAY()&lt;=7,"THIS WEEK","SCHEDULED")))))</f>
      </c>
      <c r="M14" s="80"/>
      <c r="N14" s="78">
        <f>IF($B14="",0,IF(COUNTIF('DONATIONS + GIVING'!$B$6:$B$65,$B14)&gt;1,1,0))</f>
      </c>
      <c r="O14" s="78">
        <f>IF(OR(N($G14)&gt;0,N($H14)&gt;0),IF($F14="",1,IF(COUNTIF('MASTER BUDGET'!$D$6:$D$25,$F14)=0,1,0)),0)</f>
      </c>
      <c r="P14" s="75"/>
    </row>
    <row r="15" ht="17" customHeight="1" spans="1:16" x14ac:dyDescent="0.25">
      <c r="A15" s="75"/>
      <c r="B15" s="79"/>
      <c r="C15" s="80"/>
      <c r="D15" s="79"/>
      <c r="E15" s="80"/>
      <c r="F15" s="79"/>
      <c r="G15" s="86"/>
      <c r="H15" s="86"/>
      <c r="I15" s="82"/>
      <c r="J15" s="79"/>
      <c r="K15" s="79"/>
      <c r="L15" s="78">
        <f>IF($B15="","",IF($J15="Yes","COMPLETE",IF($I15="","NO DATE",IF($I15&lt;TODAY(),"OVERDUE",IF($I15-TODAY()&lt;=7,"THIS WEEK","SCHEDULED")))))</f>
      </c>
      <c r="M15" s="80"/>
      <c r="N15" s="78">
        <f>IF($B15="",0,IF(COUNTIF('DONATIONS + GIVING'!$B$6:$B$65,$B15)&gt;1,1,0))</f>
      </c>
      <c r="O15" s="78">
        <f>IF(OR(N($G15)&gt;0,N($H15)&gt;0),IF($F15="",1,IF(COUNTIF('MASTER BUDGET'!$D$6:$D$25,$F15)=0,1,0)),0)</f>
      </c>
      <c r="P15" s="75"/>
    </row>
    <row r="16" ht="17" customHeight="1" spans="1:16" x14ac:dyDescent="0.25">
      <c r="A16" s="75"/>
      <c r="B16" s="79"/>
      <c r="C16" s="80"/>
      <c r="D16" s="79"/>
      <c r="E16" s="80"/>
      <c r="F16" s="79"/>
      <c r="G16" s="86"/>
      <c r="H16" s="86"/>
      <c r="I16" s="82"/>
      <c r="J16" s="79"/>
      <c r="K16" s="79"/>
      <c r="L16" s="78">
        <f>IF($B16="","",IF($J16="Yes","COMPLETE",IF($I16="","NO DATE",IF($I16&lt;TODAY(),"OVERDUE",IF($I16-TODAY()&lt;=7,"THIS WEEK","SCHEDULED")))))</f>
      </c>
      <c r="M16" s="80"/>
      <c r="N16" s="78">
        <f>IF($B16="",0,IF(COUNTIF('DONATIONS + GIVING'!$B$6:$B$65,$B16)&gt;1,1,0))</f>
      </c>
      <c r="O16" s="78">
        <f>IF(OR(N($G16)&gt;0,N($H16)&gt;0),IF($F16="",1,IF(COUNTIF('MASTER BUDGET'!$D$6:$D$25,$F16)=0,1,0)),0)</f>
      </c>
      <c r="P16" s="75"/>
    </row>
    <row r="17" ht="17" customHeight="1" spans="1:16" x14ac:dyDescent="0.25">
      <c r="A17" s="75"/>
      <c r="B17" s="79"/>
      <c r="C17" s="80"/>
      <c r="D17" s="79"/>
      <c r="E17" s="80"/>
      <c r="F17" s="79"/>
      <c r="G17" s="86"/>
      <c r="H17" s="86"/>
      <c r="I17" s="82"/>
      <c r="J17" s="79"/>
      <c r="K17" s="79"/>
      <c r="L17" s="78">
        <f>IF($B17="","",IF($J17="Yes","COMPLETE",IF($I17="","NO DATE",IF($I17&lt;TODAY(),"OVERDUE",IF($I17-TODAY()&lt;=7,"THIS WEEK","SCHEDULED")))))</f>
      </c>
      <c r="M17" s="80"/>
      <c r="N17" s="78">
        <f>IF($B17="",0,IF(COUNTIF('DONATIONS + GIVING'!$B$6:$B$65,$B17)&gt;1,1,0))</f>
      </c>
      <c r="O17" s="78">
        <f>IF(OR(N($G17)&gt;0,N($H17)&gt;0),IF($F17="",1,IF(COUNTIF('MASTER BUDGET'!$D$6:$D$25,$F17)=0,1,0)),0)</f>
      </c>
      <c r="P17" s="75"/>
    </row>
    <row r="18" ht="17" customHeight="1" spans="1:16" x14ac:dyDescent="0.25">
      <c r="A18" s="75"/>
      <c r="B18" s="79"/>
      <c r="C18" s="80"/>
      <c r="D18" s="79"/>
      <c r="E18" s="80"/>
      <c r="F18" s="79"/>
      <c r="G18" s="86"/>
      <c r="H18" s="86"/>
      <c r="I18" s="82"/>
      <c r="J18" s="79"/>
      <c r="K18" s="79"/>
      <c r="L18" s="78">
        <f>IF($B18="","",IF($J18="Yes","COMPLETE",IF($I18="","NO DATE",IF($I18&lt;TODAY(),"OVERDUE",IF($I18-TODAY()&lt;=7,"THIS WEEK","SCHEDULED")))))</f>
      </c>
      <c r="M18" s="80"/>
      <c r="N18" s="78">
        <f>IF($B18="",0,IF(COUNTIF('DONATIONS + GIVING'!$B$6:$B$65,$B18)&gt;1,1,0))</f>
      </c>
      <c r="O18" s="78">
        <f>IF(OR(N($G18)&gt;0,N($H18)&gt;0),IF($F18="",1,IF(COUNTIF('MASTER BUDGET'!$D$6:$D$25,$F18)=0,1,0)),0)</f>
      </c>
      <c r="P18" s="75"/>
    </row>
    <row r="19" ht="17" customHeight="1" spans="1:16" x14ac:dyDescent="0.25">
      <c r="A19" s="75"/>
      <c r="B19" s="79"/>
      <c r="C19" s="80"/>
      <c r="D19" s="79"/>
      <c r="E19" s="80"/>
      <c r="F19" s="79"/>
      <c r="G19" s="86"/>
      <c r="H19" s="86"/>
      <c r="I19" s="82"/>
      <c r="J19" s="79"/>
      <c r="K19" s="79"/>
      <c r="L19" s="78">
        <f>IF($B19="","",IF($J19="Yes","COMPLETE",IF($I19="","NO DATE",IF($I19&lt;TODAY(),"OVERDUE",IF($I19-TODAY()&lt;=7,"THIS WEEK","SCHEDULED")))))</f>
      </c>
      <c r="M19" s="80"/>
      <c r="N19" s="78">
        <f>IF($B19="",0,IF(COUNTIF('DONATIONS + GIVING'!$B$6:$B$65,$B19)&gt;1,1,0))</f>
      </c>
      <c r="O19" s="78">
        <f>IF(OR(N($G19)&gt;0,N($H19)&gt;0),IF($F19="",1,IF(COUNTIF('MASTER BUDGET'!$D$6:$D$25,$F19)=0,1,0)),0)</f>
      </c>
      <c r="P19" s="75"/>
    </row>
    <row r="20" ht="17" customHeight="1" spans="1:16" x14ac:dyDescent="0.25">
      <c r="A20" s="75"/>
      <c r="B20" s="79"/>
      <c r="C20" s="80"/>
      <c r="D20" s="79"/>
      <c r="E20" s="80"/>
      <c r="F20" s="79"/>
      <c r="G20" s="86"/>
      <c r="H20" s="86"/>
      <c r="I20" s="82"/>
      <c r="J20" s="79"/>
      <c r="K20" s="79"/>
      <c r="L20" s="78">
        <f>IF($B20="","",IF($J20="Yes","COMPLETE",IF($I20="","NO DATE",IF($I20&lt;TODAY(),"OVERDUE",IF($I20-TODAY()&lt;=7,"THIS WEEK","SCHEDULED")))))</f>
      </c>
      <c r="M20" s="80"/>
      <c r="N20" s="78">
        <f>IF($B20="",0,IF(COUNTIF('DONATIONS + GIVING'!$B$6:$B$65,$B20)&gt;1,1,0))</f>
      </c>
      <c r="O20" s="78">
        <f>IF(OR(N($G20)&gt;0,N($H20)&gt;0),IF($F20="",1,IF(COUNTIF('MASTER BUDGET'!$D$6:$D$25,$F20)=0,1,0)),0)</f>
      </c>
      <c r="P20" s="75"/>
    </row>
    <row r="21" ht="17" customHeight="1" spans="1:16" x14ac:dyDescent="0.25">
      <c r="A21" s="75"/>
      <c r="B21" s="79"/>
      <c r="C21" s="80"/>
      <c r="D21" s="79"/>
      <c r="E21" s="80"/>
      <c r="F21" s="79"/>
      <c r="G21" s="86"/>
      <c r="H21" s="86"/>
      <c r="I21" s="82"/>
      <c r="J21" s="79"/>
      <c r="K21" s="79"/>
      <c r="L21" s="78">
        <f>IF($B21="","",IF($J21="Yes","COMPLETE",IF($I21="","NO DATE",IF($I21&lt;TODAY(),"OVERDUE",IF($I21-TODAY()&lt;=7,"THIS WEEK","SCHEDULED")))))</f>
      </c>
      <c r="M21" s="80"/>
      <c r="N21" s="78">
        <f>IF($B21="",0,IF(COUNTIF('DONATIONS + GIVING'!$B$6:$B$65,$B21)&gt;1,1,0))</f>
      </c>
      <c r="O21" s="78">
        <f>IF(OR(N($G21)&gt;0,N($H21)&gt;0),IF($F21="",1,IF(COUNTIF('MASTER BUDGET'!$D$6:$D$25,$F21)=0,1,0)),0)</f>
      </c>
      <c r="P21" s="75"/>
    </row>
    <row r="22" ht="17" customHeight="1" spans="1:16" x14ac:dyDescent="0.25">
      <c r="A22" s="75"/>
      <c r="B22" s="79"/>
      <c r="C22" s="80"/>
      <c r="D22" s="79"/>
      <c r="E22" s="80"/>
      <c r="F22" s="79"/>
      <c r="G22" s="86"/>
      <c r="H22" s="86"/>
      <c r="I22" s="82"/>
      <c r="J22" s="79"/>
      <c r="K22" s="79"/>
      <c r="L22" s="78">
        <f>IF($B22="","",IF($J22="Yes","COMPLETE",IF($I22="","NO DATE",IF($I22&lt;TODAY(),"OVERDUE",IF($I22-TODAY()&lt;=7,"THIS WEEK","SCHEDULED")))))</f>
      </c>
      <c r="M22" s="80"/>
      <c r="N22" s="78">
        <f>IF($B22="",0,IF(COUNTIF('DONATIONS + GIVING'!$B$6:$B$65,$B22)&gt;1,1,0))</f>
      </c>
      <c r="O22" s="78">
        <f>IF(OR(N($G22)&gt;0,N($H22)&gt;0),IF($F22="",1,IF(COUNTIF('MASTER BUDGET'!$D$6:$D$25,$F22)=0,1,0)),0)</f>
      </c>
      <c r="P22" s="75"/>
    </row>
    <row r="23" ht="17" customHeight="1" spans="1:16" x14ac:dyDescent="0.25">
      <c r="A23" s="75"/>
      <c r="B23" s="79"/>
      <c r="C23" s="80"/>
      <c r="D23" s="79"/>
      <c r="E23" s="80"/>
      <c r="F23" s="79"/>
      <c r="G23" s="86"/>
      <c r="H23" s="86"/>
      <c r="I23" s="82"/>
      <c r="J23" s="79"/>
      <c r="K23" s="79"/>
      <c r="L23" s="78">
        <f>IF($B23="","",IF($J23="Yes","COMPLETE",IF($I23="","NO DATE",IF($I23&lt;TODAY(),"OVERDUE",IF($I23-TODAY()&lt;=7,"THIS WEEK","SCHEDULED")))))</f>
      </c>
      <c r="M23" s="80"/>
      <c r="N23" s="78">
        <f>IF($B23="",0,IF(COUNTIF('DONATIONS + GIVING'!$B$6:$B$65,$B23)&gt;1,1,0))</f>
      </c>
      <c r="O23" s="78">
        <f>IF(OR(N($G23)&gt;0,N($H23)&gt;0),IF($F23="",1,IF(COUNTIF('MASTER BUDGET'!$D$6:$D$25,$F23)=0,1,0)),0)</f>
      </c>
      <c r="P23" s="75"/>
    </row>
    <row r="24" ht="17" customHeight="1" spans="1:16" x14ac:dyDescent="0.25">
      <c r="A24" s="75"/>
      <c r="B24" s="79"/>
      <c r="C24" s="80"/>
      <c r="D24" s="79"/>
      <c r="E24" s="80"/>
      <c r="F24" s="79"/>
      <c r="G24" s="86"/>
      <c r="H24" s="86"/>
      <c r="I24" s="82"/>
      <c r="J24" s="79"/>
      <c r="K24" s="79"/>
      <c r="L24" s="78">
        <f>IF($B24="","",IF($J24="Yes","COMPLETE",IF($I24="","NO DATE",IF($I24&lt;TODAY(),"OVERDUE",IF($I24-TODAY()&lt;=7,"THIS WEEK","SCHEDULED")))))</f>
      </c>
      <c r="M24" s="80"/>
      <c r="N24" s="78">
        <f>IF($B24="",0,IF(COUNTIF('DONATIONS + GIVING'!$B$6:$B$65,$B24)&gt;1,1,0))</f>
      </c>
      <c r="O24" s="78">
        <f>IF(OR(N($G24)&gt;0,N($H24)&gt;0),IF($F24="",1,IF(COUNTIF('MASTER BUDGET'!$D$6:$D$25,$F24)=0,1,0)),0)</f>
      </c>
      <c r="P24" s="75"/>
    </row>
    <row r="25" ht="17" customHeight="1" spans="1:16" x14ac:dyDescent="0.25">
      <c r="A25" s="75"/>
      <c r="B25" s="79"/>
      <c r="C25" s="80"/>
      <c r="D25" s="79"/>
      <c r="E25" s="80"/>
      <c r="F25" s="79"/>
      <c r="G25" s="86"/>
      <c r="H25" s="86"/>
      <c r="I25" s="82"/>
      <c r="J25" s="79"/>
      <c r="K25" s="79"/>
      <c r="L25" s="78">
        <f>IF($B25="","",IF($J25="Yes","COMPLETE",IF($I25="","NO DATE",IF($I25&lt;TODAY(),"OVERDUE",IF($I25-TODAY()&lt;=7,"THIS WEEK","SCHEDULED")))))</f>
      </c>
      <c r="M25" s="80"/>
      <c r="N25" s="78">
        <f>IF($B25="",0,IF(COUNTIF('DONATIONS + GIVING'!$B$6:$B$65,$B25)&gt;1,1,0))</f>
      </c>
      <c r="O25" s="78">
        <f>IF(OR(N($G25)&gt;0,N($H25)&gt;0),IF($F25="",1,IF(COUNTIF('MASTER BUDGET'!$D$6:$D$25,$F25)=0,1,0)),0)</f>
      </c>
      <c r="P25" s="75"/>
    </row>
    <row r="26" ht="17" customHeight="1" spans="1:16" x14ac:dyDescent="0.25">
      <c r="A26" s="75"/>
      <c r="B26" s="79"/>
      <c r="C26" s="80"/>
      <c r="D26" s="79"/>
      <c r="E26" s="80"/>
      <c r="F26" s="79"/>
      <c r="G26" s="86"/>
      <c r="H26" s="86"/>
      <c r="I26" s="82"/>
      <c r="J26" s="79"/>
      <c r="K26" s="79"/>
      <c r="L26" s="78">
        <f>IF($B26="","",IF($J26="Yes","COMPLETE",IF($I26="","NO DATE",IF($I26&lt;TODAY(),"OVERDUE",IF($I26-TODAY()&lt;=7,"THIS WEEK","SCHEDULED")))))</f>
      </c>
      <c r="M26" s="80"/>
      <c r="N26" s="78">
        <f>IF($B26="",0,IF(COUNTIF('DONATIONS + GIVING'!$B$6:$B$65,$B26)&gt;1,1,0))</f>
      </c>
      <c r="O26" s="78">
        <f>IF(OR(N($G26)&gt;0,N($H26)&gt;0),IF($F26="",1,IF(COUNTIF('MASTER BUDGET'!$D$6:$D$25,$F26)=0,1,0)),0)</f>
      </c>
      <c r="P26" s="75"/>
    </row>
    <row r="27" ht="17" customHeight="1" spans="1:16" x14ac:dyDescent="0.25">
      <c r="A27" s="75"/>
      <c r="B27" s="79"/>
      <c r="C27" s="80"/>
      <c r="D27" s="79"/>
      <c r="E27" s="80"/>
      <c r="F27" s="79"/>
      <c r="G27" s="86"/>
      <c r="H27" s="86"/>
      <c r="I27" s="82"/>
      <c r="J27" s="79"/>
      <c r="K27" s="79"/>
      <c r="L27" s="78">
        <f>IF($B27="","",IF($J27="Yes","COMPLETE",IF($I27="","NO DATE",IF($I27&lt;TODAY(),"OVERDUE",IF($I27-TODAY()&lt;=7,"THIS WEEK","SCHEDULED")))))</f>
      </c>
      <c r="M27" s="80"/>
      <c r="N27" s="78">
        <f>IF($B27="",0,IF(COUNTIF('DONATIONS + GIVING'!$B$6:$B$65,$B27)&gt;1,1,0))</f>
      </c>
      <c r="O27" s="78">
        <f>IF(OR(N($G27)&gt;0,N($H27)&gt;0),IF($F27="",1,IF(COUNTIF('MASTER BUDGET'!$D$6:$D$25,$F27)=0,1,0)),0)</f>
      </c>
      <c r="P27" s="75"/>
    </row>
    <row r="28" ht="17" customHeight="1" spans="1:16" x14ac:dyDescent="0.25">
      <c r="A28" s="75"/>
      <c r="B28" s="79"/>
      <c r="C28" s="80"/>
      <c r="D28" s="79"/>
      <c r="E28" s="80"/>
      <c r="F28" s="79"/>
      <c r="G28" s="86"/>
      <c r="H28" s="86"/>
      <c r="I28" s="82"/>
      <c r="J28" s="79"/>
      <c r="K28" s="79"/>
      <c r="L28" s="78">
        <f>IF($B28="","",IF($J28="Yes","COMPLETE",IF($I28="","NO DATE",IF($I28&lt;TODAY(),"OVERDUE",IF($I28-TODAY()&lt;=7,"THIS WEEK","SCHEDULED")))))</f>
      </c>
      <c r="M28" s="80"/>
      <c r="N28" s="78">
        <f>IF($B28="",0,IF(COUNTIF('DONATIONS + GIVING'!$B$6:$B$65,$B28)&gt;1,1,0))</f>
      </c>
      <c r="O28" s="78">
        <f>IF(OR(N($G28)&gt;0,N($H28)&gt;0),IF($F28="",1,IF(COUNTIF('MASTER BUDGET'!$D$6:$D$25,$F28)=0,1,0)),0)</f>
      </c>
      <c r="P28" s="75"/>
    </row>
    <row r="29" ht="17" customHeight="1" spans="1:16" x14ac:dyDescent="0.25">
      <c r="A29" s="75"/>
      <c r="B29" s="79"/>
      <c r="C29" s="80"/>
      <c r="D29" s="79"/>
      <c r="E29" s="80"/>
      <c r="F29" s="79"/>
      <c r="G29" s="86"/>
      <c r="H29" s="86"/>
      <c r="I29" s="82"/>
      <c r="J29" s="79"/>
      <c r="K29" s="79"/>
      <c r="L29" s="78">
        <f>IF($B29="","",IF($J29="Yes","COMPLETE",IF($I29="","NO DATE",IF($I29&lt;TODAY(),"OVERDUE",IF($I29-TODAY()&lt;=7,"THIS WEEK","SCHEDULED")))))</f>
      </c>
      <c r="M29" s="80"/>
      <c r="N29" s="78">
        <f>IF($B29="",0,IF(COUNTIF('DONATIONS + GIVING'!$B$6:$B$65,$B29)&gt;1,1,0))</f>
      </c>
      <c r="O29" s="78">
        <f>IF(OR(N($G29)&gt;0,N($H29)&gt;0),IF($F29="",1,IF(COUNTIF('MASTER BUDGET'!$D$6:$D$25,$F29)=0,1,0)),0)</f>
      </c>
      <c r="P29" s="75"/>
    </row>
    <row r="30" ht="17" customHeight="1" spans="1:16" x14ac:dyDescent="0.25">
      <c r="A30" s="75"/>
      <c r="B30" s="79"/>
      <c r="C30" s="80"/>
      <c r="D30" s="79"/>
      <c r="E30" s="80"/>
      <c r="F30" s="79"/>
      <c r="G30" s="86"/>
      <c r="H30" s="86"/>
      <c r="I30" s="82"/>
      <c r="J30" s="79"/>
      <c r="K30" s="79"/>
      <c r="L30" s="78">
        <f>IF($B30="","",IF($J30="Yes","COMPLETE",IF($I30="","NO DATE",IF($I30&lt;TODAY(),"OVERDUE",IF($I30-TODAY()&lt;=7,"THIS WEEK","SCHEDULED")))))</f>
      </c>
      <c r="M30" s="80"/>
      <c r="N30" s="78">
        <f>IF($B30="",0,IF(COUNTIF('DONATIONS + GIVING'!$B$6:$B$65,$B30)&gt;1,1,0))</f>
      </c>
      <c r="O30" s="78">
        <f>IF(OR(N($G30)&gt;0,N($H30)&gt;0),IF($F30="",1,IF(COUNTIF('MASTER BUDGET'!$D$6:$D$25,$F30)=0,1,0)),0)</f>
      </c>
      <c r="P30" s="75"/>
    </row>
    <row r="31" ht="17" customHeight="1" spans="1:16" x14ac:dyDescent="0.25">
      <c r="A31" s="75"/>
      <c r="B31" s="79"/>
      <c r="C31" s="80"/>
      <c r="D31" s="79"/>
      <c r="E31" s="80"/>
      <c r="F31" s="79"/>
      <c r="G31" s="86"/>
      <c r="H31" s="86"/>
      <c r="I31" s="82"/>
      <c r="J31" s="79"/>
      <c r="K31" s="79"/>
      <c r="L31" s="78">
        <f>IF($B31="","",IF($J31="Yes","COMPLETE",IF($I31="","NO DATE",IF($I31&lt;TODAY(),"OVERDUE",IF($I31-TODAY()&lt;=7,"THIS WEEK","SCHEDULED")))))</f>
      </c>
      <c r="M31" s="80"/>
      <c r="N31" s="78">
        <f>IF($B31="",0,IF(COUNTIF('DONATIONS + GIVING'!$B$6:$B$65,$B31)&gt;1,1,0))</f>
      </c>
      <c r="O31" s="78">
        <f>IF(OR(N($G31)&gt;0,N($H31)&gt;0),IF($F31="",1,IF(COUNTIF('MASTER BUDGET'!$D$6:$D$25,$F31)=0,1,0)),0)</f>
      </c>
      <c r="P31" s="75"/>
    </row>
    <row r="32" ht="17" customHeight="1" spans="1:16" x14ac:dyDescent="0.25">
      <c r="A32" s="75"/>
      <c r="B32" s="79"/>
      <c r="C32" s="80"/>
      <c r="D32" s="79"/>
      <c r="E32" s="80"/>
      <c r="F32" s="79"/>
      <c r="G32" s="86"/>
      <c r="H32" s="86"/>
      <c r="I32" s="82"/>
      <c r="J32" s="79"/>
      <c r="K32" s="79"/>
      <c r="L32" s="78">
        <f>IF($B32="","",IF($J32="Yes","COMPLETE",IF($I32="","NO DATE",IF($I32&lt;TODAY(),"OVERDUE",IF($I32-TODAY()&lt;=7,"THIS WEEK","SCHEDULED")))))</f>
      </c>
      <c r="M32" s="80"/>
      <c r="N32" s="78">
        <f>IF($B32="",0,IF(COUNTIF('DONATIONS + GIVING'!$B$6:$B$65,$B32)&gt;1,1,0))</f>
      </c>
      <c r="O32" s="78">
        <f>IF(OR(N($G32)&gt;0,N($H32)&gt;0),IF($F32="",1,IF(COUNTIF('MASTER BUDGET'!$D$6:$D$25,$F32)=0,1,0)),0)</f>
      </c>
      <c r="P32" s="75"/>
    </row>
    <row r="33" ht="17" customHeight="1" spans="1:16" x14ac:dyDescent="0.25">
      <c r="A33" s="75"/>
      <c r="B33" s="79"/>
      <c r="C33" s="80"/>
      <c r="D33" s="79"/>
      <c r="E33" s="80"/>
      <c r="F33" s="79"/>
      <c r="G33" s="86"/>
      <c r="H33" s="86"/>
      <c r="I33" s="82"/>
      <c r="J33" s="79"/>
      <c r="K33" s="79"/>
      <c r="L33" s="78">
        <f>IF($B33="","",IF($J33="Yes","COMPLETE",IF($I33="","NO DATE",IF($I33&lt;TODAY(),"OVERDUE",IF($I33-TODAY()&lt;=7,"THIS WEEK","SCHEDULED")))))</f>
      </c>
      <c r="M33" s="80"/>
      <c r="N33" s="78">
        <f>IF($B33="",0,IF(COUNTIF('DONATIONS + GIVING'!$B$6:$B$65,$B33)&gt;1,1,0))</f>
      </c>
      <c r="O33" s="78">
        <f>IF(OR(N($G33)&gt;0,N($H33)&gt;0),IF($F33="",1,IF(COUNTIF('MASTER BUDGET'!$D$6:$D$25,$F33)=0,1,0)),0)</f>
      </c>
      <c r="P33" s="75"/>
    </row>
    <row r="34" ht="17" customHeight="1" spans="1:16" x14ac:dyDescent="0.25">
      <c r="A34" s="75"/>
      <c r="B34" s="79"/>
      <c r="C34" s="80"/>
      <c r="D34" s="79"/>
      <c r="E34" s="80"/>
      <c r="F34" s="79"/>
      <c r="G34" s="86"/>
      <c r="H34" s="86"/>
      <c r="I34" s="82"/>
      <c r="J34" s="79"/>
      <c r="K34" s="79"/>
      <c r="L34" s="78">
        <f>IF($B34="","",IF($J34="Yes","COMPLETE",IF($I34="","NO DATE",IF($I34&lt;TODAY(),"OVERDUE",IF($I34-TODAY()&lt;=7,"THIS WEEK","SCHEDULED")))))</f>
      </c>
      <c r="M34" s="80"/>
      <c r="N34" s="78">
        <f>IF($B34="",0,IF(COUNTIF('DONATIONS + GIVING'!$B$6:$B$65,$B34)&gt;1,1,0))</f>
      </c>
      <c r="O34" s="78">
        <f>IF(OR(N($G34)&gt;0,N($H34)&gt;0),IF($F34="",1,IF(COUNTIF('MASTER BUDGET'!$D$6:$D$25,$F34)=0,1,0)),0)</f>
      </c>
      <c r="P34" s="75"/>
    </row>
    <row r="35" ht="17" customHeight="1" spans="1:16" x14ac:dyDescent="0.25">
      <c r="A35" s="75"/>
      <c r="B35" s="79"/>
      <c r="C35" s="80"/>
      <c r="D35" s="79"/>
      <c r="E35" s="80"/>
      <c r="F35" s="79"/>
      <c r="G35" s="86"/>
      <c r="H35" s="86"/>
      <c r="I35" s="82"/>
      <c r="J35" s="79"/>
      <c r="K35" s="79"/>
      <c r="L35" s="78">
        <f>IF($B35="","",IF($J35="Yes","COMPLETE",IF($I35="","NO DATE",IF($I35&lt;TODAY(),"OVERDUE",IF($I35-TODAY()&lt;=7,"THIS WEEK","SCHEDULED")))))</f>
      </c>
      <c r="M35" s="80"/>
      <c r="N35" s="78">
        <f>IF($B35="",0,IF(COUNTIF('DONATIONS + GIVING'!$B$6:$B$65,$B35)&gt;1,1,0))</f>
      </c>
      <c r="O35" s="78">
        <f>IF(OR(N($G35)&gt;0,N($H35)&gt;0),IF($F35="",1,IF(COUNTIF('MASTER BUDGET'!$D$6:$D$25,$F35)=0,1,0)),0)</f>
      </c>
      <c r="P35" s="75"/>
    </row>
    <row r="36" ht="17" customHeight="1" spans="1:16" x14ac:dyDescent="0.25">
      <c r="A36" s="75"/>
      <c r="B36" s="79"/>
      <c r="C36" s="80"/>
      <c r="D36" s="79"/>
      <c r="E36" s="80"/>
      <c r="F36" s="79"/>
      <c r="G36" s="86"/>
      <c r="H36" s="86"/>
      <c r="I36" s="82"/>
      <c r="J36" s="79"/>
      <c r="K36" s="79"/>
      <c r="L36" s="78">
        <f>IF($B36="","",IF($J36="Yes","COMPLETE",IF($I36="","NO DATE",IF($I36&lt;TODAY(),"OVERDUE",IF($I36-TODAY()&lt;=7,"THIS WEEK","SCHEDULED")))))</f>
      </c>
      <c r="M36" s="80"/>
      <c r="N36" s="78">
        <f>IF($B36="",0,IF(COUNTIF('DONATIONS + GIVING'!$B$6:$B$65,$B36)&gt;1,1,0))</f>
      </c>
      <c r="O36" s="78">
        <f>IF(OR(N($G36)&gt;0,N($H36)&gt;0),IF($F36="",1,IF(COUNTIF('MASTER BUDGET'!$D$6:$D$25,$F36)=0,1,0)),0)</f>
      </c>
      <c r="P36" s="75"/>
    </row>
    <row r="37" ht="17" customHeight="1" spans="1:16" x14ac:dyDescent="0.25">
      <c r="A37" s="75"/>
      <c r="B37" s="79"/>
      <c r="C37" s="80"/>
      <c r="D37" s="79"/>
      <c r="E37" s="80"/>
      <c r="F37" s="79"/>
      <c r="G37" s="86"/>
      <c r="H37" s="86"/>
      <c r="I37" s="82"/>
      <c r="J37" s="79"/>
      <c r="K37" s="79"/>
      <c r="L37" s="78">
        <f>IF($B37="","",IF($J37="Yes","COMPLETE",IF($I37="","NO DATE",IF($I37&lt;TODAY(),"OVERDUE",IF($I37-TODAY()&lt;=7,"THIS WEEK","SCHEDULED")))))</f>
      </c>
      <c r="M37" s="80"/>
      <c r="N37" s="78">
        <f>IF($B37="",0,IF(COUNTIF('DONATIONS + GIVING'!$B$6:$B$65,$B37)&gt;1,1,0))</f>
      </c>
      <c r="O37" s="78">
        <f>IF(OR(N($G37)&gt;0,N($H37)&gt;0),IF($F37="",1,IF(COUNTIF('MASTER BUDGET'!$D$6:$D$25,$F37)=0,1,0)),0)</f>
      </c>
      <c r="P37" s="75"/>
    </row>
    <row r="38" ht="17" customHeight="1" spans="1:16" x14ac:dyDescent="0.25">
      <c r="A38" s="75"/>
      <c r="B38" s="79"/>
      <c r="C38" s="80"/>
      <c r="D38" s="79"/>
      <c r="E38" s="80"/>
      <c r="F38" s="79"/>
      <c r="G38" s="86"/>
      <c r="H38" s="86"/>
      <c r="I38" s="82"/>
      <c r="J38" s="79"/>
      <c r="K38" s="79"/>
      <c r="L38" s="78">
        <f>IF($B38="","",IF($J38="Yes","COMPLETE",IF($I38="","NO DATE",IF($I38&lt;TODAY(),"OVERDUE",IF($I38-TODAY()&lt;=7,"THIS WEEK","SCHEDULED")))))</f>
      </c>
      <c r="M38" s="80"/>
      <c r="N38" s="78">
        <f>IF($B38="",0,IF(COUNTIF('DONATIONS + GIVING'!$B$6:$B$65,$B38)&gt;1,1,0))</f>
      </c>
      <c r="O38" s="78">
        <f>IF(OR(N($G38)&gt;0,N($H38)&gt;0),IF($F38="",1,IF(COUNTIF('MASTER BUDGET'!$D$6:$D$25,$F38)=0,1,0)),0)</f>
      </c>
      <c r="P38" s="75"/>
    </row>
    <row r="39" ht="17" customHeight="1" spans="1:16" x14ac:dyDescent="0.25">
      <c r="A39" s="75"/>
      <c r="B39" s="79"/>
      <c r="C39" s="80"/>
      <c r="D39" s="79"/>
      <c r="E39" s="80"/>
      <c r="F39" s="79"/>
      <c r="G39" s="86"/>
      <c r="H39" s="86"/>
      <c r="I39" s="82"/>
      <c r="J39" s="79"/>
      <c r="K39" s="79"/>
      <c r="L39" s="78">
        <f>IF($B39="","",IF($J39="Yes","COMPLETE",IF($I39="","NO DATE",IF($I39&lt;TODAY(),"OVERDUE",IF($I39-TODAY()&lt;=7,"THIS WEEK","SCHEDULED")))))</f>
      </c>
      <c r="M39" s="80"/>
      <c r="N39" s="78">
        <f>IF($B39="",0,IF(COUNTIF('DONATIONS + GIVING'!$B$6:$B$65,$B39)&gt;1,1,0))</f>
      </c>
      <c r="O39" s="78">
        <f>IF(OR(N($G39)&gt;0,N($H39)&gt;0),IF($F39="",1,IF(COUNTIF('MASTER BUDGET'!$D$6:$D$25,$F39)=0,1,0)),0)</f>
      </c>
      <c r="P39" s="75"/>
    </row>
    <row r="40" ht="17" customHeight="1" spans="1:16" x14ac:dyDescent="0.25">
      <c r="A40" s="75"/>
      <c r="B40" s="79"/>
      <c r="C40" s="80"/>
      <c r="D40" s="79"/>
      <c r="E40" s="80"/>
      <c r="F40" s="79"/>
      <c r="G40" s="86"/>
      <c r="H40" s="86"/>
      <c r="I40" s="82"/>
      <c r="J40" s="79"/>
      <c r="K40" s="79"/>
      <c r="L40" s="78">
        <f>IF($B40="","",IF($J40="Yes","COMPLETE",IF($I40="","NO DATE",IF($I40&lt;TODAY(),"OVERDUE",IF($I40-TODAY()&lt;=7,"THIS WEEK","SCHEDULED")))))</f>
      </c>
      <c r="M40" s="80"/>
      <c r="N40" s="78">
        <f>IF($B40="",0,IF(COUNTIF('DONATIONS + GIVING'!$B$6:$B$65,$B40)&gt;1,1,0))</f>
      </c>
      <c r="O40" s="78">
        <f>IF(OR(N($G40)&gt;0,N($H40)&gt;0),IF($F40="",1,IF(COUNTIF('MASTER BUDGET'!$D$6:$D$25,$F40)=0,1,0)),0)</f>
      </c>
      <c r="P40" s="75"/>
    </row>
    <row r="41" ht="17" customHeight="1" spans="1:16" x14ac:dyDescent="0.25">
      <c r="A41" s="75"/>
      <c r="B41" s="79"/>
      <c r="C41" s="80"/>
      <c r="D41" s="79"/>
      <c r="E41" s="80"/>
      <c r="F41" s="79"/>
      <c r="G41" s="86"/>
      <c r="H41" s="86"/>
      <c r="I41" s="82"/>
      <c r="J41" s="79"/>
      <c r="K41" s="79"/>
      <c r="L41" s="78">
        <f>IF($B41="","",IF($J41="Yes","COMPLETE",IF($I41="","NO DATE",IF($I41&lt;TODAY(),"OVERDUE",IF($I41-TODAY()&lt;=7,"THIS WEEK","SCHEDULED")))))</f>
      </c>
      <c r="M41" s="80"/>
      <c r="N41" s="78">
        <f>IF($B41="",0,IF(COUNTIF('DONATIONS + GIVING'!$B$6:$B$65,$B41)&gt;1,1,0))</f>
      </c>
      <c r="O41" s="78">
        <f>IF(OR(N($G41)&gt;0,N($H41)&gt;0),IF($F41="",1,IF(COUNTIF('MASTER BUDGET'!$D$6:$D$25,$F41)=0,1,0)),0)</f>
      </c>
      <c r="P41" s="75"/>
    </row>
    <row r="42" ht="17" customHeight="1" spans="1:16" x14ac:dyDescent="0.25">
      <c r="A42" s="75"/>
      <c r="B42" s="79"/>
      <c r="C42" s="80"/>
      <c r="D42" s="79"/>
      <c r="E42" s="80"/>
      <c r="F42" s="79"/>
      <c r="G42" s="86"/>
      <c r="H42" s="86"/>
      <c r="I42" s="82"/>
      <c r="J42" s="79"/>
      <c r="K42" s="79"/>
      <c r="L42" s="78">
        <f>IF($B42="","",IF($J42="Yes","COMPLETE",IF($I42="","NO DATE",IF($I42&lt;TODAY(),"OVERDUE",IF($I42-TODAY()&lt;=7,"THIS WEEK","SCHEDULED")))))</f>
      </c>
      <c r="M42" s="80"/>
      <c r="N42" s="78">
        <f>IF($B42="",0,IF(COUNTIF('DONATIONS + GIVING'!$B$6:$B$65,$B42)&gt;1,1,0))</f>
      </c>
      <c r="O42" s="78">
        <f>IF(OR(N($G42)&gt;0,N($H42)&gt;0),IF($F42="",1,IF(COUNTIF('MASTER BUDGET'!$D$6:$D$25,$F42)=0,1,0)),0)</f>
      </c>
      <c r="P42" s="75"/>
    </row>
    <row r="43" ht="17" customHeight="1" spans="1:16" x14ac:dyDescent="0.25">
      <c r="A43" s="75"/>
      <c r="B43" s="79"/>
      <c r="C43" s="80"/>
      <c r="D43" s="79"/>
      <c r="E43" s="80"/>
      <c r="F43" s="79"/>
      <c r="G43" s="86"/>
      <c r="H43" s="86"/>
      <c r="I43" s="82"/>
      <c r="J43" s="79"/>
      <c r="K43" s="79"/>
      <c r="L43" s="78">
        <f>IF($B43="","",IF($J43="Yes","COMPLETE",IF($I43="","NO DATE",IF($I43&lt;TODAY(),"OVERDUE",IF($I43-TODAY()&lt;=7,"THIS WEEK","SCHEDULED")))))</f>
      </c>
      <c r="M43" s="80"/>
      <c r="N43" s="78">
        <f>IF($B43="",0,IF(COUNTIF('DONATIONS + GIVING'!$B$6:$B$65,$B43)&gt;1,1,0))</f>
      </c>
      <c r="O43" s="78">
        <f>IF(OR(N($G43)&gt;0,N($H43)&gt;0),IF($F43="",1,IF(COUNTIF('MASTER BUDGET'!$D$6:$D$25,$F43)=0,1,0)),0)</f>
      </c>
      <c r="P43" s="75"/>
    </row>
    <row r="44" ht="17" customHeight="1" spans="1:16" x14ac:dyDescent="0.25">
      <c r="A44" s="75"/>
      <c r="B44" s="79"/>
      <c r="C44" s="80"/>
      <c r="D44" s="79"/>
      <c r="E44" s="80"/>
      <c r="F44" s="79"/>
      <c r="G44" s="86"/>
      <c r="H44" s="86"/>
      <c r="I44" s="82"/>
      <c r="J44" s="79"/>
      <c r="K44" s="79"/>
      <c r="L44" s="78">
        <f>IF($B44="","",IF($J44="Yes","COMPLETE",IF($I44="","NO DATE",IF($I44&lt;TODAY(),"OVERDUE",IF($I44-TODAY()&lt;=7,"THIS WEEK","SCHEDULED")))))</f>
      </c>
      <c r="M44" s="80"/>
      <c r="N44" s="78">
        <f>IF($B44="",0,IF(COUNTIF('DONATIONS + GIVING'!$B$6:$B$65,$B44)&gt;1,1,0))</f>
      </c>
      <c r="O44" s="78">
        <f>IF(OR(N($G44)&gt;0,N($H44)&gt;0),IF($F44="",1,IF(COUNTIF('MASTER BUDGET'!$D$6:$D$25,$F44)=0,1,0)),0)</f>
      </c>
      <c r="P44" s="75"/>
    </row>
    <row r="45" ht="17" customHeight="1" spans="1:16" x14ac:dyDescent="0.25">
      <c r="A45" s="75"/>
      <c r="B45" s="79"/>
      <c r="C45" s="80"/>
      <c r="D45" s="79"/>
      <c r="E45" s="80"/>
      <c r="F45" s="79"/>
      <c r="G45" s="86"/>
      <c r="H45" s="86"/>
      <c r="I45" s="82"/>
      <c r="J45" s="79"/>
      <c r="K45" s="79"/>
      <c r="L45" s="78">
        <f>IF($B45="","",IF($J45="Yes","COMPLETE",IF($I45="","NO DATE",IF($I45&lt;TODAY(),"OVERDUE",IF($I45-TODAY()&lt;=7,"THIS WEEK","SCHEDULED")))))</f>
      </c>
      <c r="M45" s="80"/>
      <c r="N45" s="78">
        <f>IF($B45="",0,IF(COUNTIF('DONATIONS + GIVING'!$B$6:$B$65,$B45)&gt;1,1,0))</f>
      </c>
      <c r="O45" s="78">
        <f>IF(OR(N($G45)&gt;0,N($H45)&gt;0),IF($F45="",1,IF(COUNTIF('MASTER BUDGET'!$D$6:$D$25,$F45)=0,1,0)),0)</f>
      </c>
      <c r="P45" s="75"/>
    </row>
    <row r="46" ht="17" customHeight="1" spans="1:16" x14ac:dyDescent="0.25">
      <c r="A46" s="75"/>
      <c r="B46" s="79"/>
      <c r="C46" s="80"/>
      <c r="D46" s="79"/>
      <c r="E46" s="80"/>
      <c r="F46" s="79"/>
      <c r="G46" s="86"/>
      <c r="H46" s="86"/>
      <c r="I46" s="82"/>
      <c r="J46" s="79"/>
      <c r="K46" s="79"/>
      <c r="L46" s="78">
        <f>IF($B46="","",IF($J46="Yes","COMPLETE",IF($I46="","NO DATE",IF($I46&lt;TODAY(),"OVERDUE",IF($I46-TODAY()&lt;=7,"THIS WEEK","SCHEDULED")))))</f>
      </c>
      <c r="M46" s="80"/>
      <c r="N46" s="78">
        <f>IF($B46="",0,IF(COUNTIF('DONATIONS + GIVING'!$B$6:$B$65,$B46)&gt;1,1,0))</f>
      </c>
      <c r="O46" s="78">
        <f>IF(OR(N($G46)&gt;0,N($H46)&gt;0),IF($F46="",1,IF(COUNTIF('MASTER BUDGET'!$D$6:$D$25,$F46)=0,1,0)),0)</f>
      </c>
      <c r="P46" s="75"/>
    </row>
    <row r="47" ht="17" customHeight="1" spans="1:16" x14ac:dyDescent="0.25">
      <c r="A47" s="75"/>
      <c r="B47" s="79"/>
      <c r="C47" s="80"/>
      <c r="D47" s="79"/>
      <c r="E47" s="80"/>
      <c r="F47" s="79"/>
      <c r="G47" s="86"/>
      <c r="H47" s="86"/>
      <c r="I47" s="82"/>
      <c r="J47" s="79"/>
      <c r="K47" s="79"/>
      <c r="L47" s="78">
        <f>IF($B47="","",IF($J47="Yes","COMPLETE",IF($I47="","NO DATE",IF($I47&lt;TODAY(),"OVERDUE",IF($I47-TODAY()&lt;=7,"THIS WEEK","SCHEDULED")))))</f>
      </c>
      <c r="M47" s="80"/>
      <c r="N47" s="78">
        <f>IF($B47="",0,IF(COUNTIF('DONATIONS + GIVING'!$B$6:$B$65,$B47)&gt;1,1,0))</f>
      </c>
      <c r="O47" s="78">
        <f>IF(OR(N($G47)&gt;0,N($H47)&gt;0),IF($F47="",1,IF(COUNTIF('MASTER BUDGET'!$D$6:$D$25,$F47)=0,1,0)),0)</f>
      </c>
      <c r="P47" s="75"/>
    </row>
    <row r="48" ht="17" customHeight="1" spans="1:16" x14ac:dyDescent="0.25">
      <c r="A48" s="75"/>
      <c r="B48" s="79"/>
      <c r="C48" s="80"/>
      <c r="D48" s="79"/>
      <c r="E48" s="80"/>
      <c r="F48" s="79"/>
      <c r="G48" s="86"/>
      <c r="H48" s="86"/>
      <c r="I48" s="82"/>
      <c r="J48" s="79"/>
      <c r="K48" s="79"/>
      <c r="L48" s="78">
        <f>IF($B48="","",IF($J48="Yes","COMPLETE",IF($I48="","NO DATE",IF($I48&lt;TODAY(),"OVERDUE",IF($I48-TODAY()&lt;=7,"THIS WEEK","SCHEDULED")))))</f>
      </c>
      <c r="M48" s="80"/>
      <c r="N48" s="78">
        <f>IF($B48="",0,IF(COUNTIF('DONATIONS + GIVING'!$B$6:$B$65,$B48)&gt;1,1,0))</f>
      </c>
      <c r="O48" s="78">
        <f>IF(OR(N($G48)&gt;0,N($H48)&gt;0),IF($F48="",1,IF(COUNTIF('MASTER BUDGET'!$D$6:$D$25,$F48)=0,1,0)),0)</f>
      </c>
      <c r="P48" s="75"/>
    </row>
    <row r="49" ht="17" customHeight="1" spans="1:16" x14ac:dyDescent="0.25">
      <c r="A49" s="75"/>
      <c r="B49" s="79"/>
      <c r="C49" s="80"/>
      <c r="D49" s="79"/>
      <c r="E49" s="80"/>
      <c r="F49" s="79"/>
      <c r="G49" s="86"/>
      <c r="H49" s="86"/>
      <c r="I49" s="82"/>
      <c r="J49" s="79"/>
      <c r="K49" s="79"/>
      <c r="L49" s="78">
        <f>IF($B49="","",IF($J49="Yes","COMPLETE",IF($I49="","NO DATE",IF($I49&lt;TODAY(),"OVERDUE",IF($I49-TODAY()&lt;=7,"THIS WEEK","SCHEDULED")))))</f>
      </c>
      <c r="M49" s="80"/>
      <c r="N49" s="78">
        <f>IF($B49="",0,IF(COUNTIF('DONATIONS + GIVING'!$B$6:$B$65,$B49)&gt;1,1,0))</f>
      </c>
      <c r="O49" s="78">
        <f>IF(OR(N($G49)&gt;0,N($H49)&gt;0),IF($F49="",1,IF(COUNTIF('MASTER BUDGET'!$D$6:$D$25,$F49)=0,1,0)),0)</f>
      </c>
      <c r="P49" s="75"/>
    </row>
    <row r="50" ht="17" customHeight="1" spans="1:16" x14ac:dyDescent="0.25">
      <c r="A50" s="75"/>
      <c r="B50" s="79"/>
      <c r="C50" s="80"/>
      <c r="D50" s="79"/>
      <c r="E50" s="80"/>
      <c r="F50" s="79"/>
      <c r="G50" s="86"/>
      <c r="H50" s="86"/>
      <c r="I50" s="82"/>
      <c r="J50" s="79"/>
      <c r="K50" s="79"/>
      <c r="L50" s="78">
        <f>IF($B50="","",IF($J50="Yes","COMPLETE",IF($I50="","NO DATE",IF($I50&lt;TODAY(),"OVERDUE",IF($I50-TODAY()&lt;=7,"THIS WEEK","SCHEDULED")))))</f>
      </c>
      <c r="M50" s="80"/>
      <c r="N50" s="78">
        <f>IF($B50="",0,IF(COUNTIF('DONATIONS + GIVING'!$B$6:$B$65,$B50)&gt;1,1,0))</f>
      </c>
      <c r="O50" s="78">
        <f>IF(OR(N($G50)&gt;0,N($H50)&gt;0),IF($F50="",1,IF(COUNTIF('MASTER BUDGET'!$D$6:$D$25,$F50)=0,1,0)),0)</f>
      </c>
      <c r="P50" s="75"/>
    </row>
    <row r="51" ht="17" customHeight="1" spans="1:16" x14ac:dyDescent="0.25">
      <c r="A51" s="75"/>
      <c r="B51" s="79"/>
      <c r="C51" s="80"/>
      <c r="D51" s="79"/>
      <c r="E51" s="80"/>
      <c r="F51" s="79"/>
      <c r="G51" s="86"/>
      <c r="H51" s="86"/>
      <c r="I51" s="82"/>
      <c r="J51" s="79"/>
      <c r="K51" s="79"/>
      <c r="L51" s="78">
        <f>IF($B51="","",IF($J51="Yes","COMPLETE",IF($I51="","NO DATE",IF($I51&lt;TODAY(),"OVERDUE",IF($I51-TODAY()&lt;=7,"THIS WEEK","SCHEDULED")))))</f>
      </c>
      <c r="M51" s="80"/>
      <c r="N51" s="78">
        <f>IF($B51="",0,IF(COUNTIF('DONATIONS + GIVING'!$B$6:$B$65,$B51)&gt;1,1,0))</f>
      </c>
      <c r="O51" s="78">
        <f>IF(OR(N($G51)&gt;0,N($H51)&gt;0),IF($F51="",1,IF(COUNTIF('MASTER BUDGET'!$D$6:$D$25,$F51)=0,1,0)),0)</f>
      </c>
      <c r="P51" s="75"/>
    </row>
    <row r="52" ht="17" customHeight="1" spans="1:16" x14ac:dyDescent="0.25">
      <c r="A52" s="75"/>
      <c r="B52" s="79"/>
      <c r="C52" s="80"/>
      <c r="D52" s="79"/>
      <c r="E52" s="80"/>
      <c r="F52" s="79"/>
      <c r="G52" s="86"/>
      <c r="H52" s="86"/>
      <c r="I52" s="82"/>
      <c r="J52" s="79"/>
      <c r="K52" s="79"/>
      <c r="L52" s="78">
        <f>IF($B52="","",IF($J52="Yes","COMPLETE",IF($I52="","NO DATE",IF($I52&lt;TODAY(),"OVERDUE",IF($I52-TODAY()&lt;=7,"THIS WEEK","SCHEDULED")))))</f>
      </c>
      <c r="M52" s="80"/>
      <c r="N52" s="78">
        <f>IF($B52="",0,IF(COUNTIF('DONATIONS + GIVING'!$B$6:$B$65,$B52)&gt;1,1,0))</f>
      </c>
      <c r="O52" s="78">
        <f>IF(OR(N($G52)&gt;0,N($H52)&gt;0),IF($F52="",1,IF(COUNTIF('MASTER BUDGET'!$D$6:$D$25,$F52)=0,1,0)),0)</f>
      </c>
      <c r="P52" s="75"/>
    </row>
    <row r="53" ht="17" customHeight="1" spans="1:16" x14ac:dyDescent="0.25">
      <c r="A53" s="75"/>
      <c r="B53" s="79"/>
      <c r="C53" s="80"/>
      <c r="D53" s="79"/>
      <c r="E53" s="80"/>
      <c r="F53" s="79"/>
      <c r="G53" s="86"/>
      <c r="H53" s="86"/>
      <c r="I53" s="82"/>
      <c r="J53" s="79"/>
      <c r="K53" s="79"/>
      <c r="L53" s="78">
        <f>IF($B53="","",IF($J53="Yes","COMPLETE",IF($I53="","NO DATE",IF($I53&lt;TODAY(),"OVERDUE",IF($I53-TODAY()&lt;=7,"THIS WEEK","SCHEDULED")))))</f>
      </c>
      <c r="M53" s="80"/>
      <c r="N53" s="78">
        <f>IF($B53="",0,IF(COUNTIF('DONATIONS + GIVING'!$B$6:$B$65,$B53)&gt;1,1,0))</f>
      </c>
      <c r="O53" s="78">
        <f>IF(OR(N($G53)&gt;0,N($H53)&gt;0),IF($F53="",1,IF(COUNTIF('MASTER BUDGET'!$D$6:$D$25,$F53)=0,1,0)),0)</f>
      </c>
      <c r="P53" s="75"/>
    </row>
    <row r="54" ht="17" customHeight="1" spans="1:16" x14ac:dyDescent="0.25">
      <c r="A54" s="75"/>
      <c r="B54" s="79"/>
      <c r="C54" s="80"/>
      <c r="D54" s="79"/>
      <c r="E54" s="80"/>
      <c r="F54" s="79"/>
      <c r="G54" s="86"/>
      <c r="H54" s="86"/>
      <c r="I54" s="82"/>
      <c r="J54" s="79"/>
      <c r="K54" s="79"/>
      <c r="L54" s="78">
        <f>IF($B54="","",IF($J54="Yes","COMPLETE",IF($I54="","NO DATE",IF($I54&lt;TODAY(),"OVERDUE",IF($I54-TODAY()&lt;=7,"THIS WEEK","SCHEDULED")))))</f>
      </c>
      <c r="M54" s="80"/>
      <c r="N54" s="78">
        <f>IF($B54="",0,IF(COUNTIF('DONATIONS + GIVING'!$B$6:$B$65,$B54)&gt;1,1,0))</f>
      </c>
      <c r="O54" s="78">
        <f>IF(OR(N($G54)&gt;0,N($H54)&gt;0),IF($F54="",1,IF(COUNTIF('MASTER BUDGET'!$D$6:$D$25,$F54)=0,1,0)),0)</f>
      </c>
      <c r="P54" s="75"/>
    </row>
    <row r="55" ht="17" customHeight="1" spans="1:16" x14ac:dyDescent="0.25">
      <c r="A55" s="75"/>
      <c r="B55" s="79"/>
      <c r="C55" s="80"/>
      <c r="D55" s="79"/>
      <c r="E55" s="80"/>
      <c r="F55" s="79"/>
      <c r="G55" s="86"/>
      <c r="H55" s="86"/>
      <c r="I55" s="82"/>
      <c r="J55" s="79"/>
      <c r="K55" s="79"/>
      <c r="L55" s="78">
        <f>IF($B55="","",IF($J55="Yes","COMPLETE",IF($I55="","NO DATE",IF($I55&lt;TODAY(),"OVERDUE",IF($I55-TODAY()&lt;=7,"THIS WEEK","SCHEDULED")))))</f>
      </c>
      <c r="M55" s="80"/>
      <c r="N55" s="78">
        <f>IF($B55="",0,IF(COUNTIF('DONATIONS + GIVING'!$B$6:$B$65,$B55)&gt;1,1,0))</f>
      </c>
      <c r="O55" s="78">
        <f>IF(OR(N($G55)&gt;0,N($H55)&gt;0),IF($F55="",1,IF(COUNTIF('MASTER BUDGET'!$D$6:$D$25,$F55)=0,1,0)),0)</f>
      </c>
      <c r="P55" s="75"/>
    </row>
    <row r="56" ht="17" customHeight="1" spans="1:16" x14ac:dyDescent="0.25">
      <c r="A56" s="75"/>
      <c r="B56" s="79"/>
      <c r="C56" s="80"/>
      <c r="D56" s="79"/>
      <c r="E56" s="80"/>
      <c r="F56" s="79"/>
      <c r="G56" s="86"/>
      <c r="H56" s="86"/>
      <c r="I56" s="82"/>
      <c r="J56" s="79"/>
      <c r="K56" s="79"/>
      <c r="L56" s="78">
        <f>IF($B56="","",IF($J56="Yes","COMPLETE",IF($I56="","NO DATE",IF($I56&lt;TODAY(),"OVERDUE",IF($I56-TODAY()&lt;=7,"THIS WEEK","SCHEDULED")))))</f>
      </c>
      <c r="M56" s="80"/>
      <c r="N56" s="78">
        <f>IF($B56="",0,IF(COUNTIF('DONATIONS + GIVING'!$B$6:$B$65,$B56)&gt;1,1,0))</f>
      </c>
      <c r="O56" s="78">
        <f>IF(OR(N($G56)&gt;0,N($H56)&gt;0),IF($F56="",1,IF(COUNTIF('MASTER BUDGET'!$D$6:$D$25,$F56)=0,1,0)),0)</f>
      </c>
      <c r="P56" s="75"/>
    </row>
    <row r="57" ht="17" customHeight="1" spans="1:16" x14ac:dyDescent="0.25">
      <c r="A57" s="75"/>
      <c r="B57" s="79"/>
      <c r="C57" s="80"/>
      <c r="D57" s="79"/>
      <c r="E57" s="80"/>
      <c r="F57" s="79"/>
      <c r="G57" s="86"/>
      <c r="H57" s="86"/>
      <c r="I57" s="82"/>
      <c r="J57" s="79"/>
      <c r="K57" s="79"/>
      <c r="L57" s="78">
        <f>IF($B57="","",IF($J57="Yes","COMPLETE",IF($I57="","NO DATE",IF($I57&lt;TODAY(),"OVERDUE",IF($I57-TODAY()&lt;=7,"THIS WEEK","SCHEDULED")))))</f>
      </c>
      <c r="M57" s="80"/>
      <c r="N57" s="78">
        <f>IF($B57="",0,IF(COUNTIF('DONATIONS + GIVING'!$B$6:$B$65,$B57)&gt;1,1,0))</f>
      </c>
      <c r="O57" s="78">
        <f>IF(OR(N($G57)&gt;0,N($H57)&gt;0),IF($F57="",1,IF(COUNTIF('MASTER BUDGET'!$D$6:$D$25,$F57)=0,1,0)),0)</f>
      </c>
      <c r="P57" s="75"/>
    </row>
    <row r="58" ht="17" customHeight="1" spans="1:16" x14ac:dyDescent="0.25">
      <c r="A58" s="75"/>
      <c r="B58" s="79"/>
      <c r="C58" s="80"/>
      <c r="D58" s="79"/>
      <c r="E58" s="80"/>
      <c r="F58" s="79"/>
      <c r="G58" s="86"/>
      <c r="H58" s="86"/>
      <c r="I58" s="82"/>
      <c r="J58" s="79"/>
      <c r="K58" s="79"/>
      <c r="L58" s="78">
        <f>IF($B58="","",IF($J58="Yes","COMPLETE",IF($I58="","NO DATE",IF($I58&lt;TODAY(),"OVERDUE",IF($I58-TODAY()&lt;=7,"THIS WEEK","SCHEDULED")))))</f>
      </c>
      <c r="M58" s="80"/>
      <c r="N58" s="78">
        <f>IF($B58="",0,IF(COUNTIF('DONATIONS + GIVING'!$B$6:$B$65,$B58)&gt;1,1,0))</f>
      </c>
      <c r="O58" s="78">
        <f>IF(OR(N($G58)&gt;0,N($H58)&gt;0),IF($F58="",1,IF(COUNTIF('MASTER BUDGET'!$D$6:$D$25,$F58)=0,1,0)),0)</f>
      </c>
      <c r="P58" s="75"/>
    </row>
    <row r="59" ht="17" customHeight="1" spans="1:16" x14ac:dyDescent="0.25">
      <c r="A59" s="75"/>
      <c r="B59" s="79"/>
      <c r="C59" s="80"/>
      <c r="D59" s="79"/>
      <c r="E59" s="80"/>
      <c r="F59" s="79"/>
      <c r="G59" s="86"/>
      <c r="H59" s="86"/>
      <c r="I59" s="82"/>
      <c r="J59" s="79"/>
      <c r="K59" s="79"/>
      <c r="L59" s="78">
        <f>IF($B59="","",IF($J59="Yes","COMPLETE",IF($I59="","NO DATE",IF($I59&lt;TODAY(),"OVERDUE",IF($I59-TODAY()&lt;=7,"THIS WEEK","SCHEDULED")))))</f>
      </c>
      <c r="M59" s="80"/>
      <c r="N59" s="78">
        <f>IF($B59="",0,IF(COUNTIF('DONATIONS + GIVING'!$B$6:$B$65,$B59)&gt;1,1,0))</f>
      </c>
      <c r="O59" s="78">
        <f>IF(OR(N($G59)&gt;0,N($H59)&gt;0),IF($F59="",1,IF(COUNTIF('MASTER BUDGET'!$D$6:$D$25,$F59)=0,1,0)),0)</f>
      </c>
      <c r="P59" s="75"/>
    </row>
    <row r="60" ht="17" customHeight="1" spans="1:16" x14ac:dyDescent="0.25">
      <c r="A60" s="75"/>
      <c r="B60" s="79"/>
      <c r="C60" s="80"/>
      <c r="D60" s="79"/>
      <c r="E60" s="80"/>
      <c r="F60" s="79"/>
      <c r="G60" s="86"/>
      <c r="H60" s="86"/>
      <c r="I60" s="82"/>
      <c r="J60" s="79"/>
      <c r="K60" s="79"/>
      <c r="L60" s="78">
        <f>IF($B60="","",IF($J60="Yes","COMPLETE",IF($I60="","NO DATE",IF($I60&lt;TODAY(),"OVERDUE",IF($I60-TODAY()&lt;=7,"THIS WEEK","SCHEDULED")))))</f>
      </c>
      <c r="M60" s="80"/>
      <c r="N60" s="78">
        <f>IF($B60="",0,IF(COUNTIF('DONATIONS + GIVING'!$B$6:$B$65,$B60)&gt;1,1,0))</f>
      </c>
      <c r="O60" s="78">
        <f>IF(OR(N($G60)&gt;0,N($H60)&gt;0),IF($F60="",1,IF(COUNTIF('MASTER BUDGET'!$D$6:$D$25,$F60)=0,1,0)),0)</f>
      </c>
      <c r="P60" s="75"/>
    </row>
    <row r="61" ht="17" customHeight="1" spans="1:16" x14ac:dyDescent="0.25">
      <c r="A61" s="75"/>
      <c r="B61" s="79"/>
      <c r="C61" s="80"/>
      <c r="D61" s="79"/>
      <c r="E61" s="80"/>
      <c r="F61" s="79"/>
      <c r="G61" s="86"/>
      <c r="H61" s="86"/>
      <c r="I61" s="82"/>
      <c r="J61" s="79"/>
      <c r="K61" s="79"/>
      <c r="L61" s="78">
        <f>IF($B61="","",IF($J61="Yes","COMPLETE",IF($I61="","NO DATE",IF($I61&lt;TODAY(),"OVERDUE",IF($I61-TODAY()&lt;=7,"THIS WEEK","SCHEDULED")))))</f>
      </c>
      <c r="M61" s="80"/>
      <c r="N61" s="78">
        <f>IF($B61="",0,IF(COUNTIF('DONATIONS + GIVING'!$B$6:$B$65,$B61)&gt;1,1,0))</f>
      </c>
      <c r="O61" s="78">
        <f>IF(OR(N($G61)&gt;0,N($H61)&gt;0),IF($F61="",1,IF(COUNTIF('MASTER BUDGET'!$D$6:$D$25,$F61)=0,1,0)),0)</f>
      </c>
      <c r="P61" s="75"/>
    </row>
    <row r="62" ht="17" customHeight="1" spans="1:16" x14ac:dyDescent="0.25">
      <c r="A62" s="75"/>
      <c r="B62" s="79"/>
      <c r="C62" s="80"/>
      <c r="D62" s="79"/>
      <c r="E62" s="80"/>
      <c r="F62" s="79"/>
      <c r="G62" s="86"/>
      <c r="H62" s="86"/>
      <c r="I62" s="82"/>
      <c r="J62" s="79"/>
      <c r="K62" s="79"/>
      <c r="L62" s="78">
        <f>IF($B62="","",IF($J62="Yes","COMPLETE",IF($I62="","NO DATE",IF($I62&lt;TODAY(),"OVERDUE",IF($I62-TODAY()&lt;=7,"THIS WEEK","SCHEDULED")))))</f>
      </c>
      <c r="M62" s="80"/>
      <c r="N62" s="78">
        <f>IF($B62="",0,IF(COUNTIF('DONATIONS + GIVING'!$B$6:$B$65,$B62)&gt;1,1,0))</f>
      </c>
      <c r="O62" s="78">
        <f>IF(OR(N($G62)&gt;0,N($H62)&gt;0),IF($F62="",1,IF(COUNTIF('MASTER BUDGET'!$D$6:$D$25,$F62)=0,1,0)),0)</f>
      </c>
      <c r="P62" s="75"/>
    </row>
    <row r="63" ht="17" customHeight="1" spans="1:16" x14ac:dyDescent="0.25">
      <c r="A63" s="75"/>
      <c r="B63" s="79"/>
      <c r="C63" s="80"/>
      <c r="D63" s="79"/>
      <c r="E63" s="80"/>
      <c r="F63" s="79"/>
      <c r="G63" s="86"/>
      <c r="H63" s="86"/>
      <c r="I63" s="82"/>
      <c r="J63" s="79"/>
      <c r="K63" s="79"/>
      <c r="L63" s="78">
        <f>IF($B63="","",IF($J63="Yes","COMPLETE",IF($I63="","NO DATE",IF($I63&lt;TODAY(),"OVERDUE",IF($I63-TODAY()&lt;=7,"THIS WEEK","SCHEDULED")))))</f>
      </c>
      <c r="M63" s="80"/>
      <c r="N63" s="78">
        <f>IF($B63="",0,IF(COUNTIF('DONATIONS + GIVING'!$B$6:$B$65,$B63)&gt;1,1,0))</f>
      </c>
      <c r="O63" s="78">
        <f>IF(OR(N($G63)&gt;0,N($H63)&gt;0),IF($F63="",1,IF(COUNTIF('MASTER BUDGET'!$D$6:$D$25,$F63)=0,1,0)),0)</f>
      </c>
      <c r="P63" s="75"/>
    </row>
    <row r="64" ht="17" customHeight="1" spans="1:16" x14ac:dyDescent="0.25">
      <c r="A64" s="75"/>
      <c r="B64" s="79"/>
      <c r="C64" s="80"/>
      <c r="D64" s="79"/>
      <c r="E64" s="80"/>
      <c r="F64" s="79"/>
      <c r="G64" s="86"/>
      <c r="H64" s="86"/>
      <c r="I64" s="82"/>
      <c r="J64" s="79"/>
      <c r="K64" s="79"/>
      <c r="L64" s="78">
        <f>IF($B64="","",IF($J64="Yes","COMPLETE",IF($I64="","NO DATE",IF($I64&lt;TODAY(),"OVERDUE",IF($I64-TODAY()&lt;=7,"THIS WEEK","SCHEDULED")))))</f>
      </c>
      <c r="M64" s="80"/>
      <c r="N64" s="78">
        <f>IF($B64="",0,IF(COUNTIF('DONATIONS + GIVING'!$B$6:$B$65,$B64)&gt;1,1,0))</f>
      </c>
      <c r="O64" s="78">
        <f>IF(OR(N($G64)&gt;0,N($H64)&gt;0),IF($F64="",1,IF(COUNTIF('MASTER BUDGET'!$D$6:$D$25,$F64)=0,1,0)),0)</f>
      </c>
      <c r="P64" s="75"/>
    </row>
    <row r="65" ht="17" customHeight="1" spans="1:16" x14ac:dyDescent="0.25">
      <c r="A65" s="75"/>
      <c r="B65" s="79"/>
      <c r="C65" s="80"/>
      <c r="D65" s="79"/>
      <c r="E65" s="80"/>
      <c r="F65" s="79"/>
      <c r="G65" s="86"/>
      <c r="H65" s="86"/>
      <c r="I65" s="82"/>
      <c r="J65" s="79"/>
      <c r="K65" s="79"/>
      <c r="L65" s="78">
        <f>IF($B65="","",IF($J65="Yes","COMPLETE",IF($I65="","NO DATE",IF($I65&lt;TODAY(),"OVERDUE",IF($I65-TODAY()&lt;=7,"THIS WEEK","SCHEDULED")))))</f>
      </c>
      <c r="M65" s="80"/>
      <c r="N65" s="78">
        <f>IF($B65="",0,IF(COUNTIF('DONATIONS + GIVING'!$B$6:$B$65,$B65)&gt;1,1,0))</f>
      </c>
      <c r="O65" s="78">
        <f>IF(OR(N($G65)&gt;0,N($H65)&gt;0),IF($F65="",1,IF(COUNTIF('MASTER BUDGET'!$D$6:$D$25,$F65)=0,1,0)),0)</f>
      </c>
      <c r="P65" s="75"/>
    </row>
  </sheetData>
  <autoFilter ref="B5:O65"/>
  <mergeCells count="1">
    <mergeCell ref="B1:C1"/>
  </mergeCells>
  <conditionalFormatting sqref="L6:L65">
    <cfRule type="containsText" dxfId="545" priority="1">
      <formula>NOT(ISERROR(SEARCH("OVER BUDGET",L6)))</formula>
    </cfRule>
  </conditionalFormatting>
  <conditionalFormatting sqref="L6:L65">
    <cfRule type="containsText" dxfId="546" priority="2">
      <formula>NOT(ISERROR(SEARCH("OVERDUE",L6)))</formula>
    </cfRule>
  </conditionalFormatting>
  <conditionalFormatting sqref="L6:L65">
    <cfRule type="containsText" dxfId="547" priority="3">
      <formula>NOT(ISERROR(SEARCH("LATE",L6)))</formula>
    </cfRule>
  </conditionalFormatting>
  <conditionalFormatting sqref="L6:L65">
    <cfRule type="containsText" dxfId="548" priority="4">
      <formula>NOT(ISERROR(SEARCH("WINDOW CLOSED",L6)))</formula>
    </cfRule>
  </conditionalFormatting>
  <conditionalFormatting sqref="L6:L65">
    <cfRule type="containsText" dxfId="549" priority="5">
      <formula>NOT(ISERROR(SEARCH("BALANCE OVERDUE",L6)))</formula>
    </cfRule>
  </conditionalFormatting>
  <conditionalFormatting sqref="L6:L65">
    <cfRule type="containsText" dxfId="550" priority="6">
      <formula>NOT(ISERROR(SEARCH("PREP OVERDUE",L6)))</formula>
    </cfRule>
  </conditionalFormatting>
  <conditionalFormatting sqref="L6:L65">
    <cfRule type="containsText" dxfId="551" priority="7">
      <formula>NOT(ISERROR(SEARCH("CHECK DUPLICATE",L6)))</formula>
    </cfRule>
  </conditionalFormatting>
  <conditionalFormatting sqref="L6:L65">
    <cfRule type="containsText" dxfId="552" priority="8">
      <formula>NOT(ISERROR(SEARCH("MISSING DATE",L6)))</formula>
    </cfRule>
  </conditionalFormatting>
  <conditionalFormatting sqref="L6:L65">
    <cfRule type="containsText" dxfId="553" priority="9">
      <formula>NOT(ISERROR(SEARCH("NOT FOUND",L6)))</formula>
    </cfRule>
  </conditionalFormatting>
  <conditionalFormatting sqref="L6:L65">
    <cfRule type="containsText" dxfId="554" priority="10">
      <formula>NOT(ISERROR(SEARCH("NEAR LIMIT",L6)))</formula>
    </cfRule>
  </conditionalFormatting>
  <conditionalFormatting sqref="L6:L65">
    <cfRule type="containsText" dxfId="555" priority="11">
      <formula>NOT(ISERROR(SEARCH("THIS WEEK",L6)))</formula>
    </cfRule>
  </conditionalFormatting>
  <conditionalFormatting sqref="L6:L65">
    <cfRule type="containsText" dxfId="556" priority="12">
      <formula>NOT(ISERROR(SEARCH("CLOSING SOON",L6)))</formula>
    </cfRule>
  </conditionalFormatting>
  <conditionalFormatting sqref="L6:L65">
    <cfRule type="containsText" dxfId="557" priority="13">
      <formula>NOT(ISERROR(SEARCH("NO TRACKING",L6)))</formula>
    </cfRule>
  </conditionalFormatting>
  <conditionalFormatting sqref="L6:L65">
    <cfRule type="containsText" dxfId="558" priority="14">
      <formula>NOT(ISERROR(SEARCH("LOW",L6)))</formula>
    </cfRule>
  </conditionalFormatting>
  <conditionalFormatting sqref="L6:L65">
    <cfRule type="containsText" dxfId="559" priority="15">
      <formula>NOT(ISERROR(SEARCH("AWAITING REFUND",L6)))</formula>
    </cfRule>
  </conditionalFormatting>
  <conditionalFormatting sqref="L6:L65">
    <cfRule type="containsText" dxfId="560" priority="16">
      <formula>NOT(ISERROR(SEARCH("BALANCE DUE SOON",L6)))</formula>
    </cfRule>
  </conditionalFormatting>
  <conditionalFormatting sqref="L6:L65">
    <cfRule type="containsText" dxfId="561" priority="17">
      <formula>NOT(ISERROR(SEARCH("TO BUY",L6)))</formula>
    </cfRule>
  </conditionalFormatting>
  <conditionalFormatting sqref="L6:L65">
    <cfRule type="containsText" dxfId="562" priority="18">
      <formula>NOT(ISERROR(SEARCH("NO DATE",L6)))</formula>
    </cfRule>
  </conditionalFormatting>
  <conditionalFormatting sqref="L6:L65">
    <cfRule type="containsText" dxfId="563" priority="19">
      <formula>NOT(ISERROR(SEARCH("NO COUNT",L6)))</formula>
    </cfRule>
  </conditionalFormatting>
  <conditionalFormatting sqref="L6:L65">
    <cfRule type="containsText" dxfId="564" priority="20">
      <formula>NOT(ISERROR(SEARCH("ON TRACK",L6)))</formula>
    </cfRule>
  </conditionalFormatting>
  <conditionalFormatting sqref="L6:L65">
    <cfRule type="containsText" dxfId="565" priority="21">
      <formula>NOT(ISERROR(SEARCH("COMPLETE",L6)))</formula>
    </cfRule>
  </conditionalFormatting>
  <conditionalFormatting sqref="L6:L65">
    <cfRule type="containsText" dxfId="566" priority="22">
      <formula>NOT(ISERROR(SEARCH("DONE",L6)))</formula>
    </cfRule>
  </conditionalFormatting>
  <conditionalFormatting sqref="L6:L65">
    <cfRule type="containsText" dxfId="567" priority="23">
      <formula>NOT(ISERROR(SEARCH("ARRIVED",L6)))</formula>
    </cfRule>
  </conditionalFormatting>
  <conditionalFormatting sqref="L6:L65">
    <cfRule type="containsText" dxfId="568" priority="24">
      <formula>NOT(ISERROR(SEARCH("SETTLED",L6)))</formula>
    </cfRule>
  </conditionalFormatting>
  <conditionalFormatting sqref="L6:L65">
    <cfRule type="containsText" dxfId="569" priority="25">
      <formula>NOT(ISERROR(SEARCH("AT BUDGET",L6)))</formula>
    </cfRule>
  </conditionalFormatting>
  <conditionalFormatting sqref="L6:L65">
    <cfRule type="containsText" dxfId="570" priority="26">
      <formula>NOT(ISERROR(SEARCH("IN STOCK",L6)))</formula>
    </cfRule>
  </conditionalFormatting>
  <conditionalFormatting sqref="L6:L65">
    <cfRule type="containsText" dxfId="571" priority="27">
      <formula>NOT(ISERROR(SEARCH("BOUGHT",L6)))</formula>
    </cfRule>
  </conditionalFormatting>
  <conditionalFormatting sqref="L6:L65">
    <cfRule type="containsText" dxfId="572" priority="28">
      <formula>NOT(ISERROR(SEARCH("READY",L6)))</formula>
    </cfRule>
  </conditionalFormatting>
  <conditionalFormatting sqref="L6:L65">
    <cfRule type="containsText" dxfId="573" priority="29">
      <formula>NOT(ISERROR(SEARCH("NOT SET",L6)))</formula>
    </cfRule>
  </conditionalFormatting>
  <conditionalFormatting sqref="L6:L65">
    <cfRule type="containsText" dxfId="574" priority="30">
      <formula>NOT(ISERROR(SEARCH("NOT STARTED",L6)))</formula>
    </cfRule>
  </conditionalFormatting>
  <conditionalFormatting sqref="L6:L65">
    <cfRule type="containsText" dxfId="575" priority="31">
      <formula>NOT(ISERROR(SEARCH("SCHEDULED",L6)))</formula>
    </cfRule>
  </conditionalFormatting>
  <conditionalFormatting sqref="L6:L65">
    <cfRule type="containsText" dxfId="576" priority="32">
      <formula>NOT(ISERROR(SEARCH("CLOSED",L6)))</formula>
    </cfRule>
  </conditionalFormatting>
  <conditionalFormatting sqref="L6:L65">
    <cfRule type="containsText" dxfId="577" priority="33">
      <formula>NOT(ISERROR(SEARCH("IN THE PANTRY",L6)))</formula>
    </cfRule>
  </conditionalFormatting>
  <conditionalFormatting sqref="L6:L65">
    <cfRule type="containsText" dxfId="578" priority="34">
      <formula>NOT(ISERROR(SEARCH("BALANCE OPEN",L6)))</formula>
    </cfRule>
  </conditionalFormatting>
  <dataValidations count="7">
    <dataValidation type="list" allowBlank="1" showErrorMessage="1" errorStyle="warning" errorTitle="Not one of the usual values" error="This column normally uses a value from the GivingType list on LISTS. You can keep what you typed, or add it to the list so it appears in the dropdown." sqref="D6:D65">
      <formula1>=List_GivingType</formula1>
    </dataValidation>
    <dataValidation type="list" allowBlank="1" showErrorMessage="1" errorStyle="warning" errorTitle="Not one of the usual values" error="This column normally uses a value from the BudgetCategory list on LISTS. You can keep what you typed, or add it to the list so it appears in the dropdown." sqref="F6:F65">
      <formula1>=List_BudgetCategory</formula1>
    </dataValidation>
    <dataValidation type="custom" allowBlank="1" showErrorMessage="1" errorStyle="warning" errorTitle="That looks like text" error="Type the number on its own — no currency symbol and no words. The column adds the symbol for you." sqref="G6:G65">
      <formula1>=OR(G6="",ISNUMBER(G6))</formula1>
    </dataValidation>
    <dataValidation type="custom" allowBlank="1" showErrorMessage="1" errorStyle="warning" errorTitle="That looks like text" error="Type the number on its own — no currency symbol and no words. The column adds the symbol for you." sqref="H6:H65">
      <formula1>=OR(H6="",ISNUMBER(H6))</formula1>
    </dataValidation>
    <dataValidation type="custom" allowBlank="1" showErrorMessage="1" errorStyle="warning" errorTitle="That is not a date yet" error="Type a real date, so the workbook can count days with it. &quot;Before Christmas&quot; cannot be sorted." sqref="I6:I65">
      <formula1>=OR(I6="",ISNUMBER(I6))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J6:J65">
      <formula1>=List_YesNo</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K6:K6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&amp;LDONATIONS + GIVING&amp;C&amp;P of &amp;N&amp;RThe Christmas Season Master Command Center™</oddFooter>
  </headerFooter>
  <legacyDrawing r:id="rId7"/>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9452"/>
    <pageSetUpPr fitToPage="1"/>
  </sheetPr>
  <dimension ref="A1:K38"/>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2" max="2" width="11" customWidth="1"/>
    <col min="3" max="3" width="13" customWidth="1"/>
    <col min="4" max="4" width="22" customWidth="1"/>
    <col min="5" max="5" width="26" customWidth="1"/>
    <col min="6" max="6" width="44" customWidth="1"/>
    <col min="7" max="7" width="30" customWidth="1"/>
    <col min="8" max="8" width="11" customWidth="1"/>
    <col min="9" max="9" width="34" customWidth="1"/>
    <col min="10" max="10" width="18" hidden="1" customWidth="1"/>
    <col min="11" max="11" width="2" customWidth="1"/>
  </cols>
  <sheetData>
    <row r="1" ht="21" customHeight="1" spans="1:11" x14ac:dyDescent="0.25">
      <c r="A1" s="62"/>
      <c r="B1" s="63" t="s">
        <v>8</v>
      </c>
      <c r="C1" s="63"/>
      <c r="D1" s="63" t="s">
        <v>9</v>
      </c>
      <c r="E1" s="63" t="s">
        <v>10</v>
      </c>
      <c r="F1" s="63" t="s">
        <v>11</v>
      </c>
      <c r="G1" s="63" t="s">
        <v>12</v>
      </c>
      <c r="H1" s="62"/>
      <c r="I1" s="62"/>
      <c r="J1" s="62"/>
      <c r="K1" s="62"/>
    </row>
    <row r="2" ht="34" customHeight="1" spans="1:11" x14ac:dyDescent="0.25">
      <c r="A2" s="64"/>
      <c r="B2" s="65" t="s">
        <v>858</v>
      </c>
      <c r="C2" s="64"/>
      <c r="D2" s="64"/>
      <c r="E2" s="64"/>
      <c r="F2" s="64"/>
      <c r="G2" s="64"/>
      <c r="H2" s="64"/>
      <c r="I2" s="64"/>
      <c r="J2" s="64"/>
      <c r="K2" s="64"/>
    </row>
    <row r="3" ht="18" customHeight="1" spans="1:11" x14ac:dyDescent="0.25">
      <c r="A3" s="64"/>
      <c r="B3" s="66" t="s">
        <v>859</v>
      </c>
      <c r="C3" s="64"/>
      <c r="D3" s="64"/>
      <c r="E3" s="64"/>
      <c r="F3" s="64"/>
      <c r="G3" s="64"/>
      <c r="H3" s="64"/>
      <c r="I3" s="64"/>
      <c r="J3" s="64"/>
      <c r="K3" s="64"/>
    </row>
    <row r="4" ht="17" customHeight="1" spans="1:11" x14ac:dyDescent="0.25">
      <c r="A4" s="64"/>
      <c r="B4" s="67" t="s">
        <v>160</v>
      </c>
      <c r="C4" s="64"/>
      <c r="D4" s="64"/>
      <c r="E4" s="64"/>
      <c r="F4" s="64"/>
      <c r="G4" s="64"/>
      <c r="H4" s="64"/>
      <c r="I4" s="64"/>
      <c r="J4" s="64"/>
      <c r="K4" s="64"/>
    </row>
    <row r="5" ht="32" customHeight="1" spans="1:11" x14ac:dyDescent="0.25">
      <c r="A5" s="73"/>
      <c r="B5" s="74" t="s">
        <v>860</v>
      </c>
      <c r="C5" s="74" t="s">
        <v>412</v>
      </c>
      <c r="D5" s="74" t="s">
        <v>861</v>
      </c>
      <c r="E5" s="74" t="s">
        <v>862</v>
      </c>
      <c r="F5" s="74" t="s">
        <v>863</v>
      </c>
      <c r="G5" s="74" t="s">
        <v>864</v>
      </c>
      <c r="H5" s="74" t="s">
        <v>865</v>
      </c>
      <c r="I5" s="74" t="s">
        <v>179</v>
      </c>
      <c r="J5" s="74" t="s">
        <v>180</v>
      </c>
      <c r="K5" s="73"/>
    </row>
    <row r="6" ht="17" customHeight="1" spans="1:11" x14ac:dyDescent="0.25">
      <c r="A6" s="75"/>
      <c r="B6" s="76" t="s">
        <v>866</v>
      </c>
      <c r="C6" s="81"/>
      <c r="D6" s="76"/>
      <c r="E6" s="77"/>
      <c r="F6" s="77"/>
      <c r="G6" s="77"/>
      <c r="H6" s="76" t="s">
        <v>194</v>
      </c>
      <c r="I6" s="77" t="s">
        <v>867</v>
      </c>
      <c r="J6" s="78">
        <f>IF($B6="",0,IF(COUNTIF('ADVENT + REFLECTION'!$B$6:$B$36,$B6)&gt;1,1,0))</f>
      </c>
      <c r="K6" s="75"/>
    </row>
    <row r="7" ht="17" customHeight="1" spans="1:11" x14ac:dyDescent="0.25">
      <c r="A7" s="75"/>
      <c r="B7" s="76" t="s">
        <v>868</v>
      </c>
      <c r="C7" s="81"/>
      <c r="D7" s="76"/>
      <c r="E7" s="77"/>
      <c r="F7" s="77"/>
      <c r="G7" s="77"/>
      <c r="H7" s="76" t="s">
        <v>194</v>
      </c>
      <c r="I7" s="77" t="s">
        <v>186</v>
      </c>
      <c r="J7" s="78">
        <f>IF($B7="",0,IF(COUNTIF('ADVENT + REFLECTION'!$B$6:$B$36,$B7)&gt;1,1,0))</f>
      </c>
      <c r="K7" s="75"/>
    </row>
    <row r="8" ht="17" customHeight="1" spans="1:11" x14ac:dyDescent="0.25">
      <c r="A8" s="75"/>
      <c r="B8" s="76" t="s">
        <v>869</v>
      </c>
      <c r="C8" s="81"/>
      <c r="D8" s="76"/>
      <c r="E8" s="77"/>
      <c r="F8" s="77"/>
      <c r="G8" s="77"/>
      <c r="H8" s="76" t="s">
        <v>194</v>
      </c>
      <c r="I8" s="77" t="s">
        <v>186</v>
      </c>
      <c r="J8" s="78">
        <f>IF($B8="",0,IF(COUNTIF('ADVENT + REFLECTION'!$B$6:$B$36,$B8)&gt;1,1,0))</f>
      </c>
      <c r="K8" s="75"/>
    </row>
    <row r="9" ht="17" customHeight="1" spans="1:11" x14ac:dyDescent="0.25">
      <c r="A9" s="75"/>
      <c r="B9" s="79"/>
      <c r="C9" s="82"/>
      <c r="D9" s="79"/>
      <c r="E9" s="80"/>
      <c r="F9" s="80"/>
      <c r="G9" s="80"/>
      <c r="H9" s="79"/>
      <c r="I9" s="80"/>
      <c r="J9" s="78">
        <f>IF($B9="",0,IF(COUNTIF('ADVENT + REFLECTION'!$B$6:$B$36,$B9)&gt;1,1,0))</f>
      </c>
      <c r="K9" s="75"/>
    </row>
    <row r="10" ht="17" customHeight="1" spans="1:11" x14ac:dyDescent="0.25">
      <c r="A10" s="75"/>
      <c r="B10" s="79"/>
      <c r="C10" s="82"/>
      <c r="D10" s="79"/>
      <c r="E10" s="80"/>
      <c r="F10" s="80"/>
      <c r="G10" s="80"/>
      <c r="H10" s="79"/>
      <c r="I10" s="80"/>
      <c r="J10" s="78">
        <f>IF($B10="",0,IF(COUNTIF('ADVENT + REFLECTION'!$B$6:$B$36,$B10)&gt;1,1,0))</f>
      </c>
      <c r="K10" s="75"/>
    </row>
    <row r="11" ht="17" customHeight="1" spans="1:11" x14ac:dyDescent="0.25">
      <c r="A11" s="75"/>
      <c r="B11" s="79"/>
      <c r="C11" s="82"/>
      <c r="D11" s="79"/>
      <c r="E11" s="80"/>
      <c r="F11" s="80"/>
      <c r="G11" s="80"/>
      <c r="H11" s="79"/>
      <c r="I11" s="80"/>
      <c r="J11" s="78">
        <f>IF($B11="",0,IF(COUNTIF('ADVENT + REFLECTION'!$B$6:$B$36,$B11)&gt;1,1,0))</f>
      </c>
      <c r="K11" s="75"/>
    </row>
    <row r="12" ht="17" customHeight="1" spans="1:11" x14ac:dyDescent="0.25">
      <c r="A12" s="75"/>
      <c r="B12" s="79"/>
      <c r="C12" s="82"/>
      <c r="D12" s="79"/>
      <c r="E12" s="80"/>
      <c r="F12" s="80"/>
      <c r="G12" s="80"/>
      <c r="H12" s="79"/>
      <c r="I12" s="80"/>
      <c r="J12" s="78">
        <f>IF($B12="",0,IF(COUNTIF('ADVENT + REFLECTION'!$B$6:$B$36,$B12)&gt;1,1,0))</f>
      </c>
      <c r="K12" s="75"/>
    </row>
    <row r="13" ht="17" customHeight="1" spans="1:11" x14ac:dyDescent="0.25">
      <c r="A13" s="75"/>
      <c r="B13" s="79"/>
      <c r="C13" s="82"/>
      <c r="D13" s="79"/>
      <c r="E13" s="80"/>
      <c r="F13" s="80"/>
      <c r="G13" s="80"/>
      <c r="H13" s="79"/>
      <c r="I13" s="80"/>
      <c r="J13" s="78">
        <f>IF($B13="",0,IF(COUNTIF('ADVENT + REFLECTION'!$B$6:$B$36,$B13)&gt;1,1,0))</f>
      </c>
      <c r="K13" s="75"/>
    </row>
    <row r="14" ht="17" customHeight="1" spans="1:11" x14ac:dyDescent="0.25">
      <c r="A14" s="75"/>
      <c r="B14" s="79"/>
      <c r="C14" s="82"/>
      <c r="D14" s="79"/>
      <c r="E14" s="80"/>
      <c r="F14" s="80"/>
      <c r="G14" s="80"/>
      <c r="H14" s="79"/>
      <c r="I14" s="80"/>
      <c r="J14" s="78">
        <f>IF($B14="",0,IF(COUNTIF('ADVENT + REFLECTION'!$B$6:$B$36,$B14)&gt;1,1,0))</f>
      </c>
      <c r="K14" s="75"/>
    </row>
    <row r="15" ht="17" customHeight="1" spans="1:11" x14ac:dyDescent="0.25">
      <c r="A15" s="75"/>
      <c r="B15" s="79"/>
      <c r="C15" s="82"/>
      <c r="D15" s="79"/>
      <c r="E15" s="80"/>
      <c r="F15" s="80"/>
      <c r="G15" s="80"/>
      <c r="H15" s="79"/>
      <c r="I15" s="80"/>
      <c r="J15" s="78">
        <f>IF($B15="",0,IF(COUNTIF('ADVENT + REFLECTION'!$B$6:$B$36,$B15)&gt;1,1,0))</f>
      </c>
      <c r="K15" s="75"/>
    </row>
    <row r="16" ht="17" customHeight="1" spans="1:11" x14ac:dyDescent="0.25">
      <c r="A16" s="75"/>
      <c r="B16" s="79"/>
      <c r="C16" s="82"/>
      <c r="D16" s="79"/>
      <c r="E16" s="80"/>
      <c r="F16" s="80"/>
      <c r="G16" s="80"/>
      <c r="H16" s="79"/>
      <c r="I16" s="80"/>
      <c r="J16" s="78">
        <f>IF($B16="",0,IF(COUNTIF('ADVENT + REFLECTION'!$B$6:$B$36,$B16)&gt;1,1,0))</f>
      </c>
      <c r="K16" s="75"/>
    </row>
    <row r="17" ht="17" customHeight="1" spans="1:11" x14ac:dyDescent="0.25">
      <c r="A17" s="75"/>
      <c r="B17" s="79"/>
      <c r="C17" s="82"/>
      <c r="D17" s="79"/>
      <c r="E17" s="80"/>
      <c r="F17" s="80"/>
      <c r="G17" s="80"/>
      <c r="H17" s="79"/>
      <c r="I17" s="80"/>
      <c r="J17" s="78">
        <f>IF($B17="",0,IF(COUNTIF('ADVENT + REFLECTION'!$B$6:$B$36,$B17)&gt;1,1,0))</f>
      </c>
      <c r="K17" s="75"/>
    </row>
    <row r="18" ht="17" customHeight="1" spans="1:11" x14ac:dyDescent="0.25">
      <c r="A18" s="75"/>
      <c r="B18" s="79"/>
      <c r="C18" s="82"/>
      <c r="D18" s="79"/>
      <c r="E18" s="80"/>
      <c r="F18" s="80"/>
      <c r="G18" s="80"/>
      <c r="H18" s="79"/>
      <c r="I18" s="80"/>
      <c r="J18" s="78">
        <f>IF($B18="",0,IF(COUNTIF('ADVENT + REFLECTION'!$B$6:$B$36,$B18)&gt;1,1,0))</f>
      </c>
      <c r="K18" s="75"/>
    </row>
    <row r="19" ht="17" customHeight="1" spans="1:11" x14ac:dyDescent="0.25">
      <c r="A19" s="75"/>
      <c r="B19" s="79"/>
      <c r="C19" s="82"/>
      <c r="D19" s="79"/>
      <c r="E19" s="80"/>
      <c r="F19" s="80"/>
      <c r="G19" s="80"/>
      <c r="H19" s="79"/>
      <c r="I19" s="80"/>
      <c r="J19" s="78">
        <f>IF($B19="",0,IF(COUNTIF('ADVENT + REFLECTION'!$B$6:$B$36,$B19)&gt;1,1,0))</f>
      </c>
      <c r="K19" s="75"/>
    </row>
    <row r="20" ht="17" customHeight="1" spans="1:11" x14ac:dyDescent="0.25">
      <c r="A20" s="75"/>
      <c r="B20" s="79"/>
      <c r="C20" s="82"/>
      <c r="D20" s="79"/>
      <c r="E20" s="80"/>
      <c r="F20" s="80"/>
      <c r="G20" s="80"/>
      <c r="H20" s="79"/>
      <c r="I20" s="80"/>
      <c r="J20" s="78">
        <f>IF($B20="",0,IF(COUNTIF('ADVENT + REFLECTION'!$B$6:$B$36,$B20)&gt;1,1,0))</f>
      </c>
      <c r="K20" s="75"/>
    </row>
    <row r="21" ht="17" customHeight="1" spans="1:11" x14ac:dyDescent="0.25">
      <c r="A21" s="75"/>
      <c r="B21" s="79"/>
      <c r="C21" s="82"/>
      <c r="D21" s="79"/>
      <c r="E21" s="80"/>
      <c r="F21" s="80"/>
      <c r="G21" s="80"/>
      <c r="H21" s="79"/>
      <c r="I21" s="80"/>
      <c r="J21" s="78">
        <f>IF($B21="",0,IF(COUNTIF('ADVENT + REFLECTION'!$B$6:$B$36,$B21)&gt;1,1,0))</f>
      </c>
      <c r="K21" s="75"/>
    </row>
    <row r="22" ht="17" customHeight="1" spans="1:11" x14ac:dyDescent="0.25">
      <c r="A22" s="75"/>
      <c r="B22" s="79"/>
      <c r="C22" s="82"/>
      <c r="D22" s="79"/>
      <c r="E22" s="80"/>
      <c r="F22" s="80"/>
      <c r="G22" s="80"/>
      <c r="H22" s="79"/>
      <c r="I22" s="80"/>
      <c r="J22" s="78">
        <f>IF($B22="",0,IF(COUNTIF('ADVENT + REFLECTION'!$B$6:$B$36,$B22)&gt;1,1,0))</f>
      </c>
      <c r="K22" s="75"/>
    </row>
    <row r="23" ht="17" customHeight="1" spans="1:11" x14ac:dyDescent="0.25">
      <c r="A23" s="75"/>
      <c r="B23" s="79"/>
      <c r="C23" s="82"/>
      <c r="D23" s="79"/>
      <c r="E23" s="80"/>
      <c r="F23" s="80"/>
      <c r="G23" s="80"/>
      <c r="H23" s="79"/>
      <c r="I23" s="80"/>
      <c r="J23" s="78">
        <f>IF($B23="",0,IF(COUNTIF('ADVENT + REFLECTION'!$B$6:$B$36,$B23)&gt;1,1,0))</f>
      </c>
      <c r="K23" s="75"/>
    </row>
    <row r="24" ht="17" customHeight="1" spans="1:11" x14ac:dyDescent="0.25">
      <c r="A24" s="75"/>
      <c r="B24" s="79"/>
      <c r="C24" s="82"/>
      <c r="D24" s="79"/>
      <c r="E24" s="80"/>
      <c r="F24" s="80"/>
      <c r="G24" s="80"/>
      <c r="H24" s="79"/>
      <c r="I24" s="80"/>
      <c r="J24" s="78">
        <f>IF($B24="",0,IF(COUNTIF('ADVENT + REFLECTION'!$B$6:$B$36,$B24)&gt;1,1,0))</f>
      </c>
      <c r="K24" s="75"/>
    </row>
    <row r="25" ht="17" customHeight="1" spans="1:11" x14ac:dyDescent="0.25">
      <c r="A25" s="75"/>
      <c r="B25" s="79"/>
      <c r="C25" s="82"/>
      <c r="D25" s="79"/>
      <c r="E25" s="80"/>
      <c r="F25" s="80"/>
      <c r="G25" s="80"/>
      <c r="H25" s="79"/>
      <c r="I25" s="80"/>
      <c r="J25" s="78">
        <f>IF($B25="",0,IF(COUNTIF('ADVENT + REFLECTION'!$B$6:$B$36,$B25)&gt;1,1,0))</f>
      </c>
      <c r="K25" s="75"/>
    </row>
    <row r="26" ht="17" customHeight="1" spans="1:11" x14ac:dyDescent="0.25">
      <c r="A26" s="75"/>
      <c r="B26" s="79"/>
      <c r="C26" s="82"/>
      <c r="D26" s="79"/>
      <c r="E26" s="80"/>
      <c r="F26" s="80"/>
      <c r="G26" s="80"/>
      <c r="H26" s="79"/>
      <c r="I26" s="80"/>
      <c r="J26" s="78">
        <f>IF($B26="",0,IF(COUNTIF('ADVENT + REFLECTION'!$B$6:$B$36,$B26)&gt;1,1,0))</f>
      </c>
      <c r="K26" s="75"/>
    </row>
    <row r="27" ht="17" customHeight="1" spans="1:11" x14ac:dyDescent="0.25">
      <c r="A27" s="75"/>
      <c r="B27" s="79"/>
      <c r="C27" s="82"/>
      <c r="D27" s="79"/>
      <c r="E27" s="80"/>
      <c r="F27" s="80"/>
      <c r="G27" s="80"/>
      <c r="H27" s="79"/>
      <c r="I27" s="80"/>
      <c r="J27" s="78">
        <f>IF($B27="",0,IF(COUNTIF('ADVENT + REFLECTION'!$B$6:$B$36,$B27)&gt;1,1,0))</f>
      </c>
      <c r="K27" s="75"/>
    </row>
    <row r="28" ht="17" customHeight="1" spans="1:11" x14ac:dyDescent="0.25">
      <c r="A28" s="75"/>
      <c r="B28" s="79"/>
      <c r="C28" s="82"/>
      <c r="D28" s="79"/>
      <c r="E28" s="80"/>
      <c r="F28" s="80"/>
      <c r="G28" s="80"/>
      <c r="H28" s="79"/>
      <c r="I28" s="80"/>
      <c r="J28" s="78">
        <f>IF($B28="",0,IF(COUNTIF('ADVENT + REFLECTION'!$B$6:$B$36,$B28)&gt;1,1,0))</f>
      </c>
      <c r="K28" s="75"/>
    </row>
    <row r="29" ht="17" customHeight="1" spans="1:11" x14ac:dyDescent="0.25">
      <c r="A29" s="75"/>
      <c r="B29" s="79"/>
      <c r="C29" s="82"/>
      <c r="D29" s="79"/>
      <c r="E29" s="80"/>
      <c r="F29" s="80"/>
      <c r="G29" s="80"/>
      <c r="H29" s="79"/>
      <c r="I29" s="80"/>
      <c r="J29" s="78">
        <f>IF($B29="",0,IF(COUNTIF('ADVENT + REFLECTION'!$B$6:$B$36,$B29)&gt;1,1,0))</f>
      </c>
      <c r="K29" s="75"/>
    </row>
    <row r="30" ht="17" customHeight="1" spans="1:11" x14ac:dyDescent="0.25">
      <c r="A30" s="75"/>
      <c r="B30" s="79"/>
      <c r="C30" s="82"/>
      <c r="D30" s="79"/>
      <c r="E30" s="80"/>
      <c r="F30" s="80"/>
      <c r="G30" s="80"/>
      <c r="H30" s="79"/>
      <c r="I30" s="80"/>
      <c r="J30" s="78">
        <f>IF($B30="",0,IF(COUNTIF('ADVENT + REFLECTION'!$B$6:$B$36,$B30)&gt;1,1,0))</f>
      </c>
      <c r="K30" s="75"/>
    </row>
    <row r="31" ht="17" customHeight="1" spans="1:11" x14ac:dyDescent="0.25">
      <c r="A31" s="75"/>
      <c r="B31" s="79"/>
      <c r="C31" s="82"/>
      <c r="D31" s="79"/>
      <c r="E31" s="80"/>
      <c r="F31" s="80"/>
      <c r="G31" s="80"/>
      <c r="H31" s="79"/>
      <c r="I31" s="80"/>
      <c r="J31" s="78">
        <f>IF($B31="",0,IF(COUNTIF('ADVENT + REFLECTION'!$B$6:$B$36,$B31)&gt;1,1,0))</f>
      </c>
      <c r="K31" s="75"/>
    </row>
    <row r="32" ht="17" customHeight="1" spans="1:11" x14ac:dyDescent="0.25">
      <c r="A32" s="75"/>
      <c r="B32" s="79"/>
      <c r="C32" s="82"/>
      <c r="D32" s="79"/>
      <c r="E32" s="80"/>
      <c r="F32" s="80"/>
      <c r="G32" s="80"/>
      <c r="H32" s="79"/>
      <c r="I32" s="80"/>
      <c r="J32" s="78">
        <f>IF($B32="",0,IF(COUNTIF('ADVENT + REFLECTION'!$B$6:$B$36,$B32)&gt;1,1,0))</f>
      </c>
      <c r="K32" s="75"/>
    </row>
    <row r="33" ht="17" customHeight="1" spans="1:11" x14ac:dyDescent="0.25">
      <c r="A33" s="75"/>
      <c r="B33" s="79"/>
      <c r="C33" s="82"/>
      <c r="D33" s="79"/>
      <c r="E33" s="80"/>
      <c r="F33" s="80"/>
      <c r="G33" s="80"/>
      <c r="H33" s="79"/>
      <c r="I33" s="80"/>
      <c r="J33" s="78">
        <f>IF($B33="",0,IF(COUNTIF('ADVENT + REFLECTION'!$B$6:$B$36,$B33)&gt;1,1,0))</f>
      </c>
      <c r="K33" s="75"/>
    </row>
    <row r="34" ht="17" customHeight="1" spans="1:11" x14ac:dyDescent="0.25">
      <c r="A34" s="75"/>
      <c r="B34" s="79"/>
      <c r="C34" s="82"/>
      <c r="D34" s="79"/>
      <c r="E34" s="80"/>
      <c r="F34" s="80"/>
      <c r="G34" s="80"/>
      <c r="H34" s="79"/>
      <c r="I34" s="80"/>
      <c r="J34" s="78">
        <f>IF($B34="",0,IF(COUNTIF('ADVENT + REFLECTION'!$B$6:$B$36,$B34)&gt;1,1,0))</f>
      </c>
      <c r="K34" s="75"/>
    </row>
    <row r="35" ht="17" customHeight="1" spans="1:11" x14ac:dyDescent="0.25">
      <c r="A35" s="75"/>
      <c r="B35" s="79"/>
      <c r="C35" s="82"/>
      <c r="D35" s="79"/>
      <c r="E35" s="80"/>
      <c r="F35" s="80"/>
      <c r="G35" s="80"/>
      <c r="H35" s="79"/>
      <c r="I35" s="80"/>
      <c r="J35" s="78">
        <f>IF($B35="",0,IF(COUNTIF('ADVENT + REFLECTION'!$B$6:$B$36,$B35)&gt;1,1,0))</f>
      </c>
      <c r="K35" s="75"/>
    </row>
    <row r="36" ht="17" customHeight="1" spans="1:11" x14ac:dyDescent="0.25">
      <c r="A36" s="75"/>
      <c r="B36" s="79"/>
      <c r="C36" s="82"/>
      <c r="D36" s="79"/>
      <c r="E36" s="80"/>
      <c r="F36" s="80"/>
      <c r="G36" s="80"/>
      <c r="H36" s="79"/>
      <c r="I36" s="80"/>
      <c r="J36" s="78">
        <f>IF($B36="",0,IF(COUNTIF('ADVENT + REFLECTION'!$B$6:$B$36,$B36)&gt;1,1,0))</f>
      </c>
      <c r="K36" s="75"/>
    </row>
    <row r="38" spans="2:2" x14ac:dyDescent="0.25">
      <c r="B38" s="91" t="s">
        <v>870</v>
      </c>
    </row>
  </sheetData>
  <autoFilter ref="B5:J36"/>
  <mergeCells count="1">
    <mergeCell ref="B1:C1"/>
  </mergeCells>
  <dataValidations count="2">
    <dataValidation type="custom" allowBlank="1" showErrorMessage="1" errorStyle="warning" errorTitle="That is not a date yet" error="Type a real date, so the workbook can count days with it. &quot;Before Christmas&quot; cannot be sorted." sqref="C6:C36">
      <formula1>=OR(C6="",ISNUMBER(C6))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H6:H36">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&amp;LADVENT + REFLECTION&amp;C&amp;P of &amp;N&amp;RThe Christmas Season Master Command Center™</oddFooter>
  </headerFooter>
  <legacyDrawing r:id="rId7"/>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M10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13" customWidth="1"/>
    <col min="4" max="4" width="24" customWidth="1"/>
    <col min="5" max="5" width="44" customWidth="1"/>
    <col min="6" max="6" width="34" customWidth="1"/>
    <col min="7" max="7" width="28" customWidth="1"/>
    <col min="8" max="8" width="24" customWidth="1"/>
    <col min="9" max="10" width="11" customWidth="1"/>
    <col min="11" max="11" width="34" customWidth="1"/>
    <col min="12" max="12" width="18" hidden="1" customWidth="1"/>
    <col min="13" max="13" width="2" customWidth="1"/>
  </cols>
  <sheetData>
    <row r="1" ht="21" customHeight="1" spans="1:13" x14ac:dyDescent="0.25">
      <c r="A1" s="62"/>
      <c r="B1" s="63" t="s">
        <v>8</v>
      </c>
      <c r="C1" s="63"/>
      <c r="D1" s="63" t="s">
        <v>9</v>
      </c>
      <c r="E1" s="63" t="s">
        <v>10</v>
      </c>
      <c r="F1" s="63" t="s">
        <v>11</v>
      </c>
      <c r="G1" s="63" t="s">
        <v>12</v>
      </c>
      <c r="H1" s="62"/>
      <c r="I1" s="62"/>
      <c r="J1" s="62"/>
      <c r="K1" s="62"/>
      <c r="L1" s="62"/>
      <c r="M1" s="62"/>
    </row>
    <row r="2" ht="34" customHeight="1" spans="1:13" x14ac:dyDescent="0.25">
      <c r="A2" s="64"/>
      <c r="B2" s="65" t="s">
        <v>871</v>
      </c>
      <c r="C2" s="64"/>
      <c r="D2" s="64"/>
      <c r="E2" s="64"/>
      <c r="F2" s="64"/>
      <c r="G2" s="64"/>
      <c r="H2" s="64"/>
      <c r="I2" s="64"/>
      <c r="J2" s="64"/>
      <c r="K2" s="64"/>
      <c r="L2" s="64"/>
      <c r="M2" s="64"/>
    </row>
    <row r="3" ht="18" customHeight="1" spans="1:13" x14ac:dyDescent="0.25">
      <c r="A3" s="64"/>
      <c r="B3" s="66" t="s">
        <v>872</v>
      </c>
      <c r="C3" s="64"/>
      <c r="D3" s="64"/>
      <c r="E3" s="64"/>
      <c r="F3" s="64"/>
      <c r="G3" s="64"/>
      <c r="H3" s="64"/>
      <c r="I3" s="64"/>
      <c r="J3" s="64"/>
      <c r="K3" s="64"/>
      <c r="L3" s="64"/>
      <c r="M3" s="64"/>
    </row>
    <row r="4" ht="17" customHeight="1" spans="1:13" x14ac:dyDescent="0.25">
      <c r="A4" s="64"/>
      <c r="B4" s="67" t="s">
        <v>160</v>
      </c>
      <c r="C4" s="64"/>
      <c r="D4" s="64"/>
      <c r="E4" s="64"/>
      <c r="F4" s="64"/>
      <c r="G4" s="64"/>
      <c r="H4" s="64"/>
      <c r="I4" s="64"/>
      <c r="J4" s="64"/>
      <c r="K4" s="64"/>
      <c r="L4" s="64"/>
      <c r="M4" s="64"/>
    </row>
    <row r="5" ht="32" customHeight="1" spans="1:13" x14ac:dyDescent="0.25">
      <c r="A5" s="73"/>
      <c r="B5" s="74" t="s">
        <v>873</v>
      </c>
      <c r="C5" s="74" t="s">
        <v>412</v>
      </c>
      <c r="D5" s="74" t="s">
        <v>874</v>
      </c>
      <c r="E5" s="74" t="s">
        <v>875</v>
      </c>
      <c r="F5" s="74" t="s">
        <v>876</v>
      </c>
      <c r="G5" s="74" t="s">
        <v>877</v>
      </c>
      <c r="H5" s="74" t="s">
        <v>878</v>
      </c>
      <c r="I5" s="74" t="s">
        <v>725</v>
      </c>
      <c r="J5" s="74" t="s">
        <v>879</v>
      </c>
      <c r="K5" s="74" t="s">
        <v>179</v>
      </c>
      <c r="L5" s="74" t="s">
        <v>180</v>
      </c>
      <c r="M5" s="73"/>
    </row>
    <row r="6" ht="17" customHeight="1" spans="1:13" x14ac:dyDescent="0.25">
      <c r="A6" s="75"/>
      <c r="B6" s="76" t="s">
        <v>880</v>
      </c>
      <c r="C6" s="81">
        <v>46380</v>
      </c>
      <c r="D6" s="76" t="s">
        <v>612</v>
      </c>
      <c r="E6" s="77" t="s">
        <v>881</v>
      </c>
      <c r="F6" s="77" t="s">
        <v>882</v>
      </c>
      <c r="G6" s="77"/>
      <c r="H6" s="76" t="s">
        <v>883</v>
      </c>
      <c r="I6" s="76" t="s">
        <v>28</v>
      </c>
      <c r="J6" s="76" t="s">
        <v>185</v>
      </c>
      <c r="K6" s="77" t="s">
        <v>186</v>
      </c>
      <c r="L6" s="78">
        <f>IF($B6="",0,IF(COUNTIF(MEMORIES!$B$6:$B$105,$B6)&gt;1,1,0))</f>
      </c>
      <c r="M6" s="75"/>
    </row>
    <row r="7" ht="17" customHeight="1" spans="1:13" x14ac:dyDescent="0.25">
      <c r="A7" s="75"/>
      <c r="B7" s="76" t="s">
        <v>884</v>
      </c>
      <c r="C7" s="81">
        <v>46362</v>
      </c>
      <c r="D7" s="76" t="s">
        <v>885</v>
      </c>
      <c r="E7" s="77" t="s">
        <v>886</v>
      </c>
      <c r="F7" s="77"/>
      <c r="G7" s="77"/>
      <c r="H7" s="76"/>
      <c r="I7" s="76" t="s">
        <v>28</v>
      </c>
      <c r="J7" s="76" t="s">
        <v>185</v>
      </c>
      <c r="K7" s="77" t="s">
        <v>186</v>
      </c>
      <c r="L7" s="78">
        <f>IF($B7="",0,IF(COUNTIF(MEMORIES!$B$6:$B$105,$B7)&gt;1,1,0))</f>
      </c>
      <c r="M7" s="75"/>
    </row>
    <row r="8" ht="17" customHeight="1" spans="1:13" x14ac:dyDescent="0.25">
      <c r="A8" s="75"/>
      <c r="B8" s="76" t="s">
        <v>887</v>
      </c>
      <c r="C8" s="81">
        <v>46381</v>
      </c>
      <c r="D8" s="76" t="s">
        <v>888</v>
      </c>
      <c r="E8" s="77" t="s">
        <v>889</v>
      </c>
      <c r="F8" s="77"/>
      <c r="G8" s="77"/>
      <c r="H8" s="76"/>
      <c r="I8" s="76" t="s">
        <v>25</v>
      </c>
      <c r="J8" s="76" t="s">
        <v>185</v>
      </c>
      <c r="K8" s="77" t="s">
        <v>186</v>
      </c>
      <c r="L8" s="78">
        <f>IF($B8="",0,IF(COUNTIF(MEMORIES!$B$6:$B$105,$B8)&gt;1,1,0))</f>
      </c>
      <c r="M8" s="75"/>
    </row>
    <row r="9" ht="17" customHeight="1" spans="1:13" x14ac:dyDescent="0.25">
      <c r="A9" s="75"/>
      <c r="B9" s="79"/>
      <c r="C9" s="82"/>
      <c r="D9" s="79"/>
      <c r="E9" s="80"/>
      <c r="F9" s="80"/>
      <c r="G9" s="80"/>
      <c r="H9" s="79"/>
      <c r="I9" s="79"/>
      <c r="J9" s="79"/>
      <c r="K9" s="80"/>
      <c r="L9" s="78">
        <f>IF($B9="",0,IF(COUNTIF(MEMORIES!$B$6:$B$105,$B9)&gt;1,1,0))</f>
      </c>
      <c r="M9" s="75"/>
    </row>
    <row r="10" ht="17" customHeight="1" spans="1:13" x14ac:dyDescent="0.25">
      <c r="A10" s="75"/>
      <c r="B10" s="79"/>
      <c r="C10" s="82"/>
      <c r="D10" s="79"/>
      <c r="E10" s="80"/>
      <c r="F10" s="80"/>
      <c r="G10" s="80"/>
      <c r="H10" s="79"/>
      <c r="I10" s="79"/>
      <c r="J10" s="79"/>
      <c r="K10" s="80"/>
      <c r="L10" s="78">
        <f>IF($B10="",0,IF(COUNTIF(MEMORIES!$B$6:$B$105,$B10)&gt;1,1,0))</f>
      </c>
      <c r="M10" s="75"/>
    </row>
    <row r="11" ht="17" customHeight="1" spans="1:13" x14ac:dyDescent="0.25">
      <c r="A11" s="75"/>
      <c r="B11" s="79"/>
      <c r="C11" s="82"/>
      <c r="D11" s="79"/>
      <c r="E11" s="80"/>
      <c r="F11" s="80"/>
      <c r="G11" s="80"/>
      <c r="H11" s="79"/>
      <c r="I11" s="79"/>
      <c r="J11" s="79"/>
      <c r="K11" s="80"/>
      <c r="L11" s="78">
        <f>IF($B11="",0,IF(COUNTIF(MEMORIES!$B$6:$B$105,$B11)&gt;1,1,0))</f>
      </c>
      <c r="M11" s="75"/>
    </row>
    <row r="12" ht="17" customHeight="1" spans="1:13" x14ac:dyDescent="0.25">
      <c r="A12" s="75"/>
      <c r="B12" s="79"/>
      <c r="C12" s="82"/>
      <c r="D12" s="79"/>
      <c r="E12" s="80"/>
      <c r="F12" s="80"/>
      <c r="G12" s="80"/>
      <c r="H12" s="79"/>
      <c r="I12" s="79"/>
      <c r="J12" s="79"/>
      <c r="K12" s="80"/>
      <c r="L12" s="78">
        <f>IF($B12="",0,IF(COUNTIF(MEMORIES!$B$6:$B$105,$B12)&gt;1,1,0))</f>
      </c>
      <c r="M12" s="75"/>
    </row>
    <row r="13" ht="17" customHeight="1" spans="1:13" x14ac:dyDescent="0.25">
      <c r="A13" s="75"/>
      <c r="B13" s="79"/>
      <c r="C13" s="82"/>
      <c r="D13" s="79"/>
      <c r="E13" s="80"/>
      <c r="F13" s="80"/>
      <c r="G13" s="80"/>
      <c r="H13" s="79"/>
      <c r="I13" s="79"/>
      <c r="J13" s="79"/>
      <c r="K13" s="80"/>
      <c r="L13" s="78">
        <f>IF($B13="",0,IF(COUNTIF(MEMORIES!$B$6:$B$105,$B13)&gt;1,1,0))</f>
      </c>
      <c r="M13" s="75"/>
    </row>
    <row r="14" ht="17" customHeight="1" spans="1:13" x14ac:dyDescent="0.25">
      <c r="A14" s="75"/>
      <c r="B14" s="79"/>
      <c r="C14" s="82"/>
      <c r="D14" s="79"/>
      <c r="E14" s="80"/>
      <c r="F14" s="80"/>
      <c r="G14" s="80"/>
      <c r="H14" s="79"/>
      <c r="I14" s="79"/>
      <c r="J14" s="79"/>
      <c r="K14" s="80"/>
      <c r="L14" s="78">
        <f>IF($B14="",0,IF(COUNTIF(MEMORIES!$B$6:$B$105,$B14)&gt;1,1,0))</f>
      </c>
      <c r="M14" s="75"/>
    </row>
    <row r="15" ht="17" customHeight="1" spans="1:13" x14ac:dyDescent="0.25">
      <c r="A15" s="75"/>
      <c r="B15" s="79"/>
      <c r="C15" s="82"/>
      <c r="D15" s="79"/>
      <c r="E15" s="80"/>
      <c r="F15" s="80"/>
      <c r="G15" s="80"/>
      <c r="H15" s="79"/>
      <c r="I15" s="79"/>
      <c r="J15" s="79"/>
      <c r="K15" s="80"/>
      <c r="L15" s="78">
        <f>IF($B15="",0,IF(COUNTIF(MEMORIES!$B$6:$B$105,$B15)&gt;1,1,0))</f>
      </c>
      <c r="M15" s="75"/>
    </row>
    <row r="16" ht="17" customHeight="1" spans="1:13" x14ac:dyDescent="0.25">
      <c r="A16" s="75"/>
      <c r="B16" s="79"/>
      <c r="C16" s="82"/>
      <c r="D16" s="79"/>
      <c r="E16" s="80"/>
      <c r="F16" s="80"/>
      <c r="G16" s="80"/>
      <c r="H16" s="79"/>
      <c r="I16" s="79"/>
      <c r="J16" s="79"/>
      <c r="K16" s="80"/>
      <c r="L16" s="78">
        <f>IF($B16="",0,IF(COUNTIF(MEMORIES!$B$6:$B$105,$B16)&gt;1,1,0))</f>
      </c>
      <c r="M16" s="75"/>
    </row>
    <row r="17" ht="17" customHeight="1" spans="1:13" x14ac:dyDescent="0.25">
      <c r="A17" s="75"/>
      <c r="B17" s="79"/>
      <c r="C17" s="82"/>
      <c r="D17" s="79"/>
      <c r="E17" s="80"/>
      <c r="F17" s="80"/>
      <c r="G17" s="80"/>
      <c r="H17" s="79"/>
      <c r="I17" s="79"/>
      <c r="J17" s="79"/>
      <c r="K17" s="80"/>
      <c r="L17" s="78">
        <f>IF($B17="",0,IF(COUNTIF(MEMORIES!$B$6:$B$105,$B17)&gt;1,1,0))</f>
      </c>
      <c r="M17" s="75"/>
    </row>
    <row r="18" ht="17" customHeight="1" spans="1:13" x14ac:dyDescent="0.25">
      <c r="A18" s="75"/>
      <c r="B18" s="79"/>
      <c r="C18" s="82"/>
      <c r="D18" s="79"/>
      <c r="E18" s="80"/>
      <c r="F18" s="80"/>
      <c r="G18" s="80"/>
      <c r="H18" s="79"/>
      <c r="I18" s="79"/>
      <c r="J18" s="79"/>
      <c r="K18" s="80"/>
      <c r="L18" s="78">
        <f>IF($B18="",0,IF(COUNTIF(MEMORIES!$B$6:$B$105,$B18)&gt;1,1,0))</f>
      </c>
      <c r="M18" s="75"/>
    </row>
    <row r="19" ht="17" customHeight="1" spans="1:13" x14ac:dyDescent="0.25">
      <c r="A19" s="75"/>
      <c r="B19" s="79"/>
      <c r="C19" s="82"/>
      <c r="D19" s="79"/>
      <c r="E19" s="80"/>
      <c r="F19" s="80"/>
      <c r="G19" s="80"/>
      <c r="H19" s="79"/>
      <c r="I19" s="79"/>
      <c r="J19" s="79"/>
      <c r="K19" s="80"/>
      <c r="L19" s="78">
        <f>IF($B19="",0,IF(COUNTIF(MEMORIES!$B$6:$B$105,$B19)&gt;1,1,0))</f>
      </c>
      <c r="M19" s="75"/>
    </row>
    <row r="20" ht="17" customHeight="1" spans="1:13" x14ac:dyDescent="0.25">
      <c r="A20" s="75"/>
      <c r="B20" s="79"/>
      <c r="C20" s="82"/>
      <c r="D20" s="79"/>
      <c r="E20" s="80"/>
      <c r="F20" s="80"/>
      <c r="G20" s="80"/>
      <c r="H20" s="79"/>
      <c r="I20" s="79"/>
      <c r="J20" s="79"/>
      <c r="K20" s="80"/>
      <c r="L20" s="78">
        <f>IF($B20="",0,IF(COUNTIF(MEMORIES!$B$6:$B$105,$B20)&gt;1,1,0))</f>
      </c>
      <c r="M20" s="75"/>
    </row>
    <row r="21" ht="17" customHeight="1" spans="1:13" x14ac:dyDescent="0.25">
      <c r="A21" s="75"/>
      <c r="B21" s="79"/>
      <c r="C21" s="82"/>
      <c r="D21" s="79"/>
      <c r="E21" s="80"/>
      <c r="F21" s="80"/>
      <c r="G21" s="80"/>
      <c r="H21" s="79"/>
      <c r="I21" s="79"/>
      <c r="J21" s="79"/>
      <c r="K21" s="80"/>
      <c r="L21" s="78">
        <f>IF($B21="",0,IF(COUNTIF(MEMORIES!$B$6:$B$105,$B21)&gt;1,1,0))</f>
      </c>
      <c r="M21" s="75"/>
    </row>
    <row r="22" ht="17" customHeight="1" spans="1:13" x14ac:dyDescent="0.25">
      <c r="A22" s="75"/>
      <c r="B22" s="79"/>
      <c r="C22" s="82"/>
      <c r="D22" s="79"/>
      <c r="E22" s="80"/>
      <c r="F22" s="80"/>
      <c r="G22" s="80"/>
      <c r="H22" s="79"/>
      <c r="I22" s="79"/>
      <c r="J22" s="79"/>
      <c r="K22" s="80"/>
      <c r="L22" s="78">
        <f>IF($B22="",0,IF(COUNTIF(MEMORIES!$B$6:$B$105,$B22)&gt;1,1,0))</f>
      </c>
      <c r="M22" s="75"/>
    </row>
    <row r="23" ht="17" customHeight="1" spans="1:13" x14ac:dyDescent="0.25">
      <c r="A23" s="75"/>
      <c r="B23" s="79"/>
      <c r="C23" s="82"/>
      <c r="D23" s="79"/>
      <c r="E23" s="80"/>
      <c r="F23" s="80"/>
      <c r="G23" s="80"/>
      <c r="H23" s="79"/>
      <c r="I23" s="79"/>
      <c r="J23" s="79"/>
      <c r="K23" s="80"/>
      <c r="L23" s="78">
        <f>IF($B23="",0,IF(COUNTIF(MEMORIES!$B$6:$B$105,$B23)&gt;1,1,0))</f>
      </c>
      <c r="M23" s="75"/>
    </row>
    <row r="24" ht="17" customHeight="1" spans="1:13" x14ac:dyDescent="0.25">
      <c r="A24" s="75"/>
      <c r="B24" s="79"/>
      <c r="C24" s="82"/>
      <c r="D24" s="79"/>
      <c r="E24" s="80"/>
      <c r="F24" s="80"/>
      <c r="G24" s="80"/>
      <c r="H24" s="79"/>
      <c r="I24" s="79"/>
      <c r="J24" s="79"/>
      <c r="K24" s="80"/>
      <c r="L24" s="78">
        <f>IF($B24="",0,IF(COUNTIF(MEMORIES!$B$6:$B$105,$B24)&gt;1,1,0))</f>
      </c>
      <c r="M24" s="75"/>
    </row>
    <row r="25" ht="17" customHeight="1" spans="1:13" x14ac:dyDescent="0.25">
      <c r="A25" s="75"/>
      <c r="B25" s="79"/>
      <c r="C25" s="82"/>
      <c r="D25" s="79"/>
      <c r="E25" s="80"/>
      <c r="F25" s="80"/>
      <c r="G25" s="80"/>
      <c r="H25" s="79"/>
      <c r="I25" s="79"/>
      <c r="J25" s="79"/>
      <c r="K25" s="80"/>
      <c r="L25" s="78">
        <f>IF($B25="",0,IF(COUNTIF(MEMORIES!$B$6:$B$105,$B25)&gt;1,1,0))</f>
      </c>
      <c r="M25" s="75"/>
    </row>
    <row r="26" ht="17" customHeight="1" spans="1:13" x14ac:dyDescent="0.25">
      <c r="A26" s="75"/>
      <c r="B26" s="79"/>
      <c r="C26" s="82"/>
      <c r="D26" s="79"/>
      <c r="E26" s="80"/>
      <c r="F26" s="80"/>
      <c r="G26" s="80"/>
      <c r="H26" s="79"/>
      <c r="I26" s="79"/>
      <c r="J26" s="79"/>
      <c r="K26" s="80"/>
      <c r="L26" s="78">
        <f>IF($B26="",0,IF(COUNTIF(MEMORIES!$B$6:$B$105,$B26)&gt;1,1,0))</f>
      </c>
      <c r="M26" s="75"/>
    </row>
    <row r="27" ht="17" customHeight="1" spans="1:13" x14ac:dyDescent="0.25">
      <c r="A27" s="75"/>
      <c r="B27" s="79"/>
      <c r="C27" s="82"/>
      <c r="D27" s="79"/>
      <c r="E27" s="80"/>
      <c r="F27" s="80"/>
      <c r="G27" s="80"/>
      <c r="H27" s="79"/>
      <c r="I27" s="79"/>
      <c r="J27" s="79"/>
      <c r="K27" s="80"/>
      <c r="L27" s="78">
        <f>IF($B27="",0,IF(COUNTIF(MEMORIES!$B$6:$B$105,$B27)&gt;1,1,0))</f>
      </c>
      <c r="M27" s="75"/>
    </row>
    <row r="28" ht="17" customHeight="1" spans="1:13" x14ac:dyDescent="0.25">
      <c r="A28" s="75"/>
      <c r="B28" s="79"/>
      <c r="C28" s="82"/>
      <c r="D28" s="79"/>
      <c r="E28" s="80"/>
      <c r="F28" s="80"/>
      <c r="G28" s="80"/>
      <c r="H28" s="79"/>
      <c r="I28" s="79"/>
      <c r="J28" s="79"/>
      <c r="K28" s="80"/>
      <c r="L28" s="78">
        <f>IF($B28="",0,IF(COUNTIF(MEMORIES!$B$6:$B$105,$B28)&gt;1,1,0))</f>
      </c>
      <c r="M28" s="75"/>
    </row>
    <row r="29" ht="17" customHeight="1" spans="1:13" x14ac:dyDescent="0.25">
      <c r="A29" s="75"/>
      <c r="B29" s="79"/>
      <c r="C29" s="82"/>
      <c r="D29" s="79"/>
      <c r="E29" s="80"/>
      <c r="F29" s="80"/>
      <c r="G29" s="80"/>
      <c r="H29" s="79"/>
      <c r="I29" s="79"/>
      <c r="J29" s="79"/>
      <c r="K29" s="80"/>
      <c r="L29" s="78">
        <f>IF($B29="",0,IF(COUNTIF(MEMORIES!$B$6:$B$105,$B29)&gt;1,1,0))</f>
      </c>
      <c r="M29" s="75"/>
    </row>
    <row r="30" ht="17" customHeight="1" spans="1:13" x14ac:dyDescent="0.25">
      <c r="A30" s="75"/>
      <c r="B30" s="79"/>
      <c r="C30" s="82"/>
      <c r="D30" s="79"/>
      <c r="E30" s="80"/>
      <c r="F30" s="80"/>
      <c r="G30" s="80"/>
      <c r="H30" s="79"/>
      <c r="I30" s="79"/>
      <c r="J30" s="79"/>
      <c r="K30" s="80"/>
      <c r="L30" s="78">
        <f>IF($B30="",0,IF(COUNTIF(MEMORIES!$B$6:$B$105,$B30)&gt;1,1,0))</f>
      </c>
      <c r="M30" s="75"/>
    </row>
    <row r="31" ht="17" customHeight="1" spans="1:13" x14ac:dyDescent="0.25">
      <c r="A31" s="75"/>
      <c r="B31" s="79"/>
      <c r="C31" s="82"/>
      <c r="D31" s="79"/>
      <c r="E31" s="80"/>
      <c r="F31" s="80"/>
      <c r="G31" s="80"/>
      <c r="H31" s="79"/>
      <c r="I31" s="79"/>
      <c r="J31" s="79"/>
      <c r="K31" s="80"/>
      <c r="L31" s="78">
        <f>IF($B31="",0,IF(COUNTIF(MEMORIES!$B$6:$B$105,$B31)&gt;1,1,0))</f>
      </c>
      <c r="M31" s="75"/>
    </row>
    <row r="32" ht="17" customHeight="1" spans="1:13" x14ac:dyDescent="0.25">
      <c r="A32" s="75"/>
      <c r="B32" s="79"/>
      <c r="C32" s="82"/>
      <c r="D32" s="79"/>
      <c r="E32" s="80"/>
      <c r="F32" s="80"/>
      <c r="G32" s="80"/>
      <c r="H32" s="79"/>
      <c r="I32" s="79"/>
      <c r="J32" s="79"/>
      <c r="K32" s="80"/>
      <c r="L32" s="78">
        <f>IF($B32="",0,IF(COUNTIF(MEMORIES!$B$6:$B$105,$B32)&gt;1,1,0))</f>
      </c>
      <c r="M32" s="75"/>
    </row>
    <row r="33" ht="17" customHeight="1" spans="1:13" x14ac:dyDescent="0.25">
      <c r="A33" s="75"/>
      <c r="B33" s="79"/>
      <c r="C33" s="82"/>
      <c r="D33" s="79"/>
      <c r="E33" s="80"/>
      <c r="F33" s="80"/>
      <c r="G33" s="80"/>
      <c r="H33" s="79"/>
      <c r="I33" s="79"/>
      <c r="J33" s="79"/>
      <c r="K33" s="80"/>
      <c r="L33" s="78">
        <f>IF($B33="",0,IF(COUNTIF(MEMORIES!$B$6:$B$105,$B33)&gt;1,1,0))</f>
      </c>
      <c r="M33" s="75"/>
    </row>
    <row r="34" ht="17" customHeight="1" spans="1:13" x14ac:dyDescent="0.25">
      <c r="A34" s="75"/>
      <c r="B34" s="79"/>
      <c r="C34" s="82"/>
      <c r="D34" s="79"/>
      <c r="E34" s="80"/>
      <c r="F34" s="80"/>
      <c r="G34" s="80"/>
      <c r="H34" s="79"/>
      <c r="I34" s="79"/>
      <c r="J34" s="79"/>
      <c r="K34" s="80"/>
      <c r="L34" s="78">
        <f>IF($B34="",0,IF(COUNTIF(MEMORIES!$B$6:$B$105,$B34)&gt;1,1,0))</f>
      </c>
      <c r="M34" s="75"/>
    </row>
    <row r="35" ht="17" customHeight="1" spans="1:13" x14ac:dyDescent="0.25">
      <c r="A35" s="75"/>
      <c r="B35" s="79"/>
      <c r="C35" s="82"/>
      <c r="D35" s="79"/>
      <c r="E35" s="80"/>
      <c r="F35" s="80"/>
      <c r="G35" s="80"/>
      <c r="H35" s="79"/>
      <c r="I35" s="79"/>
      <c r="J35" s="79"/>
      <c r="K35" s="80"/>
      <c r="L35" s="78">
        <f>IF($B35="",0,IF(COUNTIF(MEMORIES!$B$6:$B$105,$B35)&gt;1,1,0))</f>
      </c>
      <c r="M35" s="75"/>
    </row>
    <row r="36" ht="17" customHeight="1" spans="1:13" x14ac:dyDescent="0.25">
      <c r="A36" s="75"/>
      <c r="B36" s="79"/>
      <c r="C36" s="82"/>
      <c r="D36" s="79"/>
      <c r="E36" s="80"/>
      <c r="F36" s="80"/>
      <c r="G36" s="80"/>
      <c r="H36" s="79"/>
      <c r="I36" s="79"/>
      <c r="J36" s="79"/>
      <c r="K36" s="80"/>
      <c r="L36" s="78">
        <f>IF($B36="",0,IF(COUNTIF(MEMORIES!$B$6:$B$105,$B36)&gt;1,1,0))</f>
      </c>
      <c r="M36" s="75"/>
    </row>
    <row r="37" ht="17" customHeight="1" spans="1:13" x14ac:dyDescent="0.25">
      <c r="A37" s="75"/>
      <c r="B37" s="79"/>
      <c r="C37" s="82"/>
      <c r="D37" s="79"/>
      <c r="E37" s="80"/>
      <c r="F37" s="80"/>
      <c r="G37" s="80"/>
      <c r="H37" s="79"/>
      <c r="I37" s="79"/>
      <c r="J37" s="79"/>
      <c r="K37" s="80"/>
      <c r="L37" s="78">
        <f>IF($B37="",0,IF(COUNTIF(MEMORIES!$B$6:$B$105,$B37)&gt;1,1,0))</f>
      </c>
      <c r="M37" s="75"/>
    </row>
    <row r="38" ht="17" customHeight="1" spans="1:13" x14ac:dyDescent="0.25">
      <c r="A38" s="75"/>
      <c r="B38" s="79"/>
      <c r="C38" s="82"/>
      <c r="D38" s="79"/>
      <c r="E38" s="80"/>
      <c r="F38" s="80"/>
      <c r="G38" s="80"/>
      <c r="H38" s="79"/>
      <c r="I38" s="79"/>
      <c r="J38" s="79"/>
      <c r="K38" s="80"/>
      <c r="L38" s="78">
        <f>IF($B38="",0,IF(COUNTIF(MEMORIES!$B$6:$B$105,$B38)&gt;1,1,0))</f>
      </c>
      <c r="M38" s="75"/>
    </row>
    <row r="39" ht="17" customHeight="1" spans="1:13" x14ac:dyDescent="0.25">
      <c r="A39" s="75"/>
      <c r="B39" s="79"/>
      <c r="C39" s="82"/>
      <c r="D39" s="79"/>
      <c r="E39" s="80"/>
      <c r="F39" s="80"/>
      <c r="G39" s="80"/>
      <c r="H39" s="79"/>
      <c r="I39" s="79"/>
      <c r="J39" s="79"/>
      <c r="K39" s="80"/>
      <c r="L39" s="78">
        <f>IF($B39="",0,IF(COUNTIF(MEMORIES!$B$6:$B$105,$B39)&gt;1,1,0))</f>
      </c>
      <c r="M39" s="75"/>
    </row>
    <row r="40" ht="17" customHeight="1" spans="1:13" x14ac:dyDescent="0.25">
      <c r="A40" s="75"/>
      <c r="B40" s="79"/>
      <c r="C40" s="82"/>
      <c r="D40" s="79"/>
      <c r="E40" s="80"/>
      <c r="F40" s="80"/>
      <c r="G40" s="80"/>
      <c r="H40" s="79"/>
      <c r="I40" s="79"/>
      <c r="J40" s="79"/>
      <c r="K40" s="80"/>
      <c r="L40" s="78">
        <f>IF($B40="",0,IF(COUNTIF(MEMORIES!$B$6:$B$105,$B40)&gt;1,1,0))</f>
      </c>
      <c r="M40" s="75"/>
    </row>
    <row r="41" ht="17" customHeight="1" spans="1:13" x14ac:dyDescent="0.25">
      <c r="A41" s="75"/>
      <c r="B41" s="79"/>
      <c r="C41" s="82"/>
      <c r="D41" s="79"/>
      <c r="E41" s="80"/>
      <c r="F41" s="80"/>
      <c r="G41" s="80"/>
      <c r="H41" s="79"/>
      <c r="I41" s="79"/>
      <c r="J41" s="79"/>
      <c r="K41" s="80"/>
      <c r="L41" s="78">
        <f>IF($B41="",0,IF(COUNTIF(MEMORIES!$B$6:$B$105,$B41)&gt;1,1,0))</f>
      </c>
      <c r="M41" s="75"/>
    </row>
    <row r="42" ht="17" customHeight="1" spans="1:13" x14ac:dyDescent="0.25">
      <c r="A42" s="75"/>
      <c r="B42" s="79"/>
      <c r="C42" s="82"/>
      <c r="D42" s="79"/>
      <c r="E42" s="80"/>
      <c r="F42" s="80"/>
      <c r="G42" s="80"/>
      <c r="H42" s="79"/>
      <c r="I42" s="79"/>
      <c r="J42" s="79"/>
      <c r="K42" s="80"/>
      <c r="L42" s="78">
        <f>IF($B42="",0,IF(COUNTIF(MEMORIES!$B$6:$B$105,$B42)&gt;1,1,0))</f>
      </c>
      <c r="M42" s="75"/>
    </row>
    <row r="43" ht="17" customHeight="1" spans="1:13" x14ac:dyDescent="0.25">
      <c r="A43" s="75"/>
      <c r="B43" s="79"/>
      <c r="C43" s="82"/>
      <c r="D43" s="79"/>
      <c r="E43" s="80"/>
      <c r="F43" s="80"/>
      <c r="G43" s="80"/>
      <c r="H43" s="79"/>
      <c r="I43" s="79"/>
      <c r="J43" s="79"/>
      <c r="K43" s="80"/>
      <c r="L43" s="78">
        <f>IF($B43="",0,IF(COUNTIF(MEMORIES!$B$6:$B$105,$B43)&gt;1,1,0))</f>
      </c>
      <c r="M43" s="75"/>
    </row>
    <row r="44" ht="17" customHeight="1" spans="1:13" x14ac:dyDescent="0.25">
      <c r="A44" s="75"/>
      <c r="B44" s="79"/>
      <c r="C44" s="82"/>
      <c r="D44" s="79"/>
      <c r="E44" s="80"/>
      <c r="F44" s="80"/>
      <c r="G44" s="80"/>
      <c r="H44" s="79"/>
      <c r="I44" s="79"/>
      <c r="J44" s="79"/>
      <c r="K44" s="80"/>
      <c r="L44" s="78">
        <f>IF($B44="",0,IF(COUNTIF(MEMORIES!$B$6:$B$105,$B44)&gt;1,1,0))</f>
      </c>
      <c r="M44" s="75"/>
    </row>
    <row r="45" ht="17" customHeight="1" spans="1:13" x14ac:dyDescent="0.25">
      <c r="A45" s="75"/>
      <c r="B45" s="79"/>
      <c r="C45" s="82"/>
      <c r="D45" s="79"/>
      <c r="E45" s="80"/>
      <c r="F45" s="80"/>
      <c r="G45" s="80"/>
      <c r="H45" s="79"/>
      <c r="I45" s="79"/>
      <c r="J45" s="79"/>
      <c r="K45" s="80"/>
      <c r="L45" s="78">
        <f>IF($B45="",0,IF(COUNTIF(MEMORIES!$B$6:$B$105,$B45)&gt;1,1,0))</f>
      </c>
      <c r="M45" s="75"/>
    </row>
    <row r="46" ht="17" customHeight="1" spans="1:13" x14ac:dyDescent="0.25">
      <c r="A46" s="75"/>
      <c r="B46" s="79"/>
      <c r="C46" s="82"/>
      <c r="D46" s="79"/>
      <c r="E46" s="80"/>
      <c r="F46" s="80"/>
      <c r="G46" s="80"/>
      <c r="H46" s="79"/>
      <c r="I46" s="79"/>
      <c r="J46" s="79"/>
      <c r="K46" s="80"/>
      <c r="L46" s="78">
        <f>IF($B46="",0,IF(COUNTIF(MEMORIES!$B$6:$B$105,$B46)&gt;1,1,0))</f>
      </c>
      <c r="M46" s="75"/>
    </row>
    <row r="47" ht="17" customHeight="1" spans="1:13" x14ac:dyDescent="0.25">
      <c r="A47" s="75"/>
      <c r="B47" s="79"/>
      <c r="C47" s="82"/>
      <c r="D47" s="79"/>
      <c r="E47" s="80"/>
      <c r="F47" s="80"/>
      <c r="G47" s="80"/>
      <c r="H47" s="79"/>
      <c r="I47" s="79"/>
      <c r="J47" s="79"/>
      <c r="K47" s="80"/>
      <c r="L47" s="78">
        <f>IF($B47="",0,IF(COUNTIF(MEMORIES!$B$6:$B$105,$B47)&gt;1,1,0))</f>
      </c>
      <c r="M47" s="75"/>
    </row>
    <row r="48" ht="17" customHeight="1" spans="1:13" x14ac:dyDescent="0.25">
      <c r="A48" s="75"/>
      <c r="B48" s="79"/>
      <c r="C48" s="82"/>
      <c r="D48" s="79"/>
      <c r="E48" s="80"/>
      <c r="F48" s="80"/>
      <c r="G48" s="80"/>
      <c r="H48" s="79"/>
      <c r="I48" s="79"/>
      <c r="J48" s="79"/>
      <c r="K48" s="80"/>
      <c r="L48" s="78">
        <f>IF($B48="",0,IF(COUNTIF(MEMORIES!$B$6:$B$105,$B48)&gt;1,1,0))</f>
      </c>
      <c r="M48" s="75"/>
    </row>
    <row r="49" ht="17" customHeight="1" spans="1:13" x14ac:dyDescent="0.25">
      <c r="A49" s="75"/>
      <c r="B49" s="79"/>
      <c r="C49" s="82"/>
      <c r="D49" s="79"/>
      <c r="E49" s="80"/>
      <c r="F49" s="80"/>
      <c r="G49" s="80"/>
      <c r="H49" s="79"/>
      <c r="I49" s="79"/>
      <c r="J49" s="79"/>
      <c r="K49" s="80"/>
      <c r="L49" s="78">
        <f>IF($B49="",0,IF(COUNTIF(MEMORIES!$B$6:$B$105,$B49)&gt;1,1,0))</f>
      </c>
      <c r="M49" s="75"/>
    </row>
    <row r="50" ht="17" customHeight="1" spans="1:13" x14ac:dyDescent="0.25">
      <c r="A50" s="75"/>
      <c r="B50" s="79"/>
      <c r="C50" s="82"/>
      <c r="D50" s="79"/>
      <c r="E50" s="80"/>
      <c r="F50" s="80"/>
      <c r="G50" s="80"/>
      <c r="H50" s="79"/>
      <c r="I50" s="79"/>
      <c r="J50" s="79"/>
      <c r="K50" s="80"/>
      <c r="L50" s="78">
        <f>IF($B50="",0,IF(COUNTIF(MEMORIES!$B$6:$B$105,$B50)&gt;1,1,0))</f>
      </c>
      <c r="M50" s="75"/>
    </row>
    <row r="51" ht="17" customHeight="1" spans="1:13" x14ac:dyDescent="0.25">
      <c r="A51" s="75"/>
      <c r="B51" s="79"/>
      <c r="C51" s="82"/>
      <c r="D51" s="79"/>
      <c r="E51" s="80"/>
      <c r="F51" s="80"/>
      <c r="G51" s="80"/>
      <c r="H51" s="79"/>
      <c r="I51" s="79"/>
      <c r="J51" s="79"/>
      <c r="K51" s="80"/>
      <c r="L51" s="78">
        <f>IF($B51="",0,IF(COUNTIF(MEMORIES!$B$6:$B$105,$B51)&gt;1,1,0))</f>
      </c>
      <c r="M51" s="75"/>
    </row>
    <row r="52" ht="17" customHeight="1" spans="1:13" x14ac:dyDescent="0.25">
      <c r="A52" s="75"/>
      <c r="B52" s="79"/>
      <c r="C52" s="82"/>
      <c r="D52" s="79"/>
      <c r="E52" s="80"/>
      <c r="F52" s="80"/>
      <c r="G52" s="80"/>
      <c r="H52" s="79"/>
      <c r="I52" s="79"/>
      <c r="J52" s="79"/>
      <c r="K52" s="80"/>
      <c r="L52" s="78">
        <f>IF($B52="",0,IF(COUNTIF(MEMORIES!$B$6:$B$105,$B52)&gt;1,1,0))</f>
      </c>
      <c r="M52" s="75"/>
    </row>
    <row r="53" ht="17" customHeight="1" spans="1:13" x14ac:dyDescent="0.25">
      <c r="A53" s="75"/>
      <c r="B53" s="79"/>
      <c r="C53" s="82"/>
      <c r="D53" s="79"/>
      <c r="E53" s="80"/>
      <c r="F53" s="80"/>
      <c r="G53" s="80"/>
      <c r="H53" s="79"/>
      <c r="I53" s="79"/>
      <c r="J53" s="79"/>
      <c r="K53" s="80"/>
      <c r="L53" s="78">
        <f>IF($B53="",0,IF(COUNTIF(MEMORIES!$B$6:$B$105,$B53)&gt;1,1,0))</f>
      </c>
      <c r="M53" s="75"/>
    </row>
    <row r="54" ht="17" customHeight="1" spans="1:13" x14ac:dyDescent="0.25">
      <c r="A54" s="75"/>
      <c r="B54" s="79"/>
      <c r="C54" s="82"/>
      <c r="D54" s="79"/>
      <c r="E54" s="80"/>
      <c r="F54" s="80"/>
      <c r="G54" s="80"/>
      <c r="H54" s="79"/>
      <c r="I54" s="79"/>
      <c r="J54" s="79"/>
      <c r="K54" s="80"/>
      <c r="L54" s="78">
        <f>IF($B54="",0,IF(COUNTIF(MEMORIES!$B$6:$B$105,$B54)&gt;1,1,0))</f>
      </c>
      <c r="M54" s="75"/>
    </row>
    <row r="55" ht="17" customHeight="1" spans="1:13" x14ac:dyDescent="0.25">
      <c r="A55" s="75"/>
      <c r="B55" s="79"/>
      <c r="C55" s="82"/>
      <c r="D55" s="79"/>
      <c r="E55" s="80"/>
      <c r="F55" s="80"/>
      <c r="G55" s="80"/>
      <c r="H55" s="79"/>
      <c r="I55" s="79"/>
      <c r="J55" s="79"/>
      <c r="K55" s="80"/>
      <c r="L55" s="78">
        <f>IF($B55="",0,IF(COUNTIF(MEMORIES!$B$6:$B$105,$B55)&gt;1,1,0))</f>
      </c>
      <c r="M55" s="75"/>
    </row>
    <row r="56" ht="17" customHeight="1" spans="1:13" x14ac:dyDescent="0.25">
      <c r="A56" s="75"/>
      <c r="B56" s="79"/>
      <c r="C56" s="82"/>
      <c r="D56" s="79"/>
      <c r="E56" s="80"/>
      <c r="F56" s="80"/>
      <c r="G56" s="80"/>
      <c r="H56" s="79"/>
      <c r="I56" s="79"/>
      <c r="J56" s="79"/>
      <c r="K56" s="80"/>
      <c r="L56" s="78">
        <f>IF($B56="",0,IF(COUNTIF(MEMORIES!$B$6:$B$105,$B56)&gt;1,1,0))</f>
      </c>
      <c r="M56" s="75"/>
    </row>
    <row r="57" ht="17" customHeight="1" spans="1:13" x14ac:dyDescent="0.25">
      <c r="A57" s="75"/>
      <c r="B57" s="79"/>
      <c r="C57" s="82"/>
      <c r="D57" s="79"/>
      <c r="E57" s="80"/>
      <c r="F57" s="80"/>
      <c r="G57" s="80"/>
      <c r="H57" s="79"/>
      <c r="I57" s="79"/>
      <c r="J57" s="79"/>
      <c r="K57" s="80"/>
      <c r="L57" s="78">
        <f>IF($B57="",0,IF(COUNTIF(MEMORIES!$B$6:$B$105,$B57)&gt;1,1,0))</f>
      </c>
      <c r="M57" s="75"/>
    </row>
    <row r="58" ht="17" customHeight="1" spans="1:13" x14ac:dyDescent="0.25">
      <c r="A58" s="75"/>
      <c r="B58" s="79"/>
      <c r="C58" s="82"/>
      <c r="D58" s="79"/>
      <c r="E58" s="80"/>
      <c r="F58" s="80"/>
      <c r="G58" s="80"/>
      <c r="H58" s="79"/>
      <c r="I58" s="79"/>
      <c r="J58" s="79"/>
      <c r="K58" s="80"/>
      <c r="L58" s="78">
        <f>IF($B58="",0,IF(COUNTIF(MEMORIES!$B$6:$B$105,$B58)&gt;1,1,0))</f>
      </c>
      <c r="M58" s="75"/>
    </row>
    <row r="59" ht="17" customHeight="1" spans="1:13" x14ac:dyDescent="0.25">
      <c r="A59" s="75"/>
      <c r="B59" s="79"/>
      <c r="C59" s="82"/>
      <c r="D59" s="79"/>
      <c r="E59" s="80"/>
      <c r="F59" s="80"/>
      <c r="G59" s="80"/>
      <c r="H59" s="79"/>
      <c r="I59" s="79"/>
      <c r="J59" s="79"/>
      <c r="K59" s="80"/>
      <c r="L59" s="78">
        <f>IF($B59="",0,IF(COUNTIF(MEMORIES!$B$6:$B$105,$B59)&gt;1,1,0))</f>
      </c>
      <c r="M59" s="75"/>
    </row>
    <row r="60" ht="17" customHeight="1" spans="1:13" x14ac:dyDescent="0.25">
      <c r="A60" s="75"/>
      <c r="B60" s="79"/>
      <c r="C60" s="82"/>
      <c r="D60" s="79"/>
      <c r="E60" s="80"/>
      <c r="F60" s="80"/>
      <c r="G60" s="80"/>
      <c r="H60" s="79"/>
      <c r="I60" s="79"/>
      <c r="J60" s="79"/>
      <c r="K60" s="80"/>
      <c r="L60" s="78">
        <f>IF($B60="",0,IF(COUNTIF(MEMORIES!$B$6:$B$105,$B60)&gt;1,1,0))</f>
      </c>
      <c r="M60" s="75"/>
    </row>
    <row r="61" ht="17" customHeight="1" spans="1:13" x14ac:dyDescent="0.25">
      <c r="A61" s="75"/>
      <c r="B61" s="79"/>
      <c r="C61" s="82"/>
      <c r="D61" s="79"/>
      <c r="E61" s="80"/>
      <c r="F61" s="80"/>
      <c r="G61" s="80"/>
      <c r="H61" s="79"/>
      <c r="I61" s="79"/>
      <c r="J61" s="79"/>
      <c r="K61" s="80"/>
      <c r="L61" s="78">
        <f>IF($B61="",0,IF(COUNTIF(MEMORIES!$B$6:$B$105,$B61)&gt;1,1,0))</f>
      </c>
      <c r="M61" s="75"/>
    </row>
    <row r="62" ht="17" customHeight="1" spans="1:13" x14ac:dyDescent="0.25">
      <c r="A62" s="75"/>
      <c r="B62" s="79"/>
      <c r="C62" s="82"/>
      <c r="D62" s="79"/>
      <c r="E62" s="80"/>
      <c r="F62" s="80"/>
      <c r="G62" s="80"/>
      <c r="H62" s="79"/>
      <c r="I62" s="79"/>
      <c r="J62" s="79"/>
      <c r="K62" s="80"/>
      <c r="L62" s="78">
        <f>IF($B62="",0,IF(COUNTIF(MEMORIES!$B$6:$B$105,$B62)&gt;1,1,0))</f>
      </c>
      <c r="M62" s="75"/>
    </row>
    <row r="63" ht="17" customHeight="1" spans="1:13" x14ac:dyDescent="0.25">
      <c r="A63" s="75"/>
      <c r="B63" s="79"/>
      <c r="C63" s="82"/>
      <c r="D63" s="79"/>
      <c r="E63" s="80"/>
      <c r="F63" s="80"/>
      <c r="G63" s="80"/>
      <c r="H63" s="79"/>
      <c r="I63" s="79"/>
      <c r="J63" s="79"/>
      <c r="K63" s="80"/>
      <c r="L63" s="78">
        <f>IF($B63="",0,IF(COUNTIF(MEMORIES!$B$6:$B$105,$B63)&gt;1,1,0))</f>
      </c>
      <c r="M63" s="75"/>
    </row>
    <row r="64" ht="17" customHeight="1" spans="1:13" x14ac:dyDescent="0.25">
      <c r="A64" s="75"/>
      <c r="B64" s="79"/>
      <c r="C64" s="82"/>
      <c r="D64" s="79"/>
      <c r="E64" s="80"/>
      <c r="F64" s="80"/>
      <c r="G64" s="80"/>
      <c r="H64" s="79"/>
      <c r="I64" s="79"/>
      <c r="J64" s="79"/>
      <c r="K64" s="80"/>
      <c r="L64" s="78">
        <f>IF($B64="",0,IF(COUNTIF(MEMORIES!$B$6:$B$105,$B64)&gt;1,1,0))</f>
      </c>
      <c r="M64" s="75"/>
    </row>
    <row r="65" ht="17" customHeight="1" spans="1:13" x14ac:dyDescent="0.25">
      <c r="A65" s="75"/>
      <c r="B65" s="79"/>
      <c r="C65" s="82"/>
      <c r="D65" s="79"/>
      <c r="E65" s="80"/>
      <c r="F65" s="80"/>
      <c r="G65" s="80"/>
      <c r="H65" s="79"/>
      <c r="I65" s="79"/>
      <c r="J65" s="79"/>
      <c r="K65" s="80"/>
      <c r="L65" s="78">
        <f>IF($B65="",0,IF(COUNTIF(MEMORIES!$B$6:$B$105,$B65)&gt;1,1,0))</f>
      </c>
      <c r="M65" s="75"/>
    </row>
    <row r="66" ht="17" customHeight="1" spans="1:13" x14ac:dyDescent="0.25">
      <c r="A66" s="75"/>
      <c r="B66" s="79"/>
      <c r="C66" s="82"/>
      <c r="D66" s="79"/>
      <c r="E66" s="80"/>
      <c r="F66" s="80"/>
      <c r="G66" s="80"/>
      <c r="H66" s="79"/>
      <c r="I66" s="79"/>
      <c r="J66" s="79"/>
      <c r="K66" s="80"/>
      <c r="L66" s="78">
        <f>IF($B66="",0,IF(COUNTIF(MEMORIES!$B$6:$B$105,$B66)&gt;1,1,0))</f>
      </c>
      <c r="M66" s="75"/>
    </row>
    <row r="67" ht="17" customHeight="1" spans="1:13" x14ac:dyDescent="0.25">
      <c r="A67" s="75"/>
      <c r="B67" s="79"/>
      <c r="C67" s="82"/>
      <c r="D67" s="79"/>
      <c r="E67" s="80"/>
      <c r="F67" s="80"/>
      <c r="G67" s="80"/>
      <c r="H67" s="79"/>
      <c r="I67" s="79"/>
      <c r="J67" s="79"/>
      <c r="K67" s="80"/>
      <c r="L67" s="78">
        <f>IF($B67="",0,IF(COUNTIF(MEMORIES!$B$6:$B$105,$B67)&gt;1,1,0))</f>
      </c>
      <c r="M67" s="75"/>
    </row>
    <row r="68" ht="17" customHeight="1" spans="1:13" x14ac:dyDescent="0.25">
      <c r="A68" s="75"/>
      <c r="B68" s="79"/>
      <c r="C68" s="82"/>
      <c r="D68" s="79"/>
      <c r="E68" s="80"/>
      <c r="F68" s="80"/>
      <c r="G68" s="80"/>
      <c r="H68" s="79"/>
      <c r="I68" s="79"/>
      <c r="J68" s="79"/>
      <c r="K68" s="80"/>
      <c r="L68" s="78">
        <f>IF($B68="",0,IF(COUNTIF(MEMORIES!$B$6:$B$105,$B68)&gt;1,1,0))</f>
      </c>
      <c r="M68" s="75"/>
    </row>
    <row r="69" ht="17" customHeight="1" spans="1:13" x14ac:dyDescent="0.25">
      <c r="A69" s="75"/>
      <c r="B69" s="79"/>
      <c r="C69" s="82"/>
      <c r="D69" s="79"/>
      <c r="E69" s="80"/>
      <c r="F69" s="80"/>
      <c r="G69" s="80"/>
      <c r="H69" s="79"/>
      <c r="I69" s="79"/>
      <c r="J69" s="79"/>
      <c r="K69" s="80"/>
      <c r="L69" s="78">
        <f>IF($B69="",0,IF(COUNTIF(MEMORIES!$B$6:$B$105,$B69)&gt;1,1,0))</f>
      </c>
      <c r="M69" s="75"/>
    </row>
    <row r="70" ht="17" customHeight="1" spans="1:13" x14ac:dyDescent="0.25">
      <c r="A70" s="75"/>
      <c r="B70" s="79"/>
      <c r="C70" s="82"/>
      <c r="D70" s="79"/>
      <c r="E70" s="80"/>
      <c r="F70" s="80"/>
      <c r="G70" s="80"/>
      <c r="H70" s="79"/>
      <c r="I70" s="79"/>
      <c r="J70" s="79"/>
      <c r="K70" s="80"/>
      <c r="L70" s="78">
        <f>IF($B70="",0,IF(COUNTIF(MEMORIES!$B$6:$B$105,$B70)&gt;1,1,0))</f>
      </c>
      <c r="M70" s="75"/>
    </row>
    <row r="71" ht="17" customHeight="1" spans="1:13" x14ac:dyDescent="0.25">
      <c r="A71" s="75"/>
      <c r="B71" s="79"/>
      <c r="C71" s="82"/>
      <c r="D71" s="79"/>
      <c r="E71" s="80"/>
      <c r="F71" s="80"/>
      <c r="G71" s="80"/>
      <c r="H71" s="79"/>
      <c r="I71" s="79"/>
      <c r="J71" s="79"/>
      <c r="K71" s="80"/>
      <c r="L71" s="78">
        <f>IF($B71="",0,IF(COUNTIF(MEMORIES!$B$6:$B$105,$B71)&gt;1,1,0))</f>
      </c>
      <c r="M71" s="75"/>
    </row>
    <row r="72" ht="17" customHeight="1" spans="1:13" x14ac:dyDescent="0.25">
      <c r="A72" s="75"/>
      <c r="B72" s="79"/>
      <c r="C72" s="82"/>
      <c r="D72" s="79"/>
      <c r="E72" s="80"/>
      <c r="F72" s="80"/>
      <c r="G72" s="80"/>
      <c r="H72" s="79"/>
      <c r="I72" s="79"/>
      <c r="J72" s="79"/>
      <c r="K72" s="80"/>
      <c r="L72" s="78">
        <f>IF($B72="",0,IF(COUNTIF(MEMORIES!$B$6:$B$105,$B72)&gt;1,1,0))</f>
      </c>
      <c r="M72" s="75"/>
    </row>
    <row r="73" ht="17" customHeight="1" spans="1:13" x14ac:dyDescent="0.25">
      <c r="A73" s="75"/>
      <c r="B73" s="79"/>
      <c r="C73" s="82"/>
      <c r="D73" s="79"/>
      <c r="E73" s="80"/>
      <c r="F73" s="80"/>
      <c r="G73" s="80"/>
      <c r="H73" s="79"/>
      <c r="I73" s="79"/>
      <c r="J73" s="79"/>
      <c r="K73" s="80"/>
      <c r="L73" s="78">
        <f>IF($B73="",0,IF(COUNTIF(MEMORIES!$B$6:$B$105,$B73)&gt;1,1,0))</f>
      </c>
      <c r="M73" s="75"/>
    </row>
    <row r="74" ht="17" customHeight="1" spans="1:13" x14ac:dyDescent="0.25">
      <c r="A74" s="75"/>
      <c r="B74" s="79"/>
      <c r="C74" s="82"/>
      <c r="D74" s="79"/>
      <c r="E74" s="80"/>
      <c r="F74" s="80"/>
      <c r="G74" s="80"/>
      <c r="H74" s="79"/>
      <c r="I74" s="79"/>
      <c r="J74" s="79"/>
      <c r="K74" s="80"/>
      <c r="L74" s="78">
        <f>IF($B74="",0,IF(COUNTIF(MEMORIES!$B$6:$B$105,$B74)&gt;1,1,0))</f>
      </c>
      <c r="M74" s="75"/>
    </row>
    <row r="75" ht="17" customHeight="1" spans="1:13" x14ac:dyDescent="0.25">
      <c r="A75" s="75"/>
      <c r="B75" s="79"/>
      <c r="C75" s="82"/>
      <c r="D75" s="79"/>
      <c r="E75" s="80"/>
      <c r="F75" s="80"/>
      <c r="G75" s="80"/>
      <c r="H75" s="79"/>
      <c r="I75" s="79"/>
      <c r="J75" s="79"/>
      <c r="K75" s="80"/>
      <c r="L75" s="78">
        <f>IF($B75="",0,IF(COUNTIF(MEMORIES!$B$6:$B$105,$B75)&gt;1,1,0))</f>
      </c>
      <c r="M75" s="75"/>
    </row>
    <row r="76" ht="17" customHeight="1" spans="1:13" x14ac:dyDescent="0.25">
      <c r="A76" s="75"/>
      <c r="B76" s="79"/>
      <c r="C76" s="82"/>
      <c r="D76" s="79"/>
      <c r="E76" s="80"/>
      <c r="F76" s="80"/>
      <c r="G76" s="80"/>
      <c r="H76" s="79"/>
      <c r="I76" s="79"/>
      <c r="J76" s="79"/>
      <c r="K76" s="80"/>
      <c r="L76" s="78">
        <f>IF($B76="",0,IF(COUNTIF(MEMORIES!$B$6:$B$105,$B76)&gt;1,1,0))</f>
      </c>
      <c r="M76" s="75"/>
    </row>
    <row r="77" ht="17" customHeight="1" spans="1:13" x14ac:dyDescent="0.25">
      <c r="A77" s="75"/>
      <c r="B77" s="79"/>
      <c r="C77" s="82"/>
      <c r="D77" s="79"/>
      <c r="E77" s="80"/>
      <c r="F77" s="80"/>
      <c r="G77" s="80"/>
      <c r="H77" s="79"/>
      <c r="I77" s="79"/>
      <c r="J77" s="79"/>
      <c r="K77" s="80"/>
      <c r="L77" s="78">
        <f>IF($B77="",0,IF(COUNTIF(MEMORIES!$B$6:$B$105,$B77)&gt;1,1,0))</f>
      </c>
      <c r="M77" s="75"/>
    </row>
    <row r="78" ht="17" customHeight="1" spans="1:13" x14ac:dyDescent="0.25">
      <c r="A78" s="75"/>
      <c r="B78" s="79"/>
      <c r="C78" s="82"/>
      <c r="D78" s="79"/>
      <c r="E78" s="80"/>
      <c r="F78" s="80"/>
      <c r="G78" s="80"/>
      <c r="H78" s="79"/>
      <c r="I78" s="79"/>
      <c r="J78" s="79"/>
      <c r="K78" s="80"/>
      <c r="L78" s="78">
        <f>IF($B78="",0,IF(COUNTIF(MEMORIES!$B$6:$B$105,$B78)&gt;1,1,0))</f>
      </c>
      <c r="M78" s="75"/>
    </row>
    <row r="79" ht="17" customHeight="1" spans="1:13" x14ac:dyDescent="0.25">
      <c r="A79" s="75"/>
      <c r="B79" s="79"/>
      <c r="C79" s="82"/>
      <c r="D79" s="79"/>
      <c r="E79" s="80"/>
      <c r="F79" s="80"/>
      <c r="G79" s="80"/>
      <c r="H79" s="79"/>
      <c r="I79" s="79"/>
      <c r="J79" s="79"/>
      <c r="K79" s="80"/>
      <c r="L79" s="78">
        <f>IF($B79="",0,IF(COUNTIF(MEMORIES!$B$6:$B$105,$B79)&gt;1,1,0))</f>
      </c>
      <c r="M79" s="75"/>
    </row>
    <row r="80" ht="17" customHeight="1" spans="1:13" x14ac:dyDescent="0.25">
      <c r="A80" s="75"/>
      <c r="B80" s="79"/>
      <c r="C80" s="82"/>
      <c r="D80" s="79"/>
      <c r="E80" s="80"/>
      <c r="F80" s="80"/>
      <c r="G80" s="80"/>
      <c r="H80" s="79"/>
      <c r="I80" s="79"/>
      <c r="J80" s="79"/>
      <c r="K80" s="80"/>
      <c r="L80" s="78">
        <f>IF($B80="",0,IF(COUNTIF(MEMORIES!$B$6:$B$105,$B80)&gt;1,1,0))</f>
      </c>
      <c r="M80" s="75"/>
    </row>
    <row r="81" ht="17" customHeight="1" spans="1:13" x14ac:dyDescent="0.25">
      <c r="A81" s="75"/>
      <c r="B81" s="79"/>
      <c r="C81" s="82"/>
      <c r="D81" s="79"/>
      <c r="E81" s="80"/>
      <c r="F81" s="80"/>
      <c r="G81" s="80"/>
      <c r="H81" s="79"/>
      <c r="I81" s="79"/>
      <c r="J81" s="79"/>
      <c r="K81" s="80"/>
      <c r="L81" s="78">
        <f>IF($B81="",0,IF(COUNTIF(MEMORIES!$B$6:$B$105,$B81)&gt;1,1,0))</f>
      </c>
      <c r="M81" s="75"/>
    </row>
    <row r="82" ht="17" customHeight="1" spans="1:13" x14ac:dyDescent="0.25">
      <c r="A82" s="75"/>
      <c r="B82" s="79"/>
      <c r="C82" s="82"/>
      <c r="D82" s="79"/>
      <c r="E82" s="80"/>
      <c r="F82" s="80"/>
      <c r="G82" s="80"/>
      <c r="H82" s="79"/>
      <c r="I82" s="79"/>
      <c r="J82" s="79"/>
      <c r="K82" s="80"/>
      <c r="L82" s="78">
        <f>IF($B82="",0,IF(COUNTIF(MEMORIES!$B$6:$B$105,$B82)&gt;1,1,0))</f>
      </c>
      <c r="M82" s="75"/>
    </row>
    <row r="83" ht="17" customHeight="1" spans="1:13" x14ac:dyDescent="0.25">
      <c r="A83" s="75"/>
      <c r="B83" s="79"/>
      <c r="C83" s="82"/>
      <c r="D83" s="79"/>
      <c r="E83" s="80"/>
      <c r="F83" s="80"/>
      <c r="G83" s="80"/>
      <c r="H83" s="79"/>
      <c r="I83" s="79"/>
      <c r="J83" s="79"/>
      <c r="K83" s="80"/>
      <c r="L83" s="78">
        <f>IF($B83="",0,IF(COUNTIF(MEMORIES!$B$6:$B$105,$B83)&gt;1,1,0))</f>
      </c>
      <c r="M83" s="75"/>
    </row>
    <row r="84" ht="17" customHeight="1" spans="1:13" x14ac:dyDescent="0.25">
      <c r="A84" s="75"/>
      <c r="B84" s="79"/>
      <c r="C84" s="82"/>
      <c r="D84" s="79"/>
      <c r="E84" s="80"/>
      <c r="F84" s="80"/>
      <c r="G84" s="80"/>
      <c r="H84" s="79"/>
      <c r="I84" s="79"/>
      <c r="J84" s="79"/>
      <c r="K84" s="80"/>
      <c r="L84" s="78">
        <f>IF($B84="",0,IF(COUNTIF(MEMORIES!$B$6:$B$105,$B84)&gt;1,1,0))</f>
      </c>
      <c r="M84" s="75"/>
    </row>
    <row r="85" ht="17" customHeight="1" spans="1:13" x14ac:dyDescent="0.25">
      <c r="A85" s="75"/>
      <c r="B85" s="79"/>
      <c r="C85" s="82"/>
      <c r="D85" s="79"/>
      <c r="E85" s="80"/>
      <c r="F85" s="80"/>
      <c r="G85" s="80"/>
      <c r="H85" s="79"/>
      <c r="I85" s="79"/>
      <c r="J85" s="79"/>
      <c r="K85" s="80"/>
      <c r="L85" s="78">
        <f>IF($B85="",0,IF(COUNTIF(MEMORIES!$B$6:$B$105,$B85)&gt;1,1,0))</f>
      </c>
      <c r="M85" s="75"/>
    </row>
    <row r="86" ht="17" customHeight="1" spans="1:13" x14ac:dyDescent="0.25">
      <c r="A86" s="75"/>
      <c r="B86" s="79"/>
      <c r="C86" s="82"/>
      <c r="D86" s="79"/>
      <c r="E86" s="80"/>
      <c r="F86" s="80"/>
      <c r="G86" s="80"/>
      <c r="H86" s="79"/>
      <c r="I86" s="79"/>
      <c r="J86" s="79"/>
      <c r="K86" s="80"/>
      <c r="L86" s="78">
        <f>IF($B86="",0,IF(COUNTIF(MEMORIES!$B$6:$B$105,$B86)&gt;1,1,0))</f>
      </c>
      <c r="M86" s="75"/>
    </row>
    <row r="87" ht="17" customHeight="1" spans="1:13" x14ac:dyDescent="0.25">
      <c r="A87" s="75"/>
      <c r="B87" s="79"/>
      <c r="C87" s="82"/>
      <c r="D87" s="79"/>
      <c r="E87" s="80"/>
      <c r="F87" s="80"/>
      <c r="G87" s="80"/>
      <c r="H87" s="79"/>
      <c r="I87" s="79"/>
      <c r="J87" s="79"/>
      <c r="K87" s="80"/>
      <c r="L87" s="78">
        <f>IF($B87="",0,IF(COUNTIF(MEMORIES!$B$6:$B$105,$B87)&gt;1,1,0))</f>
      </c>
      <c r="M87" s="75"/>
    </row>
    <row r="88" ht="17" customHeight="1" spans="1:13" x14ac:dyDescent="0.25">
      <c r="A88" s="75"/>
      <c r="B88" s="79"/>
      <c r="C88" s="82"/>
      <c r="D88" s="79"/>
      <c r="E88" s="80"/>
      <c r="F88" s="80"/>
      <c r="G88" s="80"/>
      <c r="H88" s="79"/>
      <c r="I88" s="79"/>
      <c r="J88" s="79"/>
      <c r="K88" s="80"/>
      <c r="L88" s="78">
        <f>IF($B88="",0,IF(COUNTIF(MEMORIES!$B$6:$B$105,$B88)&gt;1,1,0))</f>
      </c>
      <c r="M88" s="75"/>
    </row>
    <row r="89" ht="17" customHeight="1" spans="1:13" x14ac:dyDescent="0.25">
      <c r="A89" s="75"/>
      <c r="B89" s="79"/>
      <c r="C89" s="82"/>
      <c r="D89" s="79"/>
      <c r="E89" s="80"/>
      <c r="F89" s="80"/>
      <c r="G89" s="80"/>
      <c r="H89" s="79"/>
      <c r="I89" s="79"/>
      <c r="J89" s="79"/>
      <c r="K89" s="80"/>
      <c r="L89" s="78">
        <f>IF($B89="",0,IF(COUNTIF(MEMORIES!$B$6:$B$105,$B89)&gt;1,1,0))</f>
      </c>
      <c r="M89" s="75"/>
    </row>
    <row r="90" ht="17" customHeight="1" spans="1:13" x14ac:dyDescent="0.25">
      <c r="A90" s="75"/>
      <c r="B90" s="79"/>
      <c r="C90" s="82"/>
      <c r="D90" s="79"/>
      <c r="E90" s="80"/>
      <c r="F90" s="80"/>
      <c r="G90" s="80"/>
      <c r="H90" s="79"/>
      <c r="I90" s="79"/>
      <c r="J90" s="79"/>
      <c r="K90" s="80"/>
      <c r="L90" s="78">
        <f>IF($B90="",0,IF(COUNTIF(MEMORIES!$B$6:$B$105,$B90)&gt;1,1,0))</f>
      </c>
      <c r="M90" s="75"/>
    </row>
    <row r="91" ht="17" customHeight="1" spans="1:13" x14ac:dyDescent="0.25">
      <c r="A91" s="75"/>
      <c r="B91" s="79"/>
      <c r="C91" s="82"/>
      <c r="D91" s="79"/>
      <c r="E91" s="80"/>
      <c r="F91" s="80"/>
      <c r="G91" s="80"/>
      <c r="H91" s="79"/>
      <c r="I91" s="79"/>
      <c r="J91" s="79"/>
      <c r="K91" s="80"/>
      <c r="L91" s="78">
        <f>IF($B91="",0,IF(COUNTIF(MEMORIES!$B$6:$B$105,$B91)&gt;1,1,0))</f>
      </c>
      <c r="M91" s="75"/>
    </row>
    <row r="92" ht="17" customHeight="1" spans="1:13" x14ac:dyDescent="0.25">
      <c r="A92" s="75"/>
      <c r="B92" s="79"/>
      <c r="C92" s="82"/>
      <c r="D92" s="79"/>
      <c r="E92" s="80"/>
      <c r="F92" s="80"/>
      <c r="G92" s="80"/>
      <c r="H92" s="79"/>
      <c r="I92" s="79"/>
      <c r="J92" s="79"/>
      <c r="K92" s="80"/>
      <c r="L92" s="78">
        <f>IF($B92="",0,IF(COUNTIF(MEMORIES!$B$6:$B$105,$B92)&gt;1,1,0))</f>
      </c>
      <c r="M92" s="75"/>
    </row>
    <row r="93" ht="17" customHeight="1" spans="1:13" x14ac:dyDescent="0.25">
      <c r="A93" s="75"/>
      <c r="B93" s="79"/>
      <c r="C93" s="82"/>
      <c r="D93" s="79"/>
      <c r="E93" s="80"/>
      <c r="F93" s="80"/>
      <c r="G93" s="80"/>
      <c r="H93" s="79"/>
      <c r="I93" s="79"/>
      <c r="J93" s="79"/>
      <c r="K93" s="80"/>
      <c r="L93" s="78">
        <f>IF($B93="",0,IF(COUNTIF(MEMORIES!$B$6:$B$105,$B93)&gt;1,1,0))</f>
      </c>
      <c r="M93" s="75"/>
    </row>
    <row r="94" ht="17" customHeight="1" spans="1:13" x14ac:dyDescent="0.25">
      <c r="A94" s="75"/>
      <c r="B94" s="79"/>
      <c r="C94" s="82"/>
      <c r="D94" s="79"/>
      <c r="E94" s="80"/>
      <c r="F94" s="80"/>
      <c r="G94" s="80"/>
      <c r="H94" s="79"/>
      <c r="I94" s="79"/>
      <c r="J94" s="79"/>
      <c r="K94" s="80"/>
      <c r="L94" s="78">
        <f>IF($B94="",0,IF(COUNTIF(MEMORIES!$B$6:$B$105,$B94)&gt;1,1,0))</f>
      </c>
      <c r="M94" s="75"/>
    </row>
    <row r="95" ht="17" customHeight="1" spans="1:13" x14ac:dyDescent="0.25">
      <c r="A95" s="75"/>
      <c r="B95" s="79"/>
      <c r="C95" s="82"/>
      <c r="D95" s="79"/>
      <c r="E95" s="80"/>
      <c r="F95" s="80"/>
      <c r="G95" s="80"/>
      <c r="H95" s="79"/>
      <c r="I95" s="79"/>
      <c r="J95" s="79"/>
      <c r="K95" s="80"/>
      <c r="L95" s="78">
        <f>IF($B95="",0,IF(COUNTIF(MEMORIES!$B$6:$B$105,$B95)&gt;1,1,0))</f>
      </c>
      <c r="M95" s="75"/>
    </row>
    <row r="96" ht="17" customHeight="1" spans="1:13" x14ac:dyDescent="0.25">
      <c r="A96" s="75"/>
      <c r="B96" s="79"/>
      <c r="C96" s="82"/>
      <c r="D96" s="79"/>
      <c r="E96" s="80"/>
      <c r="F96" s="80"/>
      <c r="G96" s="80"/>
      <c r="H96" s="79"/>
      <c r="I96" s="79"/>
      <c r="J96" s="79"/>
      <c r="K96" s="80"/>
      <c r="L96" s="78">
        <f>IF($B96="",0,IF(COUNTIF(MEMORIES!$B$6:$B$105,$B96)&gt;1,1,0))</f>
      </c>
      <c r="M96" s="75"/>
    </row>
    <row r="97" ht="17" customHeight="1" spans="1:13" x14ac:dyDescent="0.25">
      <c r="A97" s="75"/>
      <c r="B97" s="79"/>
      <c r="C97" s="82"/>
      <c r="D97" s="79"/>
      <c r="E97" s="80"/>
      <c r="F97" s="80"/>
      <c r="G97" s="80"/>
      <c r="H97" s="79"/>
      <c r="I97" s="79"/>
      <c r="J97" s="79"/>
      <c r="K97" s="80"/>
      <c r="L97" s="78">
        <f>IF($B97="",0,IF(COUNTIF(MEMORIES!$B$6:$B$105,$B97)&gt;1,1,0))</f>
      </c>
      <c r="M97" s="75"/>
    </row>
    <row r="98" ht="17" customHeight="1" spans="1:13" x14ac:dyDescent="0.25">
      <c r="A98" s="75"/>
      <c r="B98" s="79"/>
      <c r="C98" s="82"/>
      <c r="D98" s="79"/>
      <c r="E98" s="80"/>
      <c r="F98" s="80"/>
      <c r="G98" s="80"/>
      <c r="H98" s="79"/>
      <c r="I98" s="79"/>
      <c r="J98" s="79"/>
      <c r="K98" s="80"/>
      <c r="L98" s="78">
        <f>IF($B98="",0,IF(COUNTIF(MEMORIES!$B$6:$B$105,$B98)&gt;1,1,0))</f>
      </c>
      <c r="M98" s="75"/>
    </row>
    <row r="99" ht="17" customHeight="1" spans="1:13" x14ac:dyDescent="0.25">
      <c r="A99" s="75"/>
      <c r="B99" s="79"/>
      <c r="C99" s="82"/>
      <c r="D99" s="79"/>
      <c r="E99" s="80"/>
      <c r="F99" s="80"/>
      <c r="G99" s="80"/>
      <c r="H99" s="79"/>
      <c r="I99" s="79"/>
      <c r="J99" s="79"/>
      <c r="K99" s="80"/>
      <c r="L99" s="78">
        <f>IF($B99="",0,IF(COUNTIF(MEMORIES!$B$6:$B$105,$B99)&gt;1,1,0))</f>
      </c>
      <c r="M99" s="75"/>
    </row>
    <row r="100" ht="17" customHeight="1" spans="1:13" x14ac:dyDescent="0.25">
      <c r="A100" s="75"/>
      <c r="B100" s="79"/>
      <c r="C100" s="82"/>
      <c r="D100" s="79"/>
      <c r="E100" s="80"/>
      <c r="F100" s="80"/>
      <c r="G100" s="80"/>
      <c r="H100" s="79"/>
      <c r="I100" s="79"/>
      <c r="J100" s="79"/>
      <c r="K100" s="80"/>
      <c r="L100" s="78">
        <f>IF($B100="",0,IF(COUNTIF(MEMORIES!$B$6:$B$105,$B100)&gt;1,1,0))</f>
      </c>
      <c r="M100" s="75"/>
    </row>
    <row r="101" ht="17" customHeight="1" spans="1:13" x14ac:dyDescent="0.25">
      <c r="A101" s="75"/>
      <c r="B101" s="79"/>
      <c r="C101" s="82"/>
      <c r="D101" s="79"/>
      <c r="E101" s="80"/>
      <c r="F101" s="80"/>
      <c r="G101" s="80"/>
      <c r="H101" s="79"/>
      <c r="I101" s="79"/>
      <c r="J101" s="79"/>
      <c r="K101" s="80"/>
      <c r="L101" s="78">
        <f>IF($B101="",0,IF(COUNTIF(MEMORIES!$B$6:$B$105,$B101)&gt;1,1,0))</f>
      </c>
      <c r="M101" s="75"/>
    </row>
    <row r="102" ht="17" customHeight="1" spans="1:13" x14ac:dyDescent="0.25">
      <c r="A102" s="75"/>
      <c r="B102" s="79"/>
      <c r="C102" s="82"/>
      <c r="D102" s="79"/>
      <c r="E102" s="80"/>
      <c r="F102" s="80"/>
      <c r="G102" s="80"/>
      <c r="H102" s="79"/>
      <c r="I102" s="79"/>
      <c r="J102" s="79"/>
      <c r="K102" s="80"/>
      <c r="L102" s="78">
        <f>IF($B102="",0,IF(COUNTIF(MEMORIES!$B$6:$B$105,$B102)&gt;1,1,0))</f>
      </c>
      <c r="M102" s="75"/>
    </row>
    <row r="103" ht="17" customHeight="1" spans="1:13" x14ac:dyDescent="0.25">
      <c r="A103" s="75"/>
      <c r="B103" s="79"/>
      <c r="C103" s="82"/>
      <c r="D103" s="79"/>
      <c r="E103" s="80"/>
      <c r="F103" s="80"/>
      <c r="G103" s="80"/>
      <c r="H103" s="79"/>
      <c r="I103" s="79"/>
      <c r="J103" s="79"/>
      <c r="K103" s="80"/>
      <c r="L103" s="78">
        <f>IF($B103="",0,IF(COUNTIF(MEMORIES!$B$6:$B$105,$B103)&gt;1,1,0))</f>
      </c>
      <c r="M103" s="75"/>
    </row>
    <row r="104" ht="17" customHeight="1" spans="1:13" x14ac:dyDescent="0.25">
      <c r="A104" s="75"/>
      <c r="B104" s="79"/>
      <c r="C104" s="82"/>
      <c r="D104" s="79"/>
      <c r="E104" s="80"/>
      <c r="F104" s="80"/>
      <c r="G104" s="80"/>
      <c r="H104" s="79"/>
      <c r="I104" s="79"/>
      <c r="J104" s="79"/>
      <c r="K104" s="80"/>
      <c r="L104" s="78">
        <f>IF($B104="",0,IF(COUNTIF(MEMORIES!$B$6:$B$105,$B104)&gt;1,1,0))</f>
      </c>
      <c r="M104" s="75"/>
    </row>
    <row r="105" ht="17" customHeight="1" spans="1:13" x14ac:dyDescent="0.25">
      <c r="A105" s="75"/>
      <c r="B105" s="79"/>
      <c r="C105" s="82"/>
      <c r="D105" s="79"/>
      <c r="E105" s="80"/>
      <c r="F105" s="80"/>
      <c r="G105" s="80"/>
      <c r="H105" s="79"/>
      <c r="I105" s="79"/>
      <c r="J105" s="79"/>
      <c r="K105" s="80"/>
      <c r="L105" s="78">
        <f>IF($B105="",0,IF(COUNTIF(MEMORIES!$B$6:$B$105,$B105)&gt;1,1,0))</f>
      </c>
      <c r="M105" s="75"/>
    </row>
  </sheetData>
  <autoFilter ref="B5:L105"/>
  <mergeCells count="1">
    <mergeCell ref="B1:C1"/>
  </mergeCells>
  <dataValidations count="3">
    <dataValidation type="custom" allowBlank="1" showErrorMessage="1" errorStyle="warning" errorTitle="That is not a date yet" error="Type a real date, so the workbook can count days with it. &quot;Before Christmas&quot; cannot be sorted." sqref="C6:C105">
      <formula1>=OR(C6="",ISNUMBER(C6))</formula1>
    </dataValidation>
    <dataValidation type="list" allowBlank="1" showErrorMessage="1" errorStyle="warning" errorTitle="Not one of the usual values" error="This column normally uses a value from the Rating list on LISTS. You can keep what you typed, or add it to the list so it appears in the dropdown." sqref="I6:I105">
      <formula1>=List_Rating</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J6:J10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&amp;LMEMORIES&amp;C&amp;P of &amp;N&amp;RThe Christmas Season Master Command Center™</oddFooter>
  </headerFooter>
  <legacyDrawing r:id="rId7"/>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K105"/>
  <sheetViews>
    <sheetView workbookViewId="0" showGridLines="0" zoomScale="90">
      <pane xSplit="4" ySplit="5" topLeftCell="E6" activePane="bottomRight" state="frozen"/>
      <selection pane="bottomRight"/>
    </sheetView>
  </sheetViews>
  <sheetFormatPr defaultRowHeight="15" outlineLevelRow="0" outlineLevelCol="0" x14ac:dyDescent="55"/>
  <cols>
    <col min="1" max="1" width="2" customWidth="1"/>
    <col min="2" max="2" width="11" customWidth="1"/>
    <col min="3" max="3" width="16" customWidth="1"/>
    <col min="4" max="4" width="50" customWidth="1"/>
    <col min="5" max="5" width="20" customWidth="1"/>
    <col min="6" max="6" width="34" customWidth="1"/>
    <col min="7" max="7" width="13" customWidth="1"/>
    <col min="8" max="8" width="11" customWidth="1"/>
    <col min="9" max="9" width="34" customWidth="1"/>
    <col min="10" max="10" width="18" hidden="1" customWidth="1"/>
    <col min="11" max="11" width="2" customWidth="1"/>
  </cols>
  <sheetData>
    <row r="1" ht="21" customHeight="1" spans="1:11" x14ac:dyDescent="0.25">
      <c r="A1" s="62"/>
      <c r="B1" s="63" t="s">
        <v>8</v>
      </c>
      <c r="C1" s="63"/>
      <c r="D1" s="63" t="s">
        <v>9</v>
      </c>
      <c r="E1" s="63" t="s">
        <v>10</v>
      </c>
      <c r="F1" s="63" t="s">
        <v>11</v>
      </c>
      <c r="G1" s="63" t="s">
        <v>12</v>
      </c>
      <c r="H1" s="62"/>
      <c r="I1" s="62"/>
      <c r="J1" s="62"/>
      <c r="K1" s="62"/>
    </row>
    <row r="2" ht="34" customHeight="1" spans="1:11" x14ac:dyDescent="0.25">
      <c r="A2" s="64"/>
      <c r="B2" s="65" t="s">
        <v>890</v>
      </c>
      <c r="C2" s="64"/>
      <c r="D2" s="64"/>
      <c r="E2" s="64"/>
      <c r="F2" s="64"/>
      <c r="G2" s="64"/>
      <c r="H2" s="64"/>
      <c r="I2" s="64"/>
      <c r="J2" s="64"/>
      <c r="K2" s="64"/>
    </row>
    <row r="3" ht="18" customHeight="1" spans="1:11" x14ac:dyDescent="0.25">
      <c r="A3" s="64"/>
      <c r="B3" s="66" t="s">
        <v>891</v>
      </c>
      <c r="C3" s="64"/>
      <c r="D3" s="64"/>
      <c r="E3" s="64"/>
      <c r="F3" s="64"/>
      <c r="G3" s="64"/>
      <c r="H3" s="64"/>
      <c r="I3" s="64"/>
      <c r="J3" s="64"/>
      <c r="K3" s="64"/>
    </row>
    <row r="4" ht="17" customHeight="1" spans="1:11" x14ac:dyDescent="0.25">
      <c r="A4" s="64"/>
      <c r="B4" s="67" t="s">
        <v>160</v>
      </c>
      <c r="C4" s="64"/>
      <c r="D4" s="64"/>
      <c r="E4" s="64"/>
      <c r="F4" s="64"/>
      <c r="G4" s="64"/>
      <c r="H4" s="64"/>
      <c r="I4" s="64"/>
      <c r="J4" s="64"/>
      <c r="K4" s="64"/>
    </row>
    <row r="5" ht="32" customHeight="1" spans="1:11" x14ac:dyDescent="0.25">
      <c r="A5" s="73"/>
      <c r="B5" s="74" t="s">
        <v>892</v>
      </c>
      <c r="C5" s="74" t="s">
        <v>701</v>
      </c>
      <c r="D5" s="74" t="s">
        <v>893</v>
      </c>
      <c r="E5" s="74" t="s">
        <v>894</v>
      </c>
      <c r="F5" s="74" t="s">
        <v>895</v>
      </c>
      <c r="G5" s="74" t="s">
        <v>896</v>
      </c>
      <c r="H5" s="74" t="s">
        <v>897</v>
      </c>
      <c r="I5" s="74" t="s">
        <v>179</v>
      </c>
      <c r="J5" s="74" t="s">
        <v>180</v>
      </c>
      <c r="K5" s="73"/>
    </row>
    <row r="6" ht="17" customHeight="1" spans="1:11" x14ac:dyDescent="0.25">
      <c r="A6" s="75"/>
      <c r="B6" s="76" t="s">
        <v>898</v>
      </c>
      <c r="C6" s="76" t="s">
        <v>899</v>
      </c>
      <c r="D6" s="77" t="s">
        <v>900</v>
      </c>
      <c r="E6" s="76" t="s">
        <v>901</v>
      </c>
      <c r="F6" s="77" t="s">
        <v>902</v>
      </c>
      <c r="G6" s="81"/>
      <c r="H6" s="76" t="s">
        <v>194</v>
      </c>
      <c r="I6" s="77" t="s">
        <v>186</v>
      </c>
      <c r="J6" s="78">
        <f>IF($B6="",0,IF(COUNTIF('NEXT YEAR NOTES'!$B$6:$B$105,$B6)&gt;1,1,0))</f>
      </c>
      <c r="K6" s="75"/>
    </row>
    <row r="7" ht="17" customHeight="1" spans="1:11" x14ac:dyDescent="0.25">
      <c r="A7" s="75"/>
      <c r="B7" s="76" t="s">
        <v>903</v>
      </c>
      <c r="C7" s="76" t="s">
        <v>904</v>
      </c>
      <c r="D7" s="77" t="s">
        <v>905</v>
      </c>
      <c r="E7" s="76" t="s">
        <v>906</v>
      </c>
      <c r="F7" s="77" t="s">
        <v>907</v>
      </c>
      <c r="G7" s="81">
        <v>46675</v>
      </c>
      <c r="H7" s="76" t="s">
        <v>194</v>
      </c>
      <c r="I7" s="77" t="s">
        <v>186</v>
      </c>
      <c r="J7" s="78">
        <f>IF($B7="",0,IF(COUNTIF('NEXT YEAR NOTES'!$B$6:$B$105,$B7)&gt;1,1,0))</f>
      </c>
      <c r="K7" s="75"/>
    </row>
    <row r="8" ht="17" customHeight="1" spans="1:11" x14ac:dyDescent="0.25">
      <c r="A8" s="75"/>
      <c r="B8" s="76" t="s">
        <v>908</v>
      </c>
      <c r="C8" s="76" t="s">
        <v>909</v>
      </c>
      <c r="D8" s="77" t="s">
        <v>910</v>
      </c>
      <c r="E8" s="76" t="s">
        <v>10</v>
      </c>
      <c r="F8" s="77" t="s">
        <v>911</v>
      </c>
      <c r="G8" s="81"/>
      <c r="H8" s="76" t="s">
        <v>194</v>
      </c>
      <c r="I8" s="77" t="s">
        <v>186</v>
      </c>
      <c r="J8" s="78">
        <f>IF($B8="",0,IF(COUNTIF('NEXT YEAR NOTES'!$B$6:$B$105,$B8)&gt;1,1,0))</f>
      </c>
      <c r="K8" s="75"/>
    </row>
    <row r="9" ht="17" customHeight="1" spans="1:11" x14ac:dyDescent="0.25">
      <c r="A9" s="75"/>
      <c r="B9" s="79"/>
      <c r="C9" s="79"/>
      <c r="D9" s="80"/>
      <c r="E9" s="79"/>
      <c r="F9" s="80"/>
      <c r="G9" s="82"/>
      <c r="H9" s="79"/>
      <c r="I9" s="80"/>
      <c r="J9" s="78">
        <f>IF($B9="",0,IF(COUNTIF('NEXT YEAR NOTES'!$B$6:$B$105,$B9)&gt;1,1,0))</f>
      </c>
      <c r="K9" s="75"/>
    </row>
    <row r="10" ht="17" customHeight="1" spans="1:11" x14ac:dyDescent="0.25">
      <c r="A10" s="75"/>
      <c r="B10" s="79"/>
      <c r="C10" s="79"/>
      <c r="D10" s="80"/>
      <c r="E10" s="79"/>
      <c r="F10" s="80"/>
      <c r="G10" s="82"/>
      <c r="H10" s="79"/>
      <c r="I10" s="80"/>
      <c r="J10" s="78">
        <f>IF($B10="",0,IF(COUNTIF('NEXT YEAR NOTES'!$B$6:$B$105,$B10)&gt;1,1,0))</f>
      </c>
      <c r="K10" s="75"/>
    </row>
    <row r="11" ht="17" customHeight="1" spans="1:11" x14ac:dyDescent="0.25">
      <c r="A11" s="75"/>
      <c r="B11" s="79"/>
      <c r="C11" s="79"/>
      <c r="D11" s="80"/>
      <c r="E11" s="79"/>
      <c r="F11" s="80"/>
      <c r="G11" s="82"/>
      <c r="H11" s="79"/>
      <c r="I11" s="80"/>
      <c r="J11" s="78">
        <f>IF($B11="",0,IF(COUNTIF('NEXT YEAR NOTES'!$B$6:$B$105,$B11)&gt;1,1,0))</f>
      </c>
      <c r="K11" s="75"/>
    </row>
    <row r="12" ht="17" customHeight="1" spans="1:11" x14ac:dyDescent="0.25">
      <c r="A12" s="75"/>
      <c r="B12" s="79"/>
      <c r="C12" s="79"/>
      <c r="D12" s="80"/>
      <c r="E12" s="79"/>
      <c r="F12" s="80"/>
      <c r="G12" s="82"/>
      <c r="H12" s="79"/>
      <c r="I12" s="80"/>
      <c r="J12" s="78">
        <f>IF($B12="",0,IF(COUNTIF('NEXT YEAR NOTES'!$B$6:$B$105,$B12)&gt;1,1,0))</f>
      </c>
      <c r="K12" s="75"/>
    </row>
    <row r="13" ht="17" customHeight="1" spans="1:11" x14ac:dyDescent="0.25">
      <c r="A13" s="75"/>
      <c r="B13" s="79"/>
      <c r="C13" s="79"/>
      <c r="D13" s="80"/>
      <c r="E13" s="79"/>
      <c r="F13" s="80"/>
      <c r="G13" s="82"/>
      <c r="H13" s="79"/>
      <c r="I13" s="80"/>
      <c r="J13" s="78">
        <f>IF($B13="",0,IF(COUNTIF('NEXT YEAR NOTES'!$B$6:$B$105,$B13)&gt;1,1,0))</f>
      </c>
      <c r="K13" s="75"/>
    </row>
    <row r="14" ht="17" customHeight="1" spans="1:11" x14ac:dyDescent="0.25">
      <c r="A14" s="75"/>
      <c r="B14" s="79"/>
      <c r="C14" s="79"/>
      <c r="D14" s="80"/>
      <c r="E14" s="79"/>
      <c r="F14" s="80"/>
      <c r="G14" s="82"/>
      <c r="H14" s="79"/>
      <c r="I14" s="80"/>
      <c r="J14" s="78">
        <f>IF($B14="",0,IF(COUNTIF('NEXT YEAR NOTES'!$B$6:$B$105,$B14)&gt;1,1,0))</f>
      </c>
      <c r="K14" s="75"/>
    </row>
    <row r="15" ht="17" customHeight="1" spans="1:11" x14ac:dyDescent="0.25">
      <c r="A15" s="75"/>
      <c r="B15" s="79"/>
      <c r="C15" s="79"/>
      <c r="D15" s="80"/>
      <c r="E15" s="79"/>
      <c r="F15" s="80"/>
      <c r="G15" s="82"/>
      <c r="H15" s="79"/>
      <c r="I15" s="80"/>
      <c r="J15" s="78">
        <f>IF($B15="",0,IF(COUNTIF('NEXT YEAR NOTES'!$B$6:$B$105,$B15)&gt;1,1,0))</f>
      </c>
      <c r="K15" s="75"/>
    </row>
    <row r="16" ht="17" customHeight="1" spans="1:11" x14ac:dyDescent="0.25">
      <c r="A16" s="75"/>
      <c r="B16" s="79"/>
      <c r="C16" s="79"/>
      <c r="D16" s="80"/>
      <c r="E16" s="79"/>
      <c r="F16" s="80"/>
      <c r="G16" s="82"/>
      <c r="H16" s="79"/>
      <c r="I16" s="80"/>
      <c r="J16" s="78">
        <f>IF($B16="",0,IF(COUNTIF('NEXT YEAR NOTES'!$B$6:$B$105,$B16)&gt;1,1,0))</f>
      </c>
      <c r="K16" s="75"/>
    </row>
    <row r="17" ht="17" customHeight="1" spans="1:11" x14ac:dyDescent="0.25">
      <c r="A17" s="75"/>
      <c r="B17" s="79"/>
      <c r="C17" s="79"/>
      <c r="D17" s="80"/>
      <c r="E17" s="79"/>
      <c r="F17" s="80"/>
      <c r="G17" s="82"/>
      <c r="H17" s="79"/>
      <c r="I17" s="80"/>
      <c r="J17" s="78">
        <f>IF($B17="",0,IF(COUNTIF('NEXT YEAR NOTES'!$B$6:$B$105,$B17)&gt;1,1,0))</f>
      </c>
      <c r="K17" s="75"/>
    </row>
    <row r="18" ht="17" customHeight="1" spans="1:11" x14ac:dyDescent="0.25">
      <c r="A18" s="75"/>
      <c r="B18" s="79"/>
      <c r="C18" s="79"/>
      <c r="D18" s="80"/>
      <c r="E18" s="79"/>
      <c r="F18" s="80"/>
      <c r="G18" s="82"/>
      <c r="H18" s="79"/>
      <c r="I18" s="80"/>
      <c r="J18" s="78">
        <f>IF($B18="",0,IF(COUNTIF('NEXT YEAR NOTES'!$B$6:$B$105,$B18)&gt;1,1,0))</f>
      </c>
      <c r="K18" s="75"/>
    </row>
    <row r="19" ht="17" customHeight="1" spans="1:11" x14ac:dyDescent="0.25">
      <c r="A19" s="75"/>
      <c r="B19" s="79"/>
      <c r="C19" s="79"/>
      <c r="D19" s="80"/>
      <c r="E19" s="79"/>
      <c r="F19" s="80"/>
      <c r="G19" s="82"/>
      <c r="H19" s="79"/>
      <c r="I19" s="80"/>
      <c r="J19" s="78">
        <f>IF($B19="",0,IF(COUNTIF('NEXT YEAR NOTES'!$B$6:$B$105,$B19)&gt;1,1,0))</f>
      </c>
      <c r="K19" s="75"/>
    </row>
    <row r="20" ht="17" customHeight="1" spans="1:11" x14ac:dyDescent="0.25">
      <c r="A20" s="75"/>
      <c r="B20" s="79"/>
      <c r="C20" s="79"/>
      <c r="D20" s="80"/>
      <c r="E20" s="79"/>
      <c r="F20" s="80"/>
      <c r="G20" s="82"/>
      <c r="H20" s="79"/>
      <c r="I20" s="80"/>
      <c r="J20" s="78">
        <f>IF($B20="",0,IF(COUNTIF('NEXT YEAR NOTES'!$B$6:$B$105,$B20)&gt;1,1,0))</f>
      </c>
      <c r="K20" s="75"/>
    </row>
    <row r="21" ht="17" customHeight="1" spans="1:11" x14ac:dyDescent="0.25">
      <c r="A21" s="75"/>
      <c r="B21" s="79"/>
      <c r="C21" s="79"/>
      <c r="D21" s="80"/>
      <c r="E21" s="79"/>
      <c r="F21" s="80"/>
      <c r="G21" s="82"/>
      <c r="H21" s="79"/>
      <c r="I21" s="80"/>
      <c r="J21" s="78">
        <f>IF($B21="",0,IF(COUNTIF('NEXT YEAR NOTES'!$B$6:$B$105,$B21)&gt;1,1,0))</f>
      </c>
      <c r="K21" s="75"/>
    </row>
    <row r="22" ht="17" customHeight="1" spans="1:11" x14ac:dyDescent="0.25">
      <c r="A22" s="75"/>
      <c r="B22" s="79"/>
      <c r="C22" s="79"/>
      <c r="D22" s="80"/>
      <c r="E22" s="79"/>
      <c r="F22" s="80"/>
      <c r="G22" s="82"/>
      <c r="H22" s="79"/>
      <c r="I22" s="80"/>
      <c r="J22" s="78">
        <f>IF($B22="",0,IF(COUNTIF('NEXT YEAR NOTES'!$B$6:$B$105,$B22)&gt;1,1,0))</f>
      </c>
      <c r="K22" s="75"/>
    </row>
    <row r="23" ht="17" customHeight="1" spans="1:11" x14ac:dyDescent="0.25">
      <c r="A23" s="75"/>
      <c r="B23" s="79"/>
      <c r="C23" s="79"/>
      <c r="D23" s="80"/>
      <c r="E23" s="79"/>
      <c r="F23" s="80"/>
      <c r="G23" s="82"/>
      <c r="H23" s="79"/>
      <c r="I23" s="80"/>
      <c r="J23" s="78">
        <f>IF($B23="",0,IF(COUNTIF('NEXT YEAR NOTES'!$B$6:$B$105,$B23)&gt;1,1,0))</f>
      </c>
      <c r="K23" s="75"/>
    </row>
    <row r="24" ht="17" customHeight="1" spans="1:11" x14ac:dyDescent="0.25">
      <c r="A24" s="75"/>
      <c r="B24" s="79"/>
      <c r="C24" s="79"/>
      <c r="D24" s="80"/>
      <c r="E24" s="79"/>
      <c r="F24" s="80"/>
      <c r="G24" s="82"/>
      <c r="H24" s="79"/>
      <c r="I24" s="80"/>
      <c r="J24" s="78">
        <f>IF($B24="",0,IF(COUNTIF('NEXT YEAR NOTES'!$B$6:$B$105,$B24)&gt;1,1,0))</f>
      </c>
      <c r="K24" s="75"/>
    </row>
    <row r="25" ht="17" customHeight="1" spans="1:11" x14ac:dyDescent="0.25">
      <c r="A25" s="75"/>
      <c r="B25" s="79"/>
      <c r="C25" s="79"/>
      <c r="D25" s="80"/>
      <c r="E25" s="79"/>
      <c r="F25" s="80"/>
      <c r="G25" s="82"/>
      <c r="H25" s="79"/>
      <c r="I25" s="80"/>
      <c r="J25" s="78">
        <f>IF($B25="",0,IF(COUNTIF('NEXT YEAR NOTES'!$B$6:$B$105,$B25)&gt;1,1,0))</f>
      </c>
      <c r="K25" s="75"/>
    </row>
    <row r="26" ht="17" customHeight="1" spans="1:11" x14ac:dyDescent="0.25">
      <c r="A26" s="75"/>
      <c r="B26" s="79"/>
      <c r="C26" s="79"/>
      <c r="D26" s="80"/>
      <c r="E26" s="79"/>
      <c r="F26" s="80"/>
      <c r="G26" s="82"/>
      <c r="H26" s="79"/>
      <c r="I26" s="80"/>
      <c r="J26" s="78">
        <f>IF($B26="",0,IF(COUNTIF('NEXT YEAR NOTES'!$B$6:$B$105,$B26)&gt;1,1,0))</f>
      </c>
      <c r="K26" s="75"/>
    </row>
    <row r="27" ht="17" customHeight="1" spans="1:11" x14ac:dyDescent="0.25">
      <c r="A27" s="75"/>
      <c r="B27" s="79"/>
      <c r="C27" s="79"/>
      <c r="D27" s="80"/>
      <c r="E27" s="79"/>
      <c r="F27" s="80"/>
      <c r="G27" s="82"/>
      <c r="H27" s="79"/>
      <c r="I27" s="80"/>
      <c r="J27" s="78">
        <f>IF($B27="",0,IF(COUNTIF('NEXT YEAR NOTES'!$B$6:$B$105,$B27)&gt;1,1,0))</f>
      </c>
      <c r="K27" s="75"/>
    </row>
    <row r="28" ht="17" customHeight="1" spans="1:11" x14ac:dyDescent="0.25">
      <c r="A28" s="75"/>
      <c r="B28" s="79"/>
      <c r="C28" s="79"/>
      <c r="D28" s="80"/>
      <c r="E28" s="79"/>
      <c r="F28" s="80"/>
      <c r="G28" s="82"/>
      <c r="H28" s="79"/>
      <c r="I28" s="80"/>
      <c r="J28" s="78">
        <f>IF($B28="",0,IF(COUNTIF('NEXT YEAR NOTES'!$B$6:$B$105,$B28)&gt;1,1,0))</f>
      </c>
      <c r="K28" s="75"/>
    </row>
    <row r="29" ht="17" customHeight="1" spans="1:11" x14ac:dyDescent="0.25">
      <c r="A29" s="75"/>
      <c r="B29" s="79"/>
      <c r="C29" s="79"/>
      <c r="D29" s="80"/>
      <c r="E29" s="79"/>
      <c r="F29" s="80"/>
      <c r="G29" s="82"/>
      <c r="H29" s="79"/>
      <c r="I29" s="80"/>
      <c r="J29" s="78">
        <f>IF($B29="",0,IF(COUNTIF('NEXT YEAR NOTES'!$B$6:$B$105,$B29)&gt;1,1,0))</f>
      </c>
      <c r="K29" s="75"/>
    </row>
    <row r="30" ht="17" customHeight="1" spans="1:11" x14ac:dyDescent="0.25">
      <c r="A30" s="75"/>
      <c r="B30" s="79"/>
      <c r="C30" s="79"/>
      <c r="D30" s="80"/>
      <c r="E30" s="79"/>
      <c r="F30" s="80"/>
      <c r="G30" s="82"/>
      <c r="H30" s="79"/>
      <c r="I30" s="80"/>
      <c r="J30" s="78">
        <f>IF($B30="",0,IF(COUNTIF('NEXT YEAR NOTES'!$B$6:$B$105,$B30)&gt;1,1,0))</f>
      </c>
      <c r="K30" s="75"/>
    </row>
    <row r="31" ht="17" customHeight="1" spans="1:11" x14ac:dyDescent="0.25">
      <c r="A31" s="75"/>
      <c r="B31" s="79"/>
      <c r="C31" s="79"/>
      <c r="D31" s="80"/>
      <c r="E31" s="79"/>
      <c r="F31" s="80"/>
      <c r="G31" s="82"/>
      <c r="H31" s="79"/>
      <c r="I31" s="80"/>
      <c r="J31" s="78">
        <f>IF($B31="",0,IF(COUNTIF('NEXT YEAR NOTES'!$B$6:$B$105,$B31)&gt;1,1,0))</f>
      </c>
      <c r="K31" s="75"/>
    </row>
    <row r="32" ht="17" customHeight="1" spans="1:11" x14ac:dyDescent="0.25">
      <c r="A32" s="75"/>
      <c r="B32" s="79"/>
      <c r="C32" s="79"/>
      <c r="D32" s="80"/>
      <c r="E32" s="79"/>
      <c r="F32" s="80"/>
      <c r="G32" s="82"/>
      <c r="H32" s="79"/>
      <c r="I32" s="80"/>
      <c r="J32" s="78">
        <f>IF($B32="",0,IF(COUNTIF('NEXT YEAR NOTES'!$B$6:$B$105,$B32)&gt;1,1,0))</f>
      </c>
      <c r="K32" s="75"/>
    </row>
    <row r="33" ht="17" customHeight="1" spans="1:11" x14ac:dyDescent="0.25">
      <c r="A33" s="75"/>
      <c r="B33" s="79"/>
      <c r="C33" s="79"/>
      <c r="D33" s="80"/>
      <c r="E33" s="79"/>
      <c r="F33" s="80"/>
      <c r="G33" s="82"/>
      <c r="H33" s="79"/>
      <c r="I33" s="80"/>
      <c r="J33" s="78">
        <f>IF($B33="",0,IF(COUNTIF('NEXT YEAR NOTES'!$B$6:$B$105,$B33)&gt;1,1,0))</f>
      </c>
      <c r="K33" s="75"/>
    </row>
    <row r="34" ht="17" customHeight="1" spans="1:11" x14ac:dyDescent="0.25">
      <c r="A34" s="75"/>
      <c r="B34" s="79"/>
      <c r="C34" s="79"/>
      <c r="D34" s="80"/>
      <c r="E34" s="79"/>
      <c r="F34" s="80"/>
      <c r="G34" s="82"/>
      <c r="H34" s="79"/>
      <c r="I34" s="80"/>
      <c r="J34" s="78">
        <f>IF($B34="",0,IF(COUNTIF('NEXT YEAR NOTES'!$B$6:$B$105,$B34)&gt;1,1,0))</f>
      </c>
      <c r="K34" s="75"/>
    </row>
    <row r="35" ht="17" customHeight="1" spans="1:11" x14ac:dyDescent="0.25">
      <c r="A35" s="75"/>
      <c r="B35" s="79"/>
      <c r="C35" s="79"/>
      <c r="D35" s="80"/>
      <c r="E35" s="79"/>
      <c r="F35" s="80"/>
      <c r="G35" s="82"/>
      <c r="H35" s="79"/>
      <c r="I35" s="80"/>
      <c r="J35" s="78">
        <f>IF($B35="",0,IF(COUNTIF('NEXT YEAR NOTES'!$B$6:$B$105,$B35)&gt;1,1,0))</f>
      </c>
      <c r="K35" s="75"/>
    </row>
    <row r="36" ht="17" customHeight="1" spans="1:11" x14ac:dyDescent="0.25">
      <c r="A36" s="75"/>
      <c r="B36" s="79"/>
      <c r="C36" s="79"/>
      <c r="D36" s="80"/>
      <c r="E36" s="79"/>
      <c r="F36" s="80"/>
      <c r="G36" s="82"/>
      <c r="H36" s="79"/>
      <c r="I36" s="80"/>
      <c r="J36" s="78">
        <f>IF($B36="",0,IF(COUNTIF('NEXT YEAR NOTES'!$B$6:$B$105,$B36)&gt;1,1,0))</f>
      </c>
      <c r="K36" s="75"/>
    </row>
    <row r="37" ht="17" customHeight="1" spans="1:11" x14ac:dyDescent="0.25">
      <c r="A37" s="75"/>
      <c r="B37" s="79"/>
      <c r="C37" s="79"/>
      <c r="D37" s="80"/>
      <c r="E37" s="79"/>
      <c r="F37" s="80"/>
      <c r="G37" s="82"/>
      <c r="H37" s="79"/>
      <c r="I37" s="80"/>
      <c r="J37" s="78">
        <f>IF($B37="",0,IF(COUNTIF('NEXT YEAR NOTES'!$B$6:$B$105,$B37)&gt;1,1,0))</f>
      </c>
      <c r="K37" s="75"/>
    </row>
    <row r="38" ht="17" customHeight="1" spans="1:11" x14ac:dyDescent="0.25">
      <c r="A38" s="75"/>
      <c r="B38" s="79"/>
      <c r="C38" s="79"/>
      <c r="D38" s="80"/>
      <c r="E38" s="79"/>
      <c r="F38" s="80"/>
      <c r="G38" s="82"/>
      <c r="H38" s="79"/>
      <c r="I38" s="80"/>
      <c r="J38" s="78">
        <f>IF($B38="",0,IF(COUNTIF('NEXT YEAR NOTES'!$B$6:$B$105,$B38)&gt;1,1,0))</f>
      </c>
      <c r="K38" s="75"/>
    </row>
    <row r="39" ht="17" customHeight="1" spans="1:11" x14ac:dyDescent="0.25">
      <c r="A39" s="75"/>
      <c r="B39" s="79"/>
      <c r="C39" s="79"/>
      <c r="D39" s="80"/>
      <c r="E39" s="79"/>
      <c r="F39" s="80"/>
      <c r="G39" s="82"/>
      <c r="H39" s="79"/>
      <c r="I39" s="80"/>
      <c r="J39" s="78">
        <f>IF($B39="",0,IF(COUNTIF('NEXT YEAR NOTES'!$B$6:$B$105,$B39)&gt;1,1,0))</f>
      </c>
      <c r="K39" s="75"/>
    </row>
    <row r="40" ht="17" customHeight="1" spans="1:11" x14ac:dyDescent="0.25">
      <c r="A40" s="75"/>
      <c r="B40" s="79"/>
      <c r="C40" s="79"/>
      <c r="D40" s="80"/>
      <c r="E40" s="79"/>
      <c r="F40" s="80"/>
      <c r="G40" s="82"/>
      <c r="H40" s="79"/>
      <c r="I40" s="80"/>
      <c r="J40" s="78">
        <f>IF($B40="",0,IF(COUNTIF('NEXT YEAR NOTES'!$B$6:$B$105,$B40)&gt;1,1,0))</f>
      </c>
      <c r="K40" s="75"/>
    </row>
    <row r="41" ht="17" customHeight="1" spans="1:11" x14ac:dyDescent="0.25">
      <c r="A41" s="75"/>
      <c r="B41" s="79"/>
      <c r="C41" s="79"/>
      <c r="D41" s="80"/>
      <c r="E41" s="79"/>
      <c r="F41" s="80"/>
      <c r="G41" s="82"/>
      <c r="H41" s="79"/>
      <c r="I41" s="80"/>
      <c r="J41" s="78">
        <f>IF($B41="",0,IF(COUNTIF('NEXT YEAR NOTES'!$B$6:$B$105,$B41)&gt;1,1,0))</f>
      </c>
      <c r="K41" s="75"/>
    </row>
    <row r="42" ht="17" customHeight="1" spans="1:11" x14ac:dyDescent="0.25">
      <c r="A42" s="75"/>
      <c r="B42" s="79"/>
      <c r="C42" s="79"/>
      <c r="D42" s="80"/>
      <c r="E42" s="79"/>
      <c r="F42" s="80"/>
      <c r="G42" s="82"/>
      <c r="H42" s="79"/>
      <c r="I42" s="80"/>
      <c r="J42" s="78">
        <f>IF($B42="",0,IF(COUNTIF('NEXT YEAR NOTES'!$B$6:$B$105,$B42)&gt;1,1,0))</f>
      </c>
      <c r="K42" s="75"/>
    </row>
    <row r="43" ht="17" customHeight="1" spans="1:11" x14ac:dyDescent="0.25">
      <c r="A43" s="75"/>
      <c r="B43" s="79"/>
      <c r="C43" s="79"/>
      <c r="D43" s="80"/>
      <c r="E43" s="79"/>
      <c r="F43" s="80"/>
      <c r="G43" s="82"/>
      <c r="H43" s="79"/>
      <c r="I43" s="80"/>
      <c r="J43" s="78">
        <f>IF($B43="",0,IF(COUNTIF('NEXT YEAR NOTES'!$B$6:$B$105,$B43)&gt;1,1,0))</f>
      </c>
      <c r="K43" s="75"/>
    </row>
    <row r="44" ht="17" customHeight="1" spans="1:11" x14ac:dyDescent="0.25">
      <c r="A44" s="75"/>
      <c r="B44" s="79"/>
      <c r="C44" s="79"/>
      <c r="D44" s="80"/>
      <c r="E44" s="79"/>
      <c r="F44" s="80"/>
      <c r="G44" s="82"/>
      <c r="H44" s="79"/>
      <c r="I44" s="80"/>
      <c r="J44" s="78">
        <f>IF($B44="",0,IF(COUNTIF('NEXT YEAR NOTES'!$B$6:$B$105,$B44)&gt;1,1,0))</f>
      </c>
      <c r="K44" s="75"/>
    </row>
    <row r="45" ht="17" customHeight="1" spans="1:11" x14ac:dyDescent="0.25">
      <c r="A45" s="75"/>
      <c r="B45" s="79"/>
      <c r="C45" s="79"/>
      <c r="D45" s="80"/>
      <c r="E45" s="79"/>
      <c r="F45" s="80"/>
      <c r="G45" s="82"/>
      <c r="H45" s="79"/>
      <c r="I45" s="80"/>
      <c r="J45" s="78">
        <f>IF($B45="",0,IF(COUNTIF('NEXT YEAR NOTES'!$B$6:$B$105,$B45)&gt;1,1,0))</f>
      </c>
      <c r="K45" s="75"/>
    </row>
    <row r="46" ht="17" customHeight="1" spans="1:11" x14ac:dyDescent="0.25">
      <c r="A46" s="75"/>
      <c r="B46" s="79"/>
      <c r="C46" s="79"/>
      <c r="D46" s="80"/>
      <c r="E46" s="79"/>
      <c r="F46" s="80"/>
      <c r="G46" s="82"/>
      <c r="H46" s="79"/>
      <c r="I46" s="80"/>
      <c r="J46" s="78">
        <f>IF($B46="",0,IF(COUNTIF('NEXT YEAR NOTES'!$B$6:$B$105,$B46)&gt;1,1,0))</f>
      </c>
      <c r="K46" s="75"/>
    </row>
    <row r="47" ht="17" customHeight="1" spans="1:11" x14ac:dyDescent="0.25">
      <c r="A47" s="75"/>
      <c r="B47" s="79"/>
      <c r="C47" s="79"/>
      <c r="D47" s="80"/>
      <c r="E47" s="79"/>
      <c r="F47" s="80"/>
      <c r="G47" s="82"/>
      <c r="H47" s="79"/>
      <c r="I47" s="80"/>
      <c r="J47" s="78">
        <f>IF($B47="",0,IF(COUNTIF('NEXT YEAR NOTES'!$B$6:$B$105,$B47)&gt;1,1,0))</f>
      </c>
      <c r="K47" s="75"/>
    </row>
    <row r="48" ht="17" customHeight="1" spans="1:11" x14ac:dyDescent="0.25">
      <c r="A48" s="75"/>
      <c r="B48" s="79"/>
      <c r="C48" s="79"/>
      <c r="D48" s="80"/>
      <c r="E48" s="79"/>
      <c r="F48" s="80"/>
      <c r="G48" s="82"/>
      <c r="H48" s="79"/>
      <c r="I48" s="80"/>
      <c r="J48" s="78">
        <f>IF($B48="",0,IF(COUNTIF('NEXT YEAR NOTES'!$B$6:$B$105,$B48)&gt;1,1,0))</f>
      </c>
      <c r="K48" s="75"/>
    </row>
    <row r="49" ht="17" customHeight="1" spans="1:11" x14ac:dyDescent="0.25">
      <c r="A49" s="75"/>
      <c r="B49" s="79"/>
      <c r="C49" s="79"/>
      <c r="D49" s="80"/>
      <c r="E49" s="79"/>
      <c r="F49" s="80"/>
      <c r="G49" s="82"/>
      <c r="H49" s="79"/>
      <c r="I49" s="80"/>
      <c r="J49" s="78">
        <f>IF($B49="",0,IF(COUNTIF('NEXT YEAR NOTES'!$B$6:$B$105,$B49)&gt;1,1,0))</f>
      </c>
      <c r="K49" s="75"/>
    </row>
    <row r="50" ht="17" customHeight="1" spans="1:11" x14ac:dyDescent="0.25">
      <c r="A50" s="75"/>
      <c r="B50" s="79"/>
      <c r="C50" s="79"/>
      <c r="D50" s="80"/>
      <c r="E50" s="79"/>
      <c r="F50" s="80"/>
      <c r="G50" s="82"/>
      <c r="H50" s="79"/>
      <c r="I50" s="80"/>
      <c r="J50" s="78">
        <f>IF($B50="",0,IF(COUNTIF('NEXT YEAR NOTES'!$B$6:$B$105,$B50)&gt;1,1,0))</f>
      </c>
      <c r="K50" s="75"/>
    </row>
    <row r="51" ht="17" customHeight="1" spans="1:11" x14ac:dyDescent="0.25">
      <c r="A51" s="75"/>
      <c r="B51" s="79"/>
      <c r="C51" s="79"/>
      <c r="D51" s="80"/>
      <c r="E51" s="79"/>
      <c r="F51" s="80"/>
      <c r="G51" s="82"/>
      <c r="H51" s="79"/>
      <c r="I51" s="80"/>
      <c r="J51" s="78">
        <f>IF($B51="",0,IF(COUNTIF('NEXT YEAR NOTES'!$B$6:$B$105,$B51)&gt;1,1,0))</f>
      </c>
      <c r="K51" s="75"/>
    </row>
    <row r="52" ht="17" customHeight="1" spans="1:11" x14ac:dyDescent="0.25">
      <c r="A52" s="75"/>
      <c r="B52" s="79"/>
      <c r="C52" s="79"/>
      <c r="D52" s="80"/>
      <c r="E52" s="79"/>
      <c r="F52" s="80"/>
      <c r="G52" s="82"/>
      <c r="H52" s="79"/>
      <c r="I52" s="80"/>
      <c r="J52" s="78">
        <f>IF($B52="",0,IF(COUNTIF('NEXT YEAR NOTES'!$B$6:$B$105,$B52)&gt;1,1,0))</f>
      </c>
      <c r="K52" s="75"/>
    </row>
    <row r="53" ht="17" customHeight="1" spans="1:11" x14ac:dyDescent="0.25">
      <c r="A53" s="75"/>
      <c r="B53" s="79"/>
      <c r="C53" s="79"/>
      <c r="D53" s="80"/>
      <c r="E53" s="79"/>
      <c r="F53" s="80"/>
      <c r="G53" s="82"/>
      <c r="H53" s="79"/>
      <c r="I53" s="80"/>
      <c r="J53" s="78">
        <f>IF($B53="",0,IF(COUNTIF('NEXT YEAR NOTES'!$B$6:$B$105,$B53)&gt;1,1,0))</f>
      </c>
      <c r="K53" s="75"/>
    </row>
    <row r="54" ht="17" customHeight="1" spans="1:11" x14ac:dyDescent="0.25">
      <c r="A54" s="75"/>
      <c r="B54" s="79"/>
      <c r="C54" s="79"/>
      <c r="D54" s="80"/>
      <c r="E54" s="79"/>
      <c r="F54" s="80"/>
      <c r="G54" s="82"/>
      <c r="H54" s="79"/>
      <c r="I54" s="80"/>
      <c r="J54" s="78">
        <f>IF($B54="",0,IF(COUNTIF('NEXT YEAR NOTES'!$B$6:$B$105,$B54)&gt;1,1,0))</f>
      </c>
      <c r="K54" s="75"/>
    </row>
    <row r="55" ht="17" customHeight="1" spans="1:11" x14ac:dyDescent="0.25">
      <c r="A55" s="75"/>
      <c r="B55" s="79"/>
      <c r="C55" s="79"/>
      <c r="D55" s="80"/>
      <c r="E55" s="79"/>
      <c r="F55" s="80"/>
      <c r="G55" s="82"/>
      <c r="H55" s="79"/>
      <c r="I55" s="80"/>
      <c r="J55" s="78">
        <f>IF($B55="",0,IF(COUNTIF('NEXT YEAR NOTES'!$B$6:$B$105,$B55)&gt;1,1,0))</f>
      </c>
      <c r="K55" s="75"/>
    </row>
    <row r="56" ht="17" customHeight="1" spans="1:11" x14ac:dyDescent="0.25">
      <c r="A56" s="75"/>
      <c r="B56" s="79"/>
      <c r="C56" s="79"/>
      <c r="D56" s="80"/>
      <c r="E56" s="79"/>
      <c r="F56" s="80"/>
      <c r="G56" s="82"/>
      <c r="H56" s="79"/>
      <c r="I56" s="80"/>
      <c r="J56" s="78">
        <f>IF($B56="",0,IF(COUNTIF('NEXT YEAR NOTES'!$B$6:$B$105,$B56)&gt;1,1,0))</f>
      </c>
      <c r="K56" s="75"/>
    </row>
    <row r="57" ht="17" customHeight="1" spans="1:11" x14ac:dyDescent="0.25">
      <c r="A57" s="75"/>
      <c r="B57" s="79"/>
      <c r="C57" s="79"/>
      <c r="D57" s="80"/>
      <c r="E57" s="79"/>
      <c r="F57" s="80"/>
      <c r="G57" s="82"/>
      <c r="H57" s="79"/>
      <c r="I57" s="80"/>
      <c r="J57" s="78">
        <f>IF($B57="",0,IF(COUNTIF('NEXT YEAR NOTES'!$B$6:$B$105,$B57)&gt;1,1,0))</f>
      </c>
      <c r="K57" s="75"/>
    </row>
    <row r="58" ht="17" customHeight="1" spans="1:11" x14ac:dyDescent="0.25">
      <c r="A58" s="75"/>
      <c r="B58" s="79"/>
      <c r="C58" s="79"/>
      <c r="D58" s="80"/>
      <c r="E58" s="79"/>
      <c r="F58" s="80"/>
      <c r="G58" s="82"/>
      <c r="H58" s="79"/>
      <c r="I58" s="80"/>
      <c r="J58" s="78">
        <f>IF($B58="",0,IF(COUNTIF('NEXT YEAR NOTES'!$B$6:$B$105,$B58)&gt;1,1,0))</f>
      </c>
      <c r="K58" s="75"/>
    </row>
    <row r="59" ht="17" customHeight="1" spans="1:11" x14ac:dyDescent="0.25">
      <c r="A59" s="75"/>
      <c r="B59" s="79"/>
      <c r="C59" s="79"/>
      <c r="D59" s="80"/>
      <c r="E59" s="79"/>
      <c r="F59" s="80"/>
      <c r="G59" s="82"/>
      <c r="H59" s="79"/>
      <c r="I59" s="80"/>
      <c r="J59" s="78">
        <f>IF($B59="",0,IF(COUNTIF('NEXT YEAR NOTES'!$B$6:$B$105,$B59)&gt;1,1,0))</f>
      </c>
      <c r="K59" s="75"/>
    </row>
    <row r="60" ht="17" customHeight="1" spans="1:11" x14ac:dyDescent="0.25">
      <c r="A60" s="75"/>
      <c r="B60" s="79"/>
      <c r="C60" s="79"/>
      <c r="D60" s="80"/>
      <c r="E60" s="79"/>
      <c r="F60" s="80"/>
      <c r="G60" s="82"/>
      <c r="H60" s="79"/>
      <c r="I60" s="80"/>
      <c r="J60" s="78">
        <f>IF($B60="",0,IF(COUNTIF('NEXT YEAR NOTES'!$B$6:$B$105,$B60)&gt;1,1,0))</f>
      </c>
      <c r="K60" s="75"/>
    </row>
    <row r="61" ht="17" customHeight="1" spans="1:11" x14ac:dyDescent="0.25">
      <c r="A61" s="75"/>
      <c r="B61" s="79"/>
      <c r="C61" s="79"/>
      <c r="D61" s="80"/>
      <c r="E61" s="79"/>
      <c r="F61" s="80"/>
      <c r="G61" s="82"/>
      <c r="H61" s="79"/>
      <c r="I61" s="80"/>
      <c r="J61" s="78">
        <f>IF($B61="",0,IF(COUNTIF('NEXT YEAR NOTES'!$B$6:$B$105,$B61)&gt;1,1,0))</f>
      </c>
      <c r="K61" s="75"/>
    </row>
    <row r="62" ht="17" customHeight="1" spans="1:11" x14ac:dyDescent="0.25">
      <c r="A62" s="75"/>
      <c r="B62" s="79"/>
      <c r="C62" s="79"/>
      <c r="D62" s="80"/>
      <c r="E62" s="79"/>
      <c r="F62" s="80"/>
      <c r="G62" s="82"/>
      <c r="H62" s="79"/>
      <c r="I62" s="80"/>
      <c r="J62" s="78">
        <f>IF($B62="",0,IF(COUNTIF('NEXT YEAR NOTES'!$B$6:$B$105,$B62)&gt;1,1,0))</f>
      </c>
      <c r="K62" s="75"/>
    </row>
    <row r="63" ht="17" customHeight="1" spans="1:11" x14ac:dyDescent="0.25">
      <c r="A63" s="75"/>
      <c r="B63" s="79"/>
      <c r="C63" s="79"/>
      <c r="D63" s="80"/>
      <c r="E63" s="79"/>
      <c r="F63" s="80"/>
      <c r="G63" s="82"/>
      <c r="H63" s="79"/>
      <c r="I63" s="80"/>
      <c r="J63" s="78">
        <f>IF($B63="",0,IF(COUNTIF('NEXT YEAR NOTES'!$B$6:$B$105,$B63)&gt;1,1,0))</f>
      </c>
      <c r="K63" s="75"/>
    </row>
    <row r="64" ht="17" customHeight="1" spans="1:11" x14ac:dyDescent="0.25">
      <c r="A64" s="75"/>
      <c r="B64" s="79"/>
      <c r="C64" s="79"/>
      <c r="D64" s="80"/>
      <c r="E64" s="79"/>
      <c r="F64" s="80"/>
      <c r="G64" s="82"/>
      <c r="H64" s="79"/>
      <c r="I64" s="80"/>
      <c r="J64" s="78">
        <f>IF($B64="",0,IF(COUNTIF('NEXT YEAR NOTES'!$B$6:$B$105,$B64)&gt;1,1,0))</f>
      </c>
      <c r="K64" s="75"/>
    </row>
    <row r="65" ht="17" customHeight="1" spans="1:11" x14ac:dyDescent="0.25">
      <c r="A65" s="75"/>
      <c r="B65" s="79"/>
      <c r="C65" s="79"/>
      <c r="D65" s="80"/>
      <c r="E65" s="79"/>
      <c r="F65" s="80"/>
      <c r="G65" s="82"/>
      <c r="H65" s="79"/>
      <c r="I65" s="80"/>
      <c r="J65" s="78">
        <f>IF($B65="",0,IF(COUNTIF('NEXT YEAR NOTES'!$B$6:$B$105,$B65)&gt;1,1,0))</f>
      </c>
      <c r="K65" s="75"/>
    </row>
    <row r="66" ht="17" customHeight="1" spans="1:11" x14ac:dyDescent="0.25">
      <c r="A66" s="75"/>
      <c r="B66" s="79"/>
      <c r="C66" s="79"/>
      <c r="D66" s="80"/>
      <c r="E66" s="79"/>
      <c r="F66" s="80"/>
      <c r="G66" s="82"/>
      <c r="H66" s="79"/>
      <c r="I66" s="80"/>
      <c r="J66" s="78">
        <f>IF($B66="",0,IF(COUNTIF('NEXT YEAR NOTES'!$B$6:$B$105,$B66)&gt;1,1,0))</f>
      </c>
      <c r="K66" s="75"/>
    </row>
    <row r="67" ht="17" customHeight="1" spans="1:11" x14ac:dyDescent="0.25">
      <c r="A67" s="75"/>
      <c r="B67" s="79"/>
      <c r="C67" s="79"/>
      <c r="D67" s="80"/>
      <c r="E67" s="79"/>
      <c r="F67" s="80"/>
      <c r="G67" s="82"/>
      <c r="H67" s="79"/>
      <c r="I67" s="80"/>
      <c r="J67" s="78">
        <f>IF($B67="",0,IF(COUNTIF('NEXT YEAR NOTES'!$B$6:$B$105,$B67)&gt;1,1,0))</f>
      </c>
      <c r="K67" s="75"/>
    </row>
    <row r="68" ht="17" customHeight="1" spans="1:11" x14ac:dyDescent="0.25">
      <c r="A68" s="75"/>
      <c r="B68" s="79"/>
      <c r="C68" s="79"/>
      <c r="D68" s="80"/>
      <c r="E68" s="79"/>
      <c r="F68" s="80"/>
      <c r="G68" s="82"/>
      <c r="H68" s="79"/>
      <c r="I68" s="80"/>
      <c r="J68" s="78">
        <f>IF($B68="",0,IF(COUNTIF('NEXT YEAR NOTES'!$B$6:$B$105,$B68)&gt;1,1,0))</f>
      </c>
      <c r="K68" s="75"/>
    </row>
    <row r="69" ht="17" customHeight="1" spans="1:11" x14ac:dyDescent="0.25">
      <c r="A69" s="75"/>
      <c r="B69" s="79"/>
      <c r="C69" s="79"/>
      <c r="D69" s="80"/>
      <c r="E69" s="79"/>
      <c r="F69" s="80"/>
      <c r="G69" s="82"/>
      <c r="H69" s="79"/>
      <c r="I69" s="80"/>
      <c r="J69" s="78">
        <f>IF($B69="",0,IF(COUNTIF('NEXT YEAR NOTES'!$B$6:$B$105,$B69)&gt;1,1,0))</f>
      </c>
      <c r="K69" s="75"/>
    </row>
    <row r="70" ht="17" customHeight="1" spans="1:11" x14ac:dyDescent="0.25">
      <c r="A70" s="75"/>
      <c r="B70" s="79"/>
      <c r="C70" s="79"/>
      <c r="D70" s="80"/>
      <c r="E70" s="79"/>
      <c r="F70" s="80"/>
      <c r="G70" s="82"/>
      <c r="H70" s="79"/>
      <c r="I70" s="80"/>
      <c r="J70" s="78">
        <f>IF($B70="",0,IF(COUNTIF('NEXT YEAR NOTES'!$B$6:$B$105,$B70)&gt;1,1,0))</f>
      </c>
      <c r="K70" s="75"/>
    </row>
    <row r="71" ht="17" customHeight="1" spans="1:11" x14ac:dyDescent="0.25">
      <c r="A71" s="75"/>
      <c r="B71" s="79"/>
      <c r="C71" s="79"/>
      <c r="D71" s="80"/>
      <c r="E71" s="79"/>
      <c r="F71" s="80"/>
      <c r="G71" s="82"/>
      <c r="H71" s="79"/>
      <c r="I71" s="80"/>
      <c r="J71" s="78">
        <f>IF($B71="",0,IF(COUNTIF('NEXT YEAR NOTES'!$B$6:$B$105,$B71)&gt;1,1,0))</f>
      </c>
      <c r="K71" s="75"/>
    </row>
    <row r="72" ht="17" customHeight="1" spans="1:11" x14ac:dyDescent="0.25">
      <c r="A72" s="75"/>
      <c r="B72" s="79"/>
      <c r="C72" s="79"/>
      <c r="D72" s="80"/>
      <c r="E72" s="79"/>
      <c r="F72" s="80"/>
      <c r="G72" s="82"/>
      <c r="H72" s="79"/>
      <c r="I72" s="80"/>
      <c r="J72" s="78">
        <f>IF($B72="",0,IF(COUNTIF('NEXT YEAR NOTES'!$B$6:$B$105,$B72)&gt;1,1,0))</f>
      </c>
      <c r="K72" s="75"/>
    </row>
    <row r="73" ht="17" customHeight="1" spans="1:11" x14ac:dyDescent="0.25">
      <c r="A73" s="75"/>
      <c r="B73" s="79"/>
      <c r="C73" s="79"/>
      <c r="D73" s="80"/>
      <c r="E73" s="79"/>
      <c r="F73" s="80"/>
      <c r="G73" s="82"/>
      <c r="H73" s="79"/>
      <c r="I73" s="80"/>
      <c r="J73" s="78">
        <f>IF($B73="",0,IF(COUNTIF('NEXT YEAR NOTES'!$B$6:$B$105,$B73)&gt;1,1,0))</f>
      </c>
      <c r="K73" s="75"/>
    </row>
    <row r="74" ht="17" customHeight="1" spans="1:11" x14ac:dyDescent="0.25">
      <c r="A74" s="75"/>
      <c r="B74" s="79"/>
      <c r="C74" s="79"/>
      <c r="D74" s="80"/>
      <c r="E74" s="79"/>
      <c r="F74" s="80"/>
      <c r="G74" s="82"/>
      <c r="H74" s="79"/>
      <c r="I74" s="80"/>
      <c r="J74" s="78">
        <f>IF($B74="",0,IF(COUNTIF('NEXT YEAR NOTES'!$B$6:$B$105,$B74)&gt;1,1,0))</f>
      </c>
      <c r="K74" s="75"/>
    </row>
    <row r="75" ht="17" customHeight="1" spans="1:11" x14ac:dyDescent="0.25">
      <c r="A75" s="75"/>
      <c r="B75" s="79"/>
      <c r="C75" s="79"/>
      <c r="D75" s="80"/>
      <c r="E75" s="79"/>
      <c r="F75" s="80"/>
      <c r="G75" s="82"/>
      <c r="H75" s="79"/>
      <c r="I75" s="80"/>
      <c r="J75" s="78">
        <f>IF($B75="",0,IF(COUNTIF('NEXT YEAR NOTES'!$B$6:$B$105,$B75)&gt;1,1,0))</f>
      </c>
      <c r="K75" s="75"/>
    </row>
    <row r="76" ht="17" customHeight="1" spans="1:11" x14ac:dyDescent="0.25">
      <c r="A76" s="75"/>
      <c r="B76" s="79"/>
      <c r="C76" s="79"/>
      <c r="D76" s="80"/>
      <c r="E76" s="79"/>
      <c r="F76" s="80"/>
      <c r="G76" s="82"/>
      <c r="H76" s="79"/>
      <c r="I76" s="80"/>
      <c r="J76" s="78">
        <f>IF($B76="",0,IF(COUNTIF('NEXT YEAR NOTES'!$B$6:$B$105,$B76)&gt;1,1,0))</f>
      </c>
      <c r="K76" s="75"/>
    </row>
    <row r="77" ht="17" customHeight="1" spans="1:11" x14ac:dyDescent="0.25">
      <c r="A77" s="75"/>
      <c r="B77" s="79"/>
      <c r="C77" s="79"/>
      <c r="D77" s="80"/>
      <c r="E77" s="79"/>
      <c r="F77" s="80"/>
      <c r="G77" s="82"/>
      <c r="H77" s="79"/>
      <c r="I77" s="80"/>
      <c r="J77" s="78">
        <f>IF($B77="",0,IF(COUNTIF('NEXT YEAR NOTES'!$B$6:$B$105,$B77)&gt;1,1,0))</f>
      </c>
      <c r="K77" s="75"/>
    </row>
    <row r="78" ht="17" customHeight="1" spans="1:11" x14ac:dyDescent="0.25">
      <c r="A78" s="75"/>
      <c r="B78" s="79"/>
      <c r="C78" s="79"/>
      <c r="D78" s="80"/>
      <c r="E78" s="79"/>
      <c r="F78" s="80"/>
      <c r="G78" s="82"/>
      <c r="H78" s="79"/>
      <c r="I78" s="80"/>
      <c r="J78" s="78">
        <f>IF($B78="",0,IF(COUNTIF('NEXT YEAR NOTES'!$B$6:$B$105,$B78)&gt;1,1,0))</f>
      </c>
      <c r="K78" s="75"/>
    </row>
    <row r="79" ht="17" customHeight="1" spans="1:11" x14ac:dyDescent="0.25">
      <c r="A79" s="75"/>
      <c r="B79" s="79"/>
      <c r="C79" s="79"/>
      <c r="D79" s="80"/>
      <c r="E79" s="79"/>
      <c r="F79" s="80"/>
      <c r="G79" s="82"/>
      <c r="H79" s="79"/>
      <c r="I79" s="80"/>
      <c r="J79" s="78">
        <f>IF($B79="",0,IF(COUNTIF('NEXT YEAR NOTES'!$B$6:$B$105,$B79)&gt;1,1,0))</f>
      </c>
      <c r="K79" s="75"/>
    </row>
    <row r="80" ht="17" customHeight="1" spans="1:11" x14ac:dyDescent="0.25">
      <c r="A80" s="75"/>
      <c r="B80" s="79"/>
      <c r="C80" s="79"/>
      <c r="D80" s="80"/>
      <c r="E80" s="79"/>
      <c r="F80" s="80"/>
      <c r="G80" s="82"/>
      <c r="H80" s="79"/>
      <c r="I80" s="80"/>
      <c r="J80" s="78">
        <f>IF($B80="",0,IF(COUNTIF('NEXT YEAR NOTES'!$B$6:$B$105,$B80)&gt;1,1,0))</f>
      </c>
      <c r="K80" s="75"/>
    </row>
    <row r="81" ht="17" customHeight="1" spans="1:11" x14ac:dyDescent="0.25">
      <c r="A81" s="75"/>
      <c r="B81" s="79"/>
      <c r="C81" s="79"/>
      <c r="D81" s="80"/>
      <c r="E81" s="79"/>
      <c r="F81" s="80"/>
      <c r="G81" s="82"/>
      <c r="H81" s="79"/>
      <c r="I81" s="80"/>
      <c r="J81" s="78">
        <f>IF($B81="",0,IF(COUNTIF('NEXT YEAR NOTES'!$B$6:$B$105,$B81)&gt;1,1,0))</f>
      </c>
      <c r="K81" s="75"/>
    </row>
    <row r="82" ht="17" customHeight="1" spans="1:11" x14ac:dyDescent="0.25">
      <c r="A82" s="75"/>
      <c r="B82" s="79"/>
      <c r="C82" s="79"/>
      <c r="D82" s="80"/>
      <c r="E82" s="79"/>
      <c r="F82" s="80"/>
      <c r="G82" s="82"/>
      <c r="H82" s="79"/>
      <c r="I82" s="80"/>
      <c r="J82" s="78">
        <f>IF($B82="",0,IF(COUNTIF('NEXT YEAR NOTES'!$B$6:$B$105,$B82)&gt;1,1,0))</f>
      </c>
      <c r="K82" s="75"/>
    </row>
    <row r="83" ht="17" customHeight="1" spans="1:11" x14ac:dyDescent="0.25">
      <c r="A83" s="75"/>
      <c r="B83" s="79"/>
      <c r="C83" s="79"/>
      <c r="D83" s="80"/>
      <c r="E83" s="79"/>
      <c r="F83" s="80"/>
      <c r="G83" s="82"/>
      <c r="H83" s="79"/>
      <c r="I83" s="80"/>
      <c r="J83" s="78">
        <f>IF($B83="",0,IF(COUNTIF('NEXT YEAR NOTES'!$B$6:$B$105,$B83)&gt;1,1,0))</f>
      </c>
      <c r="K83" s="75"/>
    </row>
    <row r="84" ht="17" customHeight="1" spans="1:11" x14ac:dyDescent="0.25">
      <c r="A84" s="75"/>
      <c r="B84" s="79"/>
      <c r="C84" s="79"/>
      <c r="D84" s="80"/>
      <c r="E84" s="79"/>
      <c r="F84" s="80"/>
      <c r="G84" s="82"/>
      <c r="H84" s="79"/>
      <c r="I84" s="80"/>
      <c r="J84" s="78">
        <f>IF($B84="",0,IF(COUNTIF('NEXT YEAR NOTES'!$B$6:$B$105,$B84)&gt;1,1,0))</f>
      </c>
      <c r="K84" s="75"/>
    </row>
    <row r="85" ht="17" customHeight="1" spans="1:11" x14ac:dyDescent="0.25">
      <c r="A85" s="75"/>
      <c r="B85" s="79"/>
      <c r="C85" s="79"/>
      <c r="D85" s="80"/>
      <c r="E85" s="79"/>
      <c r="F85" s="80"/>
      <c r="G85" s="82"/>
      <c r="H85" s="79"/>
      <c r="I85" s="80"/>
      <c r="J85" s="78">
        <f>IF($B85="",0,IF(COUNTIF('NEXT YEAR NOTES'!$B$6:$B$105,$B85)&gt;1,1,0))</f>
      </c>
      <c r="K85" s="75"/>
    </row>
    <row r="86" ht="17" customHeight="1" spans="1:11" x14ac:dyDescent="0.25">
      <c r="A86" s="75"/>
      <c r="B86" s="79"/>
      <c r="C86" s="79"/>
      <c r="D86" s="80"/>
      <c r="E86" s="79"/>
      <c r="F86" s="80"/>
      <c r="G86" s="82"/>
      <c r="H86" s="79"/>
      <c r="I86" s="80"/>
      <c r="J86" s="78">
        <f>IF($B86="",0,IF(COUNTIF('NEXT YEAR NOTES'!$B$6:$B$105,$B86)&gt;1,1,0))</f>
      </c>
      <c r="K86" s="75"/>
    </row>
    <row r="87" ht="17" customHeight="1" spans="1:11" x14ac:dyDescent="0.25">
      <c r="A87" s="75"/>
      <c r="B87" s="79"/>
      <c r="C87" s="79"/>
      <c r="D87" s="80"/>
      <c r="E87" s="79"/>
      <c r="F87" s="80"/>
      <c r="G87" s="82"/>
      <c r="H87" s="79"/>
      <c r="I87" s="80"/>
      <c r="J87" s="78">
        <f>IF($B87="",0,IF(COUNTIF('NEXT YEAR NOTES'!$B$6:$B$105,$B87)&gt;1,1,0))</f>
      </c>
      <c r="K87" s="75"/>
    </row>
    <row r="88" ht="17" customHeight="1" spans="1:11" x14ac:dyDescent="0.25">
      <c r="A88" s="75"/>
      <c r="B88" s="79"/>
      <c r="C88" s="79"/>
      <c r="D88" s="80"/>
      <c r="E88" s="79"/>
      <c r="F88" s="80"/>
      <c r="G88" s="82"/>
      <c r="H88" s="79"/>
      <c r="I88" s="80"/>
      <c r="J88" s="78">
        <f>IF($B88="",0,IF(COUNTIF('NEXT YEAR NOTES'!$B$6:$B$105,$B88)&gt;1,1,0))</f>
      </c>
      <c r="K88" s="75"/>
    </row>
    <row r="89" ht="17" customHeight="1" spans="1:11" x14ac:dyDescent="0.25">
      <c r="A89" s="75"/>
      <c r="B89" s="79"/>
      <c r="C89" s="79"/>
      <c r="D89" s="80"/>
      <c r="E89" s="79"/>
      <c r="F89" s="80"/>
      <c r="G89" s="82"/>
      <c r="H89" s="79"/>
      <c r="I89" s="80"/>
      <c r="J89" s="78">
        <f>IF($B89="",0,IF(COUNTIF('NEXT YEAR NOTES'!$B$6:$B$105,$B89)&gt;1,1,0))</f>
      </c>
      <c r="K89" s="75"/>
    </row>
    <row r="90" ht="17" customHeight="1" spans="1:11" x14ac:dyDescent="0.25">
      <c r="A90" s="75"/>
      <c r="B90" s="79"/>
      <c r="C90" s="79"/>
      <c r="D90" s="80"/>
      <c r="E90" s="79"/>
      <c r="F90" s="80"/>
      <c r="G90" s="82"/>
      <c r="H90" s="79"/>
      <c r="I90" s="80"/>
      <c r="J90" s="78">
        <f>IF($B90="",0,IF(COUNTIF('NEXT YEAR NOTES'!$B$6:$B$105,$B90)&gt;1,1,0))</f>
      </c>
      <c r="K90" s="75"/>
    </row>
    <row r="91" ht="17" customHeight="1" spans="1:11" x14ac:dyDescent="0.25">
      <c r="A91" s="75"/>
      <c r="B91" s="79"/>
      <c r="C91" s="79"/>
      <c r="D91" s="80"/>
      <c r="E91" s="79"/>
      <c r="F91" s="80"/>
      <c r="G91" s="82"/>
      <c r="H91" s="79"/>
      <c r="I91" s="80"/>
      <c r="J91" s="78">
        <f>IF($B91="",0,IF(COUNTIF('NEXT YEAR NOTES'!$B$6:$B$105,$B91)&gt;1,1,0))</f>
      </c>
      <c r="K91" s="75"/>
    </row>
    <row r="92" ht="17" customHeight="1" spans="1:11" x14ac:dyDescent="0.25">
      <c r="A92" s="75"/>
      <c r="B92" s="79"/>
      <c r="C92" s="79"/>
      <c r="D92" s="80"/>
      <c r="E92" s="79"/>
      <c r="F92" s="80"/>
      <c r="G92" s="82"/>
      <c r="H92" s="79"/>
      <c r="I92" s="80"/>
      <c r="J92" s="78">
        <f>IF($B92="",0,IF(COUNTIF('NEXT YEAR NOTES'!$B$6:$B$105,$B92)&gt;1,1,0))</f>
      </c>
      <c r="K92" s="75"/>
    </row>
    <row r="93" ht="17" customHeight="1" spans="1:11" x14ac:dyDescent="0.25">
      <c r="A93" s="75"/>
      <c r="B93" s="79"/>
      <c r="C93" s="79"/>
      <c r="D93" s="80"/>
      <c r="E93" s="79"/>
      <c r="F93" s="80"/>
      <c r="G93" s="82"/>
      <c r="H93" s="79"/>
      <c r="I93" s="80"/>
      <c r="J93" s="78">
        <f>IF($B93="",0,IF(COUNTIF('NEXT YEAR NOTES'!$B$6:$B$105,$B93)&gt;1,1,0))</f>
      </c>
      <c r="K93" s="75"/>
    </row>
    <row r="94" ht="17" customHeight="1" spans="1:11" x14ac:dyDescent="0.25">
      <c r="A94" s="75"/>
      <c r="B94" s="79"/>
      <c r="C94" s="79"/>
      <c r="D94" s="80"/>
      <c r="E94" s="79"/>
      <c r="F94" s="80"/>
      <c r="G94" s="82"/>
      <c r="H94" s="79"/>
      <c r="I94" s="80"/>
      <c r="J94" s="78">
        <f>IF($B94="",0,IF(COUNTIF('NEXT YEAR NOTES'!$B$6:$B$105,$B94)&gt;1,1,0))</f>
      </c>
      <c r="K94" s="75"/>
    </row>
    <row r="95" ht="17" customHeight="1" spans="1:11" x14ac:dyDescent="0.25">
      <c r="A95" s="75"/>
      <c r="B95" s="79"/>
      <c r="C95" s="79"/>
      <c r="D95" s="80"/>
      <c r="E95" s="79"/>
      <c r="F95" s="80"/>
      <c r="G95" s="82"/>
      <c r="H95" s="79"/>
      <c r="I95" s="80"/>
      <c r="J95" s="78">
        <f>IF($B95="",0,IF(COUNTIF('NEXT YEAR NOTES'!$B$6:$B$105,$B95)&gt;1,1,0))</f>
      </c>
      <c r="K95" s="75"/>
    </row>
    <row r="96" ht="17" customHeight="1" spans="1:11" x14ac:dyDescent="0.25">
      <c r="A96" s="75"/>
      <c r="B96" s="79"/>
      <c r="C96" s="79"/>
      <c r="D96" s="80"/>
      <c r="E96" s="79"/>
      <c r="F96" s="80"/>
      <c r="G96" s="82"/>
      <c r="H96" s="79"/>
      <c r="I96" s="80"/>
      <c r="J96" s="78">
        <f>IF($B96="",0,IF(COUNTIF('NEXT YEAR NOTES'!$B$6:$B$105,$B96)&gt;1,1,0))</f>
      </c>
      <c r="K96" s="75"/>
    </row>
    <row r="97" ht="17" customHeight="1" spans="1:11" x14ac:dyDescent="0.25">
      <c r="A97" s="75"/>
      <c r="B97" s="79"/>
      <c r="C97" s="79"/>
      <c r="D97" s="80"/>
      <c r="E97" s="79"/>
      <c r="F97" s="80"/>
      <c r="G97" s="82"/>
      <c r="H97" s="79"/>
      <c r="I97" s="80"/>
      <c r="J97" s="78">
        <f>IF($B97="",0,IF(COUNTIF('NEXT YEAR NOTES'!$B$6:$B$105,$B97)&gt;1,1,0))</f>
      </c>
      <c r="K97" s="75"/>
    </row>
    <row r="98" ht="17" customHeight="1" spans="1:11" x14ac:dyDescent="0.25">
      <c r="A98" s="75"/>
      <c r="B98" s="79"/>
      <c r="C98" s="79"/>
      <c r="D98" s="80"/>
      <c r="E98" s="79"/>
      <c r="F98" s="80"/>
      <c r="G98" s="82"/>
      <c r="H98" s="79"/>
      <c r="I98" s="80"/>
      <c r="J98" s="78">
        <f>IF($B98="",0,IF(COUNTIF('NEXT YEAR NOTES'!$B$6:$B$105,$B98)&gt;1,1,0))</f>
      </c>
      <c r="K98" s="75"/>
    </row>
    <row r="99" ht="17" customHeight="1" spans="1:11" x14ac:dyDescent="0.25">
      <c r="A99" s="75"/>
      <c r="B99" s="79"/>
      <c r="C99" s="79"/>
      <c r="D99" s="80"/>
      <c r="E99" s="79"/>
      <c r="F99" s="80"/>
      <c r="G99" s="82"/>
      <c r="H99" s="79"/>
      <c r="I99" s="80"/>
      <c r="J99" s="78">
        <f>IF($B99="",0,IF(COUNTIF('NEXT YEAR NOTES'!$B$6:$B$105,$B99)&gt;1,1,0))</f>
      </c>
      <c r="K99" s="75"/>
    </row>
    <row r="100" ht="17" customHeight="1" spans="1:11" x14ac:dyDescent="0.25">
      <c r="A100" s="75"/>
      <c r="B100" s="79"/>
      <c r="C100" s="79"/>
      <c r="D100" s="80"/>
      <c r="E100" s="79"/>
      <c r="F100" s="80"/>
      <c r="G100" s="82"/>
      <c r="H100" s="79"/>
      <c r="I100" s="80"/>
      <c r="J100" s="78">
        <f>IF($B100="",0,IF(COUNTIF('NEXT YEAR NOTES'!$B$6:$B$105,$B100)&gt;1,1,0))</f>
      </c>
      <c r="K100" s="75"/>
    </row>
    <row r="101" ht="17" customHeight="1" spans="1:11" x14ac:dyDescent="0.25">
      <c r="A101" s="75"/>
      <c r="B101" s="79"/>
      <c r="C101" s="79"/>
      <c r="D101" s="80"/>
      <c r="E101" s="79"/>
      <c r="F101" s="80"/>
      <c r="G101" s="82"/>
      <c r="H101" s="79"/>
      <c r="I101" s="80"/>
      <c r="J101" s="78">
        <f>IF($B101="",0,IF(COUNTIF('NEXT YEAR NOTES'!$B$6:$B$105,$B101)&gt;1,1,0))</f>
      </c>
      <c r="K101" s="75"/>
    </row>
    <row r="102" ht="17" customHeight="1" spans="1:11" x14ac:dyDescent="0.25">
      <c r="A102" s="75"/>
      <c r="B102" s="79"/>
      <c r="C102" s="79"/>
      <c r="D102" s="80"/>
      <c r="E102" s="79"/>
      <c r="F102" s="80"/>
      <c r="G102" s="82"/>
      <c r="H102" s="79"/>
      <c r="I102" s="80"/>
      <c r="J102" s="78">
        <f>IF($B102="",0,IF(COUNTIF('NEXT YEAR NOTES'!$B$6:$B$105,$B102)&gt;1,1,0))</f>
      </c>
      <c r="K102" s="75"/>
    </row>
    <row r="103" ht="17" customHeight="1" spans="1:11" x14ac:dyDescent="0.25">
      <c r="A103" s="75"/>
      <c r="B103" s="79"/>
      <c r="C103" s="79"/>
      <c r="D103" s="80"/>
      <c r="E103" s="79"/>
      <c r="F103" s="80"/>
      <c r="G103" s="82"/>
      <c r="H103" s="79"/>
      <c r="I103" s="80"/>
      <c r="J103" s="78">
        <f>IF($B103="",0,IF(COUNTIF('NEXT YEAR NOTES'!$B$6:$B$105,$B103)&gt;1,1,0))</f>
      </c>
      <c r="K103" s="75"/>
    </row>
    <row r="104" ht="17" customHeight="1" spans="1:11" x14ac:dyDescent="0.25">
      <c r="A104" s="75"/>
      <c r="B104" s="79"/>
      <c r="C104" s="79"/>
      <c r="D104" s="80"/>
      <c r="E104" s="79"/>
      <c r="F104" s="80"/>
      <c r="G104" s="82"/>
      <c r="H104" s="79"/>
      <c r="I104" s="80"/>
      <c r="J104" s="78">
        <f>IF($B104="",0,IF(COUNTIF('NEXT YEAR NOTES'!$B$6:$B$105,$B104)&gt;1,1,0))</f>
      </c>
      <c r="K104" s="75"/>
    </row>
    <row r="105" ht="17" customHeight="1" spans="1:11" x14ac:dyDescent="0.25">
      <c r="A105" s="75"/>
      <c r="B105" s="79"/>
      <c r="C105" s="79"/>
      <c r="D105" s="80"/>
      <c r="E105" s="79"/>
      <c r="F105" s="80"/>
      <c r="G105" s="82"/>
      <c r="H105" s="79"/>
      <c r="I105" s="80"/>
      <c r="J105" s="78">
        <f>IF($B105="",0,IF(COUNTIF('NEXT YEAR NOTES'!$B$6:$B$105,$B105)&gt;1,1,0))</f>
      </c>
      <c r="K105" s="75"/>
    </row>
  </sheetData>
  <autoFilter ref="B5:J105"/>
  <mergeCells count="1">
    <mergeCell ref="B1:C1"/>
  </mergeCells>
  <dataValidations count="3">
    <dataValidation type="list" allowBlank="1" showErrorMessage="1" errorStyle="warning" errorTitle="Not one of the usual values" error="This column normally uses a value from the NextYearTheme list on LISTS. You can keep what you typed, or add it to the list so it appears in the dropdown." sqref="C6:C105">
      <formula1>=List_NextYearTheme</formula1>
    </dataValidation>
    <dataValidation type="custom" allowBlank="1" showErrorMessage="1" errorStyle="warning" errorTitle="That is not a date yet" error="Type a real date, so the workbook can count days with it. &quot;Before Christmas&quot; cannot be sorted." sqref="G6:G105">
      <formula1>=OR(G6="",ISNUMBER(G6))</formula1>
    </dataValidation>
    <dataValidation type="list" allowBlank="1" showErrorMessage="1" errorStyle="warning" errorTitle="Not one of the usual values" error="This column normally uses a value from the YesNo list on LISTS. You can keep what you typed, or add it to the list so it appears in the dropdown." sqref="H6:H105">
      <formula1>=List_YesNo</formula1>
    </dataValidation>
  </dataValidations>
  <hyperlinks>
    <hyperlink ref="B1" r:id="rId1" location="#'DASHBOARD'!A1"/>
    <hyperlink ref="D1" r:id="rId2" location="#'START HERE'!A1"/>
    <hyperlink ref="E1" r:id="rId3" location="#'CHRISTMAS CALENDAR'!A1"/>
    <hyperlink ref="F1" r:id="rId4" location="#'MASTER BUDGET'!A1"/>
    <hyperlink ref="G1" r:id="rId5" location="#'SHEET INDEX'!A1"/>
  </hyperlinks>
  <pageMargins left="0.4" right="0.4" top="0.6" bottom="0.6" header="0.3" footer="0.3"/>
  <pageSetup orientation="landscape" fitToWidth="1" fitToHeight="0"/>
  <headerFooter>
    <oddFooter>&amp;LNEXT YEAR NOTES&amp;C&amp;P of &amp;N&amp;RThe Christmas Season Master Command Center™</oddFooter>
  </headerFooter>
  <legacyDrawing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5B4B"/>
    <pageSetUpPr fitToPage="1"/>
  </sheetPr>
  <dimension ref="A1:L27"/>
  <sheetViews>
    <sheetView workbookViewId="0" showGridLines="0" zoomScale="90">
      <pane xSplit="3" ySplit="5" topLeftCell="D6" activePane="bottomRight" state="frozen"/>
      <selection pane="bottomRight"/>
    </sheetView>
  </sheetViews>
  <sheetFormatPr defaultRowHeight="15" outlineLevelRow="0" outlineLevelCol="0" x14ac:dyDescent="55"/>
  <cols>
    <col min="1" max="1" width="2" customWidth="1"/>
    <col min="3" max="4" width="13" customWidth="1"/>
    <col min="5" max="6" width="10" customWidth="1"/>
    <col min="7" max="7" width="32" customWidth="1"/>
    <col min="8" max="9" width="30" customWidth="1"/>
    <col min="10" max="10" width="34" customWidth="1"/>
    <col min="11" max="11" width="18" hidden="1" customWidth="1"/>
    <col min="12" max="12" width="2" customWidth="1"/>
  </cols>
  <sheetData>
    <row r="1" ht="21" customHeight="1" spans="1:12" x14ac:dyDescent="0.25">
      <c r="A1" s="62"/>
      <c r="B1" s="63" t="s">
        <v>8</v>
      </c>
      <c r="C1" s="63"/>
      <c r="D1" s="63" t="s">
        <v>9</v>
      </c>
      <c r="E1" s="63" t="s">
        <v>10</v>
      </c>
      <c r="F1" s="63"/>
      <c r="G1" s="63" t="s">
        <v>11</v>
      </c>
      <c r="H1" s="63" t="s">
        <v>12</v>
      </c>
      <c r="I1" s="62"/>
      <c r="J1" s="62"/>
      <c r="K1" s="62"/>
      <c r="L1" s="62"/>
    </row>
    <row r="2" ht="34" customHeight="1" spans="1:12" x14ac:dyDescent="0.25">
      <c r="A2" s="64"/>
      <c r="B2" s="65" t="s">
        <v>912</v>
      </c>
      <c r="C2" s="64"/>
      <c r="D2" s="64"/>
      <c r="E2" s="64"/>
      <c r="F2" s="64"/>
      <c r="G2" s="64"/>
      <c r="H2" s="64"/>
      <c r="I2" s="64"/>
      <c r="J2" s="64"/>
      <c r="K2" s="64"/>
      <c r="L2" s="64"/>
    </row>
    <row r="3" ht="18" customHeight="1" spans="1:12" x14ac:dyDescent="0.25">
      <c r="A3" s="64"/>
      <c r="B3" s="66" t="s">
        <v>913</v>
      </c>
      <c r="C3" s="64"/>
      <c r="D3" s="64"/>
      <c r="E3" s="64"/>
      <c r="F3" s="64"/>
      <c r="G3" s="64"/>
      <c r="H3" s="64"/>
      <c r="I3" s="64"/>
      <c r="J3" s="64"/>
      <c r="K3" s="64"/>
      <c r="L3" s="64"/>
    </row>
    <row r="4" ht="17" customHeight="1" spans="1:12" x14ac:dyDescent="0.25">
      <c r="A4" s="64"/>
      <c r="B4" s="67" t="s">
        <v>160</v>
      </c>
      <c r="C4" s="64"/>
      <c r="D4" s="64"/>
      <c r="E4" s="64"/>
      <c r="F4" s="64"/>
      <c r="G4" s="64"/>
      <c r="H4" s="64"/>
      <c r="I4" s="64"/>
      <c r="J4" s="64"/>
      <c r="K4" s="64"/>
      <c r="L4" s="64"/>
    </row>
    <row r="5" ht="32" customHeight="1" spans="1:12" x14ac:dyDescent="0.25">
      <c r="A5" s="73"/>
      <c r="B5" s="74" t="s">
        <v>914</v>
      </c>
      <c r="C5" s="74" t="s">
        <v>11</v>
      </c>
      <c r="D5" s="74" t="s">
        <v>268</v>
      </c>
      <c r="E5" s="74" t="s">
        <v>915</v>
      </c>
      <c r="F5" s="74" t="s">
        <v>916</v>
      </c>
      <c r="G5" s="74" t="s">
        <v>917</v>
      </c>
      <c r="H5" s="74" t="s">
        <v>918</v>
      </c>
      <c r="I5" s="74" t="s">
        <v>919</v>
      </c>
      <c r="J5" s="74" t="s">
        <v>179</v>
      </c>
      <c r="K5" s="74" t="s">
        <v>180</v>
      </c>
      <c r="L5" s="73"/>
    </row>
    <row r="6" ht="17" customHeight="1" spans="1:12" x14ac:dyDescent="0.25">
      <c r="A6" s="75"/>
      <c r="B6" s="97">
        <v>2025</v>
      </c>
      <c r="C6" s="84">
        <v>4200</v>
      </c>
      <c r="D6" s="84">
        <v>4460</v>
      </c>
      <c r="E6" s="89">
        <v>38</v>
      </c>
      <c r="F6" s="89">
        <v>14</v>
      </c>
      <c r="G6" s="77" t="s">
        <v>709</v>
      </c>
      <c r="H6" s="77" t="s">
        <v>920</v>
      </c>
      <c r="I6" s="77" t="s">
        <v>921</v>
      </c>
      <c r="J6" s="77" t="s">
        <v>186</v>
      </c>
      <c r="K6" s="78">
        <f>IF($B6="",0,IF(COUNTIF('ANNUAL ARCHIVE'!$B$6:$B$25,$B6)&gt;1,1,0))</f>
      </c>
      <c r="L6" s="75"/>
    </row>
    <row r="7" ht="17" customHeight="1" spans="1:12" x14ac:dyDescent="0.25">
      <c r="A7" s="75"/>
      <c r="B7" s="97">
        <v>2024</v>
      </c>
      <c r="C7" s="84">
        <v>3800</v>
      </c>
      <c r="D7" s="84">
        <v>3740</v>
      </c>
      <c r="E7" s="89">
        <v>35</v>
      </c>
      <c r="F7" s="89">
        <v>9</v>
      </c>
      <c r="G7" s="77" t="s">
        <v>717</v>
      </c>
      <c r="H7" s="77" t="s">
        <v>922</v>
      </c>
      <c r="I7" s="77"/>
      <c r="J7" s="77" t="s">
        <v>186</v>
      </c>
      <c r="K7" s="78">
        <f>IF($B7="",0,IF(COUNTIF('ANNUAL ARCHIVE'!$B$6:$B$25,$B7)&gt;1,1,0))</f>
      </c>
      <c r="L7" s="75"/>
    </row>
    <row r="8" ht="17" customHeight="1" spans="1:12" x14ac:dyDescent="0.25">
      <c r="A8" s="75"/>
      <c r="B8" s="97">
        <v>2023</v>
      </c>
      <c r="C8" s="84">
        <v>3500</v>
      </c>
      <c r="D8" s="84">
        <v>3910</v>
      </c>
      <c r="E8" s="89">
        <v>41</v>
      </c>
      <c r="F8" s="89">
        <v>16</v>
      </c>
      <c r="G8" s="77" t="s">
        <v>923</v>
      </c>
      <c r="H8" s="77"/>
      <c r="I8" s="77"/>
      <c r="J8" s="77" t="s">
        <v>186</v>
      </c>
      <c r="K8" s="78">
        <f>IF($B8="",0,IF(COUNTIF('ANNUAL ARCHIVE'!$B$6:$B$25,$B8)&gt;1,1,0))</f>
      </c>
      <c r="L8" s="75"/>
    </row>
    <row r="9" ht="17" customHeight="1" spans="1:12" x14ac:dyDescent="0.25">
      <c r="A9" s="75"/>
      <c r="B9" s="98"/>
      <c r="C9" s="86"/>
      <c r="D9" s="86"/>
      <c r="E9" s="90"/>
      <c r="F9" s="90"/>
      <c r="G9" s="80"/>
      <c r="H9" s="80"/>
      <c r="I9" s="80"/>
      <c r="J9" s="80"/>
      <c r="K9" s="78">
        <f>IF($B9="",0,IF(COUNTIF('ANNUAL ARCHIVE'!$B$6:$B$25,$B9)&gt;1,1,0))</f>
      </c>
      <c r="L9" s="75"/>
    </row>
    <row r="10" ht="17" customHeight="1" spans="1:12" x14ac:dyDescent="0.25">
      <c r="A10" s="75"/>
      <c r="B10" s="98"/>
      <c r="C10" s="86"/>
      <c r="D10" s="86"/>
      <c r="E10" s="90"/>
      <c r="F10" s="90"/>
      <c r="G10" s="80"/>
      <c r="H10" s="80"/>
      <c r="I10" s="80"/>
      <c r="J10" s="80"/>
      <c r="K10" s="78">
        <f>IF($B10="",0,IF(COUNTIF('ANNUAL ARCHIVE'!$B$6:$B$25,$B10)&gt;1,1,0))</f>
      </c>
      <c r="L10" s="75"/>
    </row>
    <row r="11" ht="17" customHeight="1" spans="1:12" x14ac:dyDescent="0.25">
      <c r="A11" s="75"/>
      <c r="B11" s="98"/>
      <c r="C11" s="86"/>
      <c r="D11" s="86"/>
      <c r="E11" s="90"/>
      <c r="F11" s="90"/>
      <c r="G11" s="80"/>
      <c r="H11" s="80"/>
      <c r="I11" s="80"/>
      <c r="J11" s="80"/>
      <c r="K11" s="78">
        <f>IF($B11="",0,IF(COUNTIF('ANNUAL ARCHIVE'!$B$6:$B$25,$B11)&gt;1,1,0))</f>
      </c>
      <c r="L11" s="75"/>
    </row>
    <row r="12" ht="17" customHeight="1" spans="1:12" x14ac:dyDescent="0.25">
      <c r="A12" s="75"/>
      <c r="B12" s="98"/>
      <c r="C12" s="86"/>
      <c r="D12" s="86"/>
      <c r="E12" s="90"/>
      <c r="F12" s="90"/>
      <c r="G12" s="80"/>
      <c r="H12" s="80"/>
      <c r="I12" s="80"/>
      <c r="J12" s="80"/>
      <c r="K12" s="78">
        <f>IF($B12="",0,IF(COUNTIF('ANNUAL ARCHIVE'!$B$6:$B$25,$B12)&gt;1,1,0))</f>
      </c>
      <c r="L12" s="75"/>
    </row>
    <row r="13" ht="17" customHeight="1" spans="1:12" x14ac:dyDescent="0.25">
      <c r="A13" s="75"/>
      <c r="B13" s="98"/>
      <c r="C13" s="86"/>
      <c r="D13" s="86"/>
      <c r="E13" s="90"/>
      <c r="F13" s="90"/>
      <c r="G13" s="80"/>
      <c r="H13" s="80"/>
      <c r="I13" s="80"/>
      <c r="J13" s="80"/>
      <c r="K13" s="78">
        <f>IF($B13="",0,IF(COUNTIF('ANNUAL ARCHIVE'!$B$6:$B$25,$B13)&gt;1,1,0))</f>
      </c>
      <c r="L13" s="75"/>
    </row>
    <row r="14" ht="17" customHeight="1" spans="1:12" x14ac:dyDescent="0.25">
      <c r="A14" s="75"/>
      <c r="B14" s="98"/>
      <c r="C14" s="86"/>
      <c r="D14" s="86"/>
      <c r="E14" s="90"/>
      <c r="F14" s="90"/>
      <c r="G14" s="80"/>
      <c r="H14" s="80"/>
      <c r="I14" s="80"/>
      <c r="J14" s="80"/>
      <c r="K14" s="78">
        <f>IF($B14="",0,IF(COUNTIF('ANNUAL ARCHIVE'!$B$6:$B$25,$B14)&gt;1,1,0))</f>
      </c>
      <c r="L14" s="75"/>
    </row>
    <row r="15" ht="17" customHeight="1" spans="1:12" x14ac:dyDescent="0.25">
      <c r="A15" s="75"/>
      <c r="B15" s="98"/>
      <c r="C15" s="86"/>
      <c r="D15" s="86"/>
      <c r="E15" s="90"/>
      <c r="F15" s="90"/>
      <c r="G15" s="80"/>
      <c r="H15" s="80"/>
      <c r="I15" s="80"/>
      <c r="J15" s="80"/>
      <c r="K15" s="78">
        <f>IF($B15="",0,IF(COUNTIF('ANNUAL ARCHIVE'!$B$6:$B$25,$B15)&gt;1,1,0))</f>
      </c>
      <c r="L15" s="75"/>
    </row>
    <row r="16" ht="17" customHeight="1" spans="1:12" x14ac:dyDescent="0.25">
      <c r="A16" s="75"/>
      <c r="B16" s="98"/>
      <c r="C16" s="86"/>
      <c r="D16" s="86"/>
      <c r="E16" s="90"/>
      <c r="F16" s="90"/>
      <c r="G16" s="80"/>
      <c r="H16" s="80"/>
      <c r="I16" s="80"/>
      <c r="J16" s="80"/>
      <c r="K16" s="78">
        <f>IF($B16="",0,IF(COUNTIF('ANNUAL ARCHIVE'!$B$6:$B$25,$B16)&gt;1,1,0))</f>
      </c>
      <c r="L16" s="75"/>
    </row>
    <row r="17" ht="17" customHeight="1" spans="1:12" x14ac:dyDescent="0.25">
      <c r="A17" s="75"/>
      <c r="B17" s="98"/>
      <c r="C17" s="86"/>
      <c r="D17" s="86"/>
      <c r="E17" s="90"/>
      <c r="F17" s="90"/>
      <c r="G17" s="80"/>
      <c r="H17" s="80"/>
      <c r="I17" s="80"/>
      <c r="J17" s="80"/>
      <c r="K17" s="78">
        <f>IF($B17="",0,IF(COUNTIF('ANNUAL ARCHIVE'!$B$6:$B$25,$B17)&gt;1,1,0))</f>
      </c>
      <c r="L17" s="75"/>
    </row>
    <row r="18" ht="17" customHeight="1" spans="1:12" x14ac:dyDescent="0.25">
      <c r="A18" s="75"/>
      <c r="B18" s="98"/>
      <c r="C18" s="86"/>
      <c r="D18" s="86"/>
      <c r="E18" s="90"/>
      <c r="F18" s="90"/>
      <c r="G18" s="80"/>
      <c r="H18" s="80"/>
      <c r="I18" s="80"/>
      <c r="J18" s="80"/>
      <c r="K18" s="78">
        <f>IF($B18="",0,IF(COUNTIF('ANNUAL ARCHIVE'!$B$6:$B$25,$B18)&gt;1,1,0))</f>
      </c>
      <c r="L18" s="75"/>
    </row>
    <row r="19" ht="17" customHeight="1" spans="1:12" x14ac:dyDescent="0.25">
      <c r="A19" s="75"/>
      <c r="B19" s="98"/>
      <c r="C19" s="86"/>
      <c r="D19" s="86"/>
      <c r="E19" s="90"/>
      <c r="F19" s="90"/>
      <c r="G19" s="80"/>
      <c r="H19" s="80"/>
      <c r="I19" s="80"/>
      <c r="J19" s="80"/>
      <c r="K19" s="78">
        <f>IF($B19="",0,IF(COUNTIF('ANNUAL ARCHIVE'!$B$6:$B$25,$B19)&gt;1,1,0))</f>
      </c>
      <c r="L19" s="75"/>
    </row>
    <row r="20" ht="17" customHeight="1" spans="1:12" x14ac:dyDescent="0.25">
      <c r="A20" s="75"/>
      <c r="B20" s="98"/>
      <c r="C20" s="86"/>
      <c r="D20" s="86"/>
      <c r="E20" s="90"/>
      <c r="F20" s="90"/>
      <c r="G20" s="80"/>
      <c r="H20" s="80"/>
      <c r="I20" s="80"/>
      <c r="J20" s="80"/>
      <c r="K20" s="78">
        <f>IF($B20="",0,IF(COUNTIF('ANNUAL ARCHIVE'!$B$6:$B$25,$B20)&gt;1,1,0))</f>
      </c>
      <c r="L20" s="75"/>
    </row>
    <row r="21" ht="17" customHeight="1" spans="1:12" x14ac:dyDescent="0.25">
      <c r="A21" s="75"/>
      <c r="B21" s="98"/>
      <c r="C21" s="86"/>
      <c r="D21" s="86"/>
      <c r="E21" s="90"/>
      <c r="F21" s="90"/>
      <c r="G21" s="80"/>
      <c r="H21" s="80"/>
      <c r="I21" s="80"/>
      <c r="J21" s="80"/>
      <c r="K21" s="78">
        <f>IF($B21="",0,IF(COUNTIF('ANNUAL ARCHIVE'!$B$6:$B$25,$B21)&gt;1,1,0))</f>
      </c>
      <c r="L21" s="75"/>
    </row>
    <row r="22" ht="17" customHeight="1" spans="1:12" x14ac:dyDescent="0.25">
      <c r="A22" s="75"/>
      <c r="B22" s="98"/>
      <c r="C22" s="86"/>
      <c r="D22" s="86"/>
      <c r="E22" s="90"/>
      <c r="F22" s="90"/>
      <c r="G22" s="80"/>
      <c r="H22" s="80"/>
      <c r="I22" s="80"/>
      <c r="J22" s="80"/>
      <c r="K22" s="78">
        <f>IF($B22="",0,IF(COUNTIF('ANNUAL ARCHIVE'!$B$6:$B$25,$B22)&gt;1,1,0))</f>
      </c>
      <c r="L22" s="75"/>
    </row>
    <row r="23" ht="17" customHeight="1" spans="1:12" x14ac:dyDescent="0.25">
      <c r="A23" s="75"/>
      <c r="B23" s="98"/>
      <c r="C23" s="86"/>
      <c r="D23" s="86"/>
      <c r="E23" s="90"/>
      <c r="F23" s="90"/>
      <c r="G23" s="80"/>
      <c r="H23" s="80"/>
      <c r="I23" s="80"/>
      <c r="J23" s="80"/>
      <c r="K23" s="78">
        <f>IF($B23="",0,IF(COUNTIF('ANNUAL ARCHIVE'!$B$6:$B$25,$B23)&gt;1,1,0))</f>
      </c>
      <c r="L23" s="75"/>
    </row>
    <row r="24" ht="17" customHeight="1" spans="1:12" x14ac:dyDescent="0.25">
      <c r="A24" s="75"/>
      <c r="B24" s="98"/>
      <c r="C24" s="86"/>
      <c r="D24" s="86"/>
      <c r="E24" s="90"/>
      <c r="F24" s="90"/>
      <c r="G24" s="80"/>
      <c r="H24" s="80"/>
      <c r="I24" s="80"/>
      <c r="J24" s="80"/>
      <c r="K24" s="78">
        <f>IF($B24="",0,IF(COUNTIF('ANNUAL ARCHIVE'!$B$6:$B$25,$B24)&gt;1,1,0))</f>
      </c>
      <c r="L24" s="75"/>
    </row>
    <row r="25" ht="17" customHeight="1" spans="1:12" x14ac:dyDescent="0.25">
      <c r="A25" s="75"/>
      <c r="B25" s="98"/>
      <c r="C25" s="86"/>
      <c r="D25" s="86"/>
      <c r="E25" s="90"/>
      <c r="F25" s="90"/>
      <c r="G25" s="80"/>
      <c r="H25" s="80"/>
      <c r="I25" s="80"/>
      <c r="J25" s="80"/>
      <c r="K25" s="78">
        <f>IF($B25="",0,IF(COUNTIF('ANNUAL ARCHIVE'!$B$6:$B$25,$B25)&gt;1,1,0))</f>
      </c>
      <c r="L25" s="75"/>
    </row>
    <row r="27" spans="2:2" x14ac:dyDescent="0.25">
      <c r="B27" s="91" t="s">
        <v>924</v>
      </c>
    </row>
  </sheetData>
  <autoFilter ref="B5:K25"/>
  <mergeCells count="2">
    <mergeCell ref="B1:C1"/>
    <mergeCell ref="E1:F1"/>
  </mergeCells>
  <dataValidations count="4">
    <dataValidation type="custom" allowBlank="1" showErrorMessage="1" errorStyle="warning" errorTitle="That looks like text" error="Type the number on its own — no currency symbol and no words. The column adds the symbol for you." sqref="C6:C25">
      <formula1>=OR(C6="",ISNUMBER(C6))</formula1>
    </dataValidation>
    <dataValidation type="custom" allowBlank="1" showErrorMessage="1" errorStyle="warning" errorTitle="That looks like text" error="Type the number on its own — no currency symbol and no words. The column adds the symbol for you." sqref="D6:D25">
      <formula1>=OR(D6="",ISNUMBER(D6))</formula1>
    </dataValidation>
    <dataValidation type="custom" allowBlank="1" showErrorMessage="1" errorStyle="warning" errorTitle="That looks like text" error="Type the number on its own — no currency symbol and no words. The column adds the symbol for you." sqref="E6:E25">
      <formula1>=OR(E6="",ISNUMBER(E6))</formula1>
    </dataValidation>
    <dataValidation type="custom" allowBlank="1" showErrorMessage="1" errorStyle="warning" errorTitle="That looks like text" error="Type the number on its own — no currency symbol and no words. The column adds the symbol for you." sqref="F6:F25">
      <formula1>=OR(F6="",ISNUMBER(F6))</formula1>
    </dataValidation>
  </dataValidations>
  <hyperlinks>
    <hyperlink ref="B1" r:id="rId1" location="#'DASHBOARD'!A1"/>
    <hyperlink ref="D1" r:id="rId2" location="#'START HERE'!A1"/>
    <hyperlink ref="E1" r:id="rId3" location="#'CHRISTMAS CALENDAR'!A1"/>
    <hyperlink ref="G1" r:id="rId4" location="#'MASTER BUDGET'!A1"/>
    <hyperlink ref="H1" r:id="rId5" location="#'SHEET INDEX'!A1"/>
  </hyperlinks>
  <pageMargins left="0.4" right="0.4" top="0.6" bottom="0.6" header="0.3" footer="0.3"/>
  <pageSetup orientation="landscape" fitToWidth="1" fitToHeight="0"/>
  <headerFooter>
    <oddFooter>&amp;LANNUAL ARCHIVE&amp;C&amp;P of &amp;N&amp;RThe Christmas Season Master Command Center™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89452"/>
    <pageSetUpPr fitToPage="1"/>
  </sheetPr>
  <dimension ref="A1:H42"/>
  <sheetViews>
    <sheetView workbookViewId="0" showGridLines="0" zoomScale="100">
      <pane ySplit="5" topLeftCell="A6" activePane="bottomLeft" state="frozen"/>
      <selection pane="bottomLeft"/>
    </sheetView>
  </sheetViews>
  <sheetFormatPr defaultRowHeight="15" outlineLevelRow="0" outlineLevelCol="0" x14ac:dyDescent="55"/>
  <cols>
    <col min="1" max="1" width="2" customWidth="1"/>
    <col min="2" max="2" width="4" customWidth="1"/>
    <col min="3" max="3" width="26" customWidth="1"/>
    <col min="4" max="5" width="15" customWidth="1"/>
    <col min="6" max="6" width="10" customWidth="1"/>
    <col min="7" max="7" width="8" customWidth="1"/>
  </cols>
  <sheetData>
    <row r="1" ht="21" customHeight="1" spans="1:8" x14ac:dyDescent="0.25">
      <c r="A1" s="4"/>
      <c r="B1" s="10" t="s">
        <v>8</v>
      </c>
      <c r="C1" s="10"/>
      <c r="D1" s="10" t="s">
        <v>9</v>
      </c>
      <c r="E1" s="10" t="s">
        <v>10</v>
      </c>
      <c r="F1" s="10" t="s">
        <v>11</v>
      </c>
      <c r="G1" s="11" t="s">
        <v>12</v>
      </c>
      <c r="H1" s="11"/>
    </row>
    <row r="2" ht="34" customHeight="1" spans="1:8" x14ac:dyDescent="0.25">
      <c r="A2" s="12"/>
      <c r="B2" s="13" t="s">
        <v>925</v>
      </c>
      <c r="C2" s="12"/>
      <c r="D2" s="12"/>
      <c r="E2" s="12"/>
      <c r="F2" s="12"/>
      <c r="G2" s="12"/>
      <c r="H2" s="12"/>
    </row>
    <row r="3" ht="18" customHeight="1" spans="1:8" x14ac:dyDescent="0.25">
      <c r="A3" s="12"/>
      <c r="B3" s="14" t="s">
        <v>926</v>
      </c>
      <c r="C3" s="12"/>
      <c r="D3" s="12"/>
      <c r="E3" s="12"/>
      <c r="F3" s="12"/>
      <c r="G3" s="12"/>
      <c r="H3" s="12"/>
    </row>
    <row r="4" ht="17" customHeight="1" spans="1:8" x14ac:dyDescent="0.25">
      <c r="A4" s="12"/>
      <c r="B4" s="15" t="s">
        <v>927</v>
      </c>
      <c r="C4" s="12"/>
      <c r="D4" s="12"/>
      <c r="E4" s="12"/>
      <c r="F4" s="12"/>
      <c r="G4" s="12"/>
      <c r="H4" s="12"/>
    </row>
    <row r="5" spans="1:8" x14ac:dyDescent="0.25">
      <c r="A5" s="16"/>
      <c r="B5" s="58" t="s">
        <v>928</v>
      </c>
      <c r="C5" s="58" t="s">
        <v>929</v>
      </c>
      <c r="D5" s="58" t="s">
        <v>930</v>
      </c>
      <c r="E5" s="58"/>
      <c r="F5" s="58" t="s">
        <v>931</v>
      </c>
      <c r="G5" s="16"/>
      <c r="H5" s="16"/>
    </row>
    <row r="6" ht="26" customHeight="1" spans="1:8" x14ac:dyDescent="0.25">
      <c r="A6" s="16"/>
      <c r="B6" s="99" t="s">
        <v>932</v>
      </c>
      <c r="C6" s="100" t="s">
        <v>933</v>
      </c>
      <c r="D6" s="101" t="s">
        <v>934</v>
      </c>
      <c r="E6" s="101"/>
      <c r="F6" s="99" t="s">
        <v>935</v>
      </c>
      <c r="G6" s="16"/>
      <c r="H6" s="16"/>
    </row>
    <row r="7" ht="26" customHeight="1" spans="1:8" x14ac:dyDescent="0.25">
      <c r="A7" s="16"/>
      <c r="B7" s="99" t="s">
        <v>936</v>
      </c>
      <c r="C7" s="100" t="s">
        <v>937</v>
      </c>
      <c r="D7" s="101" t="s">
        <v>938</v>
      </c>
      <c r="E7" s="101"/>
      <c r="F7" s="99" t="s">
        <v>935</v>
      </c>
      <c r="G7" s="16"/>
      <c r="H7" s="16"/>
    </row>
    <row r="8" ht="26" customHeight="1" spans="1:8" x14ac:dyDescent="0.25">
      <c r="A8" s="16"/>
      <c r="B8" s="99" t="s">
        <v>939</v>
      </c>
      <c r="C8" s="100" t="s">
        <v>940</v>
      </c>
      <c r="D8" s="101" t="s">
        <v>941</v>
      </c>
      <c r="E8" s="101"/>
      <c r="F8" s="99" t="s">
        <v>935</v>
      </c>
      <c r="G8" s="16"/>
      <c r="H8" s="16"/>
    </row>
    <row r="9" ht="26" customHeight="1" spans="1:8" x14ac:dyDescent="0.25">
      <c r="A9" s="16"/>
      <c r="B9" s="99" t="s">
        <v>942</v>
      </c>
      <c r="C9" s="100" t="s">
        <v>943</v>
      </c>
      <c r="D9" s="101" t="s">
        <v>944</v>
      </c>
      <c r="E9" s="101"/>
      <c r="F9" s="99" t="s">
        <v>935</v>
      </c>
      <c r="G9" s="16"/>
      <c r="H9" s="16"/>
    </row>
    <row r="10" ht="26" customHeight="1" spans="1:8" x14ac:dyDescent="0.25">
      <c r="A10" s="16"/>
      <c r="B10" s="99" t="s">
        <v>945</v>
      </c>
      <c r="C10" s="100" t="s">
        <v>158</v>
      </c>
      <c r="D10" s="101" t="s">
        <v>946</v>
      </c>
      <c r="E10" s="101"/>
      <c r="F10" s="99" t="s">
        <v>935</v>
      </c>
      <c r="G10" s="16"/>
      <c r="H10" s="16"/>
    </row>
    <row r="11" ht="26" customHeight="1" spans="1:8" x14ac:dyDescent="0.25">
      <c r="A11" s="16"/>
      <c r="B11" s="99" t="s">
        <v>947</v>
      </c>
      <c r="C11" s="100" t="s">
        <v>195</v>
      </c>
      <c r="D11" s="101" t="s">
        <v>948</v>
      </c>
      <c r="E11" s="101"/>
      <c r="F11" s="99" t="s">
        <v>935</v>
      </c>
      <c r="G11" s="16"/>
      <c r="H11" s="16"/>
    </row>
    <row r="12" ht="26" customHeight="1" spans="1:8" x14ac:dyDescent="0.25">
      <c r="A12" s="16"/>
      <c r="B12" s="99" t="s">
        <v>949</v>
      </c>
      <c r="C12" s="100" t="s">
        <v>248</v>
      </c>
      <c r="D12" s="101" t="s">
        <v>950</v>
      </c>
      <c r="E12" s="101"/>
      <c r="F12" s="99" t="s">
        <v>935</v>
      </c>
      <c r="G12" s="16"/>
      <c r="H12" s="16"/>
    </row>
    <row r="13" ht="26" customHeight="1" spans="1:8" x14ac:dyDescent="0.25">
      <c r="A13" s="16"/>
      <c r="B13" s="99" t="s">
        <v>951</v>
      </c>
      <c r="C13" s="100" t="s">
        <v>123</v>
      </c>
      <c r="D13" s="101" t="s">
        <v>952</v>
      </c>
      <c r="E13" s="101"/>
      <c r="F13" s="99" t="s">
        <v>935</v>
      </c>
      <c r="G13" s="16"/>
      <c r="H13" s="16"/>
    </row>
    <row r="14" ht="17" customHeight="1" spans="1:8" x14ac:dyDescent="0.25">
      <c r="A14" s="16"/>
      <c r="B14" s="99" t="s">
        <v>953</v>
      </c>
      <c r="C14" s="100" t="s">
        <v>128</v>
      </c>
      <c r="D14" s="101" t="s">
        <v>954</v>
      </c>
      <c r="E14" s="101"/>
      <c r="F14" s="99" t="s">
        <v>935</v>
      </c>
      <c r="G14" s="16"/>
      <c r="H14" s="16"/>
    </row>
    <row r="15" ht="17" customHeight="1" spans="1:8" x14ac:dyDescent="0.25">
      <c r="A15" s="16"/>
      <c r="B15" s="99" t="s">
        <v>955</v>
      </c>
      <c r="C15" s="100" t="s">
        <v>349</v>
      </c>
      <c r="D15" s="101" t="s">
        <v>956</v>
      </c>
      <c r="E15" s="101"/>
      <c r="F15" s="99" t="s">
        <v>935</v>
      </c>
      <c r="G15" s="16"/>
      <c r="H15" s="16"/>
    </row>
    <row r="16" ht="17" customHeight="1" spans="1:8" x14ac:dyDescent="0.25">
      <c r="A16" s="16"/>
      <c r="B16" s="99" t="s">
        <v>957</v>
      </c>
      <c r="C16" s="100" t="s">
        <v>133</v>
      </c>
      <c r="D16" s="101" t="s">
        <v>958</v>
      </c>
      <c r="E16" s="101"/>
      <c r="F16" s="99" t="s">
        <v>935</v>
      </c>
      <c r="G16" s="16"/>
      <c r="H16" s="16"/>
    </row>
    <row r="17" ht="17" customHeight="1" spans="1:8" x14ac:dyDescent="0.25">
      <c r="A17" s="16"/>
      <c r="B17" s="99" t="s">
        <v>959</v>
      </c>
      <c r="C17" s="100" t="s">
        <v>140</v>
      </c>
      <c r="D17" s="101" t="s">
        <v>960</v>
      </c>
      <c r="E17" s="101"/>
      <c r="F17" s="99" t="s">
        <v>935</v>
      </c>
      <c r="G17" s="16"/>
      <c r="H17" s="16"/>
    </row>
    <row r="18" ht="26" customHeight="1" spans="1:8" x14ac:dyDescent="0.25">
      <c r="A18" s="16"/>
      <c r="B18" s="99" t="s">
        <v>961</v>
      </c>
      <c r="C18" s="100" t="s">
        <v>142</v>
      </c>
      <c r="D18" s="101" t="s">
        <v>962</v>
      </c>
      <c r="E18" s="101"/>
      <c r="F18" s="99" t="s">
        <v>935</v>
      </c>
      <c r="G18" s="16"/>
      <c r="H18" s="16"/>
    </row>
    <row r="19" ht="26" customHeight="1" spans="1:8" x14ac:dyDescent="0.25">
      <c r="A19" s="16"/>
      <c r="B19" s="99" t="s">
        <v>963</v>
      </c>
      <c r="C19" s="100" t="s">
        <v>440</v>
      </c>
      <c r="D19" s="101" t="s">
        <v>964</v>
      </c>
      <c r="E19" s="101"/>
      <c r="F19" s="99" t="s">
        <v>935</v>
      </c>
      <c r="G19" s="16"/>
      <c r="H19" s="16"/>
    </row>
    <row r="20" ht="26" customHeight="1" spans="1:8" x14ac:dyDescent="0.25">
      <c r="A20" s="16"/>
      <c r="B20" s="99" t="s">
        <v>965</v>
      </c>
      <c r="C20" s="100" t="s">
        <v>483</v>
      </c>
      <c r="D20" s="101" t="s">
        <v>966</v>
      </c>
      <c r="E20" s="101"/>
      <c r="F20" s="99" t="s">
        <v>935</v>
      </c>
      <c r="G20" s="16"/>
      <c r="H20" s="16"/>
    </row>
    <row r="21" ht="26" customHeight="1" spans="1:8" x14ac:dyDescent="0.25">
      <c r="A21" s="16"/>
      <c r="B21" s="99" t="s">
        <v>967</v>
      </c>
      <c r="C21" s="100" t="s">
        <v>523</v>
      </c>
      <c r="D21" s="101" t="s">
        <v>968</v>
      </c>
      <c r="E21" s="101"/>
      <c r="F21" s="99" t="s">
        <v>935</v>
      </c>
      <c r="G21" s="16"/>
      <c r="H21" s="16"/>
    </row>
    <row r="22" ht="17" customHeight="1" spans="1:8" x14ac:dyDescent="0.25">
      <c r="A22" s="16"/>
      <c r="B22" s="99" t="s">
        <v>969</v>
      </c>
      <c r="C22" s="100" t="s">
        <v>544</v>
      </c>
      <c r="D22" s="101" t="s">
        <v>970</v>
      </c>
      <c r="E22" s="101"/>
      <c r="F22" s="99" t="s">
        <v>935</v>
      </c>
      <c r="G22" s="16"/>
      <c r="H22" s="16"/>
    </row>
    <row r="23" ht="17" customHeight="1" spans="1:8" x14ac:dyDescent="0.25">
      <c r="A23" s="16"/>
      <c r="B23" s="99" t="s">
        <v>971</v>
      </c>
      <c r="C23" s="100" t="s">
        <v>584</v>
      </c>
      <c r="D23" s="101" t="s">
        <v>972</v>
      </c>
      <c r="E23" s="101"/>
      <c r="F23" s="99" t="s">
        <v>935</v>
      </c>
      <c r="G23" s="16"/>
      <c r="H23" s="16"/>
    </row>
    <row r="24" ht="17" customHeight="1" spans="1:8" x14ac:dyDescent="0.25">
      <c r="A24" s="16"/>
      <c r="B24" s="99" t="s">
        <v>973</v>
      </c>
      <c r="C24" s="100" t="s">
        <v>144</v>
      </c>
      <c r="D24" s="101" t="s">
        <v>974</v>
      </c>
      <c r="E24" s="101"/>
      <c r="F24" s="99" t="s">
        <v>935</v>
      </c>
      <c r="G24" s="16"/>
      <c r="H24" s="16"/>
    </row>
    <row r="25" ht="17" customHeight="1" spans="1:8" x14ac:dyDescent="0.25">
      <c r="A25" s="16"/>
      <c r="B25" s="99" t="s">
        <v>975</v>
      </c>
      <c r="C25" s="100" t="s">
        <v>643</v>
      </c>
      <c r="D25" s="101" t="s">
        <v>976</v>
      </c>
      <c r="E25" s="101"/>
      <c r="F25" s="99" t="s">
        <v>935</v>
      </c>
      <c r="G25" s="16"/>
      <c r="H25" s="16"/>
    </row>
    <row r="26" ht="17" customHeight="1" spans="1:8" x14ac:dyDescent="0.25">
      <c r="A26" s="16"/>
      <c r="B26" s="99" t="s">
        <v>977</v>
      </c>
      <c r="C26" s="100" t="s">
        <v>667</v>
      </c>
      <c r="D26" s="101" t="s">
        <v>978</v>
      </c>
      <c r="E26" s="101"/>
      <c r="F26" s="99" t="s">
        <v>935</v>
      </c>
      <c r="G26" s="16"/>
      <c r="H26" s="16"/>
    </row>
    <row r="27" ht="26" customHeight="1" spans="1:8" x14ac:dyDescent="0.25">
      <c r="A27" s="16"/>
      <c r="B27" s="99" t="s">
        <v>979</v>
      </c>
      <c r="C27" s="100" t="s">
        <v>697</v>
      </c>
      <c r="D27" s="101" t="s">
        <v>980</v>
      </c>
      <c r="E27" s="101"/>
      <c r="F27" s="99" t="s">
        <v>935</v>
      </c>
      <c r="G27" s="16"/>
      <c r="H27" s="16"/>
    </row>
    <row r="28" ht="26" customHeight="1" spans="1:8" x14ac:dyDescent="0.25">
      <c r="A28" s="16"/>
      <c r="B28" s="99" t="s">
        <v>981</v>
      </c>
      <c r="C28" s="100" t="s">
        <v>720</v>
      </c>
      <c r="D28" s="101" t="s">
        <v>982</v>
      </c>
      <c r="E28" s="101"/>
      <c r="F28" s="102" t="s">
        <v>983</v>
      </c>
      <c r="G28" s="16"/>
      <c r="H28" s="16"/>
    </row>
    <row r="29" ht="26" customHeight="1" spans="1:8" x14ac:dyDescent="0.25">
      <c r="A29" s="16"/>
      <c r="B29" s="99" t="s">
        <v>984</v>
      </c>
      <c r="C29" s="100" t="s">
        <v>738</v>
      </c>
      <c r="D29" s="101" t="s">
        <v>985</v>
      </c>
      <c r="E29" s="101"/>
      <c r="F29" s="99" t="s">
        <v>935</v>
      </c>
      <c r="G29" s="16"/>
      <c r="H29" s="16"/>
    </row>
    <row r="30" ht="26" customHeight="1" spans="1:8" x14ac:dyDescent="0.25">
      <c r="A30" s="16"/>
      <c r="B30" s="99" t="s">
        <v>986</v>
      </c>
      <c r="C30" s="100" t="s">
        <v>752</v>
      </c>
      <c r="D30" s="101" t="s">
        <v>987</v>
      </c>
      <c r="E30" s="101"/>
      <c r="F30" s="99" t="s">
        <v>935</v>
      </c>
      <c r="G30" s="16"/>
      <c r="H30" s="16"/>
    </row>
    <row r="31" ht="17" customHeight="1" spans="1:8" x14ac:dyDescent="0.25">
      <c r="A31" s="16"/>
      <c r="B31" s="99" t="s">
        <v>988</v>
      </c>
      <c r="C31" s="100" t="s">
        <v>781</v>
      </c>
      <c r="D31" s="101" t="s">
        <v>989</v>
      </c>
      <c r="E31" s="101"/>
      <c r="F31" s="102" t="s">
        <v>983</v>
      </c>
      <c r="G31" s="16"/>
      <c r="H31" s="16"/>
    </row>
    <row r="32" ht="17" customHeight="1" spans="1:8" x14ac:dyDescent="0.25">
      <c r="A32" s="16"/>
      <c r="B32" s="99" t="s">
        <v>990</v>
      </c>
      <c r="C32" s="100" t="s">
        <v>819</v>
      </c>
      <c r="D32" s="101" t="s">
        <v>991</v>
      </c>
      <c r="E32" s="101"/>
      <c r="F32" s="99" t="s">
        <v>935</v>
      </c>
      <c r="G32" s="16"/>
      <c r="H32" s="16"/>
    </row>
    <row r="33" ht="26" customHeight="1" spans="1:8" x14ac:dyDescent="0.25">
      <c r="A33" s="16"/>
      <c r="B33" s="99" t="s">
        <v>992</v>
      </c>
      <c r="C33" s="100" t="s">
        <v>839</v>
      </c>
      <c r="D33" s="101" t="s">
        <v>993</v>
      </c>
      <c r="E33" s="101"/>
      <c r="F33" s="99" t="s">
        <v>935</v>
      </c>
      <c r="G33" s="16"/>
      <c r="H33" s="16"/>
    </row>
    <row r="34" ht="17" customHeight="1" spans="1:8" x14ac:dyDescent="0.25">
      <c r="A34" s="16"/>
      <c r="B34" s="99" t="s">
        <v>994</v>
      </c>
      <c r="C34" s="100" t="s">
        <v>858</v>
      </c>
      <c r="D34" s="101" t="s">
        <v>995</v>
      </c>
      <c r="E34" s="101"/>
      <c r="F34" s="102" t="s">
        <v>983</v>
      </c>
      <c r="G34" s="16"/>
      <c r="H34" s="16"/>
    </row>
    <row r="35" ht="17" customHeight="1" spans="1:8" x14ac:dyDescent="0.25">
      <c r="A35" s="16"/>
      <c r="B35" s="99" t="s">
        <v>996</v>
      </c>
      <c r="C35" s="100" t="s">
        <v>871</v>
      </c>
      <c r="D35" s="101" t="s">
        <v>997</v>
      </c>
      <c r="E35" s="101"/>
      <c r="F35" s="99" t="s">
        <v>935</v>
      </c>
      <c r="G35" s="16"/>
      <c r="H35" s="16"/>
    </row>
    <row r="36" ht="17" customHeight="1" spans="1:8" x14ac:dyDescent="0.25">
      <c r="A36" s="16"/>
      <c r="B36" s="99" t="s">
        <v>998</v>
      </c>
      <c r="C36" s="100" t="s">
        <v>890</v>
      </c>
      <c r="D36" s="101" t="s">
        <v>999</v>
      </c>
      <c r="E36" s="101"/>
      <c r="F36" s="99" t="s">
        <v>935</v>
      </c>
      <c r="G36" s="16"/>
      <c r="H36" s="16"/>
    </row>
    <row r="37" ht="17" customHeight="1" spans="1:8" x14ac:dyDescent="0.25">
      <c r="A37" s="16"/>
      <c r="B37" s="99" t="s">
        <v>1000</v>
      </c>
      <c r="C37" s="100" t="s">
        <v>912</v>
      </c>
      <c r="D37" s="101" t="s">
        <v>1001</v>
      </c>
      <c r="E37" s="101"/>
      <c r="F37" s="99" t="s">
        <v>935</v>
      </c>
      <c r="G37" s="16"/>
      <c r="H37" s="16"/>
    </row>
    <row r="38" ht="17" customHeight="1" spans="1:8" x14ac:dyDescent="0.25">
      <c r="A38" s="16"/>
      <c r="B38" s="99" t="s">
        <v>1002</v>
      </c>
      <c r="C38" s="100" t="s">
        <v>1003</v>
      </c>
      <c r="D38" s="101" t="s">
        <v>1004</v>
      </c>
      <c r="E38" s="101"/>
      <c r="F38" s="99" t="s">
        <v>1005</v>
      </c>
      <c r="G38" s="16"/>
      <c r="H38" s="16"/>
    </row>
    <row r="39" ht="26" customHeight="1" spans="1:8" x14ac:dyDescent="0.25">
      <c r="A39" s="16"/>
      <c r="B39" s="99" t="s">
        <v>1006</v>
      </c>
      <c r="C39" s="100" t="s">
        <v>1007</v>
      </c>
      <c r="D39" s="101" t="s">
        <v>1008</v>
      </c>
      <c r="E39" s="101"/>
      <c r="F39" s="99" t="s">
        <v>1005</v>
      </c>
      <c r="G39" s="16"/>
      <c r="H39" s="16"/>
    </row>
    <row r="40" ht="17" customHeight="1" spans="1:8" x14ac:dyDescent="0.25">
      <c r="A40" s="16"/>
      <c r="B40" s="99" t="s">
        <v>1009</v>
      </c>
      <c r="C40" s="100" t="s">
        <v>146</v>
      </c>
      <c r="D40" s="101" t="s">
        <v>1010</v>
      </c>
      <c r="E40" s="101"/>
      <c r="F40" s="99" t="s">
        <v>1005</v>
      </c>
      <c r="G40" s="16"/>
      <c r="H40" s="16"/>
    </row>
    <row r="41" spans="1:8" x14ac:dyDescent="0.25">
      <c r="A41" s="16"/>
      <c r="B41" s="16"/>
      <c r="C41" s="16"/>
      <c r="D41" s="16"/>
      <c r="E41" s="16"/>
      <c r="F41" s="16"/>
      <c r="G41" s="16"/>
      <c r="H41" s="16"/>
    </row>
    <row r="42" spans="1:8" x14ac:dyDescent="0.25">
      <c r="A42" s="16"/>
      <c r="B42" s="16"/>
      <c r="C42" s="16"/>
      <c r="D42" s="16"/>
      <c r="E42" s="16"/>
      <c r="F42" s="16"/>
      <c r="G42" s="16"/>
      <c r="H42" s="16"/>
    </row>
  </sheetData>
  <mergeCells count="38">
    <mergeCell ref="B1:C1"/>
    <mergeCell ref="G1:H1"/>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s>
  <hyperlinks>
    <hyperlink ref="B1" r:id="rId1" location="#'DASHBOARD'!A1"/>
    <hyperlink ref="D1" r:id="rId2" location="#'START HERE'!A1"/>
    <hyperlink ref="E1" r:id="rId3" location="#'CHRISTMAS CALENDAR'!A1"/>
    <hyperlink ref="F1" r:id="rId4" location="#'MASTER BUDGET'!A1"/>
    <hyperlink ref="C6" r:id="rId5" location="#'COVER'!A1"/>
    <hyperlink ref="C7" r:id="rId6" location="#'START HERE'!A1"/>
    <hyperlink ref="C8" r:id="rId7" location="#'SETTINGS'!A1"/>
    <hyperlink ref="C9" r:id="rId8" location="#'DASHBOARD'!A1"/>
    <hyperlink ref="C10" r:id="rId9" location="#'SEASON VISION'!A1"/>
    <hyperlink ref="C11" r:id="rId10" location="#'RECIPIENT PROFILES'!A1"/>
    <hyperlink ref="C12" r:id="rId11" location="#'PEOPLE + BUDGETS'!A1"/>
    <hyperlink ref="C13" r:id="rId12" location="#'MASTER BUDGET'!A1"/>
    <hyperlink ref="C14" r:id="rId13" location="#'GIFT PLANNER'!A1"/>
    <hyperlink ref="C15" r:id="rId14" location="#'STOCKING STUFFERS'!A1"/>
    <hyperlink ref="C16" r:id="rId15" location="#'ONLINE ORDERS'!A1"/>
    <hyperlink ref="C17" r:id="rId16" location="#'RETURNS + EXCHANGES'!A1"/>
    <hyperlink ref="C18" r:id="rId17" location="#'CHRISTMAS CALENDAR'!A1"/>
    <hyperlink ref="C19" r:id="rId18" location="#'VENDORS + APPOINTMENTS'!A1"/>
    <hyperlink ref="C20" r:id="rId19" location="#'DECOR INVENTORY'!A1"/>
    <hyperlink ref="C21" r:id="rId20" location="#'DECORATING PLAN'!A1"/>
    <hyperlink ref="C22" r:id="rId21" location="#'TABLESCAPE + FLORALS'!A1"/>
    <hyperlink ref="C23" r:id="rId22" location="#'MEAL + BAKING PLAN'!A1"/>
    <hyperlink ref="C24" r:id="rId23" location="#'GROCERY LIST'!A1"/>
    <hyperlink ref="C25" r:id="rId24" location="#'RECIPE INDEX'!A1"/>
    <hyperlink ref="C26" r:id="rId25" location="#'HOSTING + GUESTS'!A1"/>
    <hyperlink ref="C27" r:id="rId26" location="#'TRADITIONS + BUCKET LIST'!A1"/>
    <hyperlink ref="C28" r:id="rId27" location="#'MOVIES + MUSIC'!A1"/>
    <hyperlink ref="C29" r:id="rId28" location="#'CARDS + MAIL'!A1"/>
    <hyperlink ref="C30" r:id="rId29" location="#'EVENTS + WARDROBE'!A1"/>
    <hyperlink ref="C31" r:id="rId30" location="#'TRAVEL PLAN'!A1"/>
    <hyperlink ref="C32" r:id="rId31" location="#'CLEANING + HOME PREP'!A1"/>
    <hyperlink ref="C33" r:id="rId32" location="#'DONATIONS + GIVING'!A1"/>
    <hyperlink ref="C34" r:id="rId33" location="#'ADVENT + REFLECTION'!A1"/>
    <hyperlink ref="C35" r:id="rId34" location="#'MEMORIES'!A1"/>
    <hyperlink ref="C36" r:id="rId35" location="#'NEXT YEAR NOTES'!A1"/>
    <hyperlink ref="C37" r:id="rId36" location="#'ANNUAL ARCHIVE'!A1"/>
    <hyperlink ref="C38" r:id="rId37" location="#'SHEET INDEX'!A1"/>
    <hyperlink ref="C39" r:id="rId38" location="#'LISTS'!A1"/>
    <hyperlink ref="C40" r:id="rId39" location="#'QUALITY CHECK'!A1"/>
  </hyperlinks>
  <pageMargins left="0.5" right="0.5" top="0.6" bottom="0.6" header="0.3" footer="0.3"/>
  <pageSetup orientation="portrait"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6257"/>
    <pageSetUpPr fitToPage="1"/>
  </sheetPr>
  <dimension ref="A1:AS43"/>
  <sheetViews>
    <sheetView workbookViewId="0" showGridLines="0" zoomScale="90">
      <pane xSplit="1" ySplit="5" topLeftCell="B6" activePane="bottomRight" state="frozen"/>
      <selection pane="bottomRight"/>
    </sheetView>
  </sheetViews>
  <sheetFormatPr defaultRowHeight="15" outlineLevelRow="0" outlineLevelCol="0" x14ac:dyDescent="55"/>
  <cols>
    <col min="1" max="1" width="2" customWidth="1"/>
    <col min="2" max="4" width="12" customWidth="1"/>
    <col min="5" max="5" width="19" customWidth="1"/>
    <col min="6" max="6" width="18" customWidth="1"/>
    <col min="7" max="7" width="14" customWidth="1"/>
    <col min="8" max="8" width="13" customWidth="1"/>
    <col min="9" max="9" width="20" customWidth="1"/>
    <col min="10" max="11" width="12" customWidth="1"/>
    <col min="12" max="12" width="19" customWidth="1"/>
    <col min="13" max="13" width="20" customWidth="1"/>
    <col min="14" max="15" width="14" customWidth="1"/>
    <col min="16" max="17" width="15" customWidth="1"/>
    <col min="18" max="18" width="20" customWidth="1"/>
    <col min="19" max="19" width="12" customWidth="1"/>
    <col min="20" max="20" width="18" customWidth="1"/>
    <col min="21" max="21" width="13" customWidth="1"/>
    <col min="22" max="23" width="12" customWidth="1"/>
    <col min="24" max="24" width="17" customWidth="1"/>
    <col min="25" max="25" width="14" customWidth="1"/>
    <col min="26" max="27" width="12" customWidth="1"/>
    <col min="28" max="28" width="16" customWidth="1"/>
    <col min="29" max="32" width="12" customWidth="1"/>
    <col min="33" max="33" width="17" customWidth="1"/>
    <col min="34" max="34" width="15" customWidth="1"/>
    <col min="35" max="36" width="12" customWidth="1"/>
    <col min="37" max="37" width="16" customWidth="1"/>
    <col min="38" max="38" width="14" customWidth="1"/>
    <col min="39" max="39" width="15" customWidth="1"/>
    <col min="40" max="41" width="12" customWidth="1"/>
    <col min="42" max="42" width="14" customWidth="1"/>
    <col min="43" max="43" width="20" customWidth="1"/>
  </cols>
  <sheetData>
    <row r="1" ht="21" customHeight="1" spans="1:45" x14ac:dyDescent="0.25">
      <c r="A1" s="62"/>
      <c r="B1" s="63" t="s">
        <v>8</v>
      </c>
      <c r="C1" s="63"/>
      <c r="D1" s="63" t="s">
        <v>9</v>
      </c>
      <c r="E1" s="63"/>
      <c r="F1" s="63" t="s">
        <v>10</v>
      </c>
      <c r="G1" s="63"/>
      <c r="H1" s="63" t="s">
        <v>11</v>
      </c>
      <c r="I1" s="63"/>
      <c r="J1" s="63" t="s">
        <v>12</v>
      </c>
      <c r="K1" s="63"/>
      <c r="L1" s="62"/>
      <c r="M1" s="62"/>
      <c r="N1" s="62"/>
      <c r="O1" s="62"/>
      <c r="P1" s="62"/>
      <c r="Q1" s="62"/>
      <c r="R1" s="62"/>
      <c r="S1" s="62"/>
      <c r="T1" s="62"/>
      <c r="U1" s="62"/>
      <c r="V1" s="62"/>
      <c r="W1" s="62"/>
      <c r="X1" s="62"/>
      <c r="Y1" s="62"/>
      <c r="Z1" s="62"/>
      <c r="AA1" s="62"/>
      <c r="AB1" s="62"/>
      <c r="AC1" s="62"/>
      <c r="AD1" s="62"/>
      <c r="AE1" s="62"/>
      <c r="AF1" s="62"/>
      <c r="AG1" s="62"/>
      <c r="AH1" s="62"/>
      <c r="AI1" s="62"/>
      <c r="AJ1" s="62"/>
      <c r="AK1" s="62"/>
      <c r="AL1" s="62"/>
      <c r="AM1" s="62"/>
      <c r="AN1" s="62"/>
      <c r="AO1" s="62"/>
      <c r="AP1" s="62"/>
      <c r="AQ1" s="62"/>
      <c r="AR1" s="62"/>
      <c r="AS1" s="62"/>
    </row>
    <row r="2" ht="34" customHeight="1" spans="1:45" x14ac:dyDescent="0.25">
      <c r="A2" s="64"/>
      <c r="B2" s="65" t="s">
        <v>1011</v>
      </c>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row>
    <row r="3" ht="18" customHeight="1" spans="1:45" x14ac:dyDescent="0.25">
      <c r="A3" s="64"/>
      <c r="B3" s="66" t="s">
        <v>1012</v>
      </c>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row>
    <row r="4" ht="17" customHeight="1" spans="1:45" x14ac:dyDescent="0.25">
      <c r="A4" s="64"/>
      <c r="B4" s="67" t="s">
        <v>1013</v>
      </c>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row>
    <row r="5" spans="2:43" x14ac:dyDescent="0.25">
      <c r="B5" s="74" t="s">
        <v>1014</v>
      </c>
      <c r="C5" s="74" t="s">
        <v>1015</v>
      </c>
      <c r="D5" s="74" t="s">
        <v>1016</v>
      </c>
      <c r="E5" s="74" t="s">
        <v>250</v>
      </c>
      <c r="F5" s="74" t="s">
        <v>1017</v>
      </c>
      <c r="G5" s="74" t="s">
        <v>1018</v>
      </c>
      <c r="H5" s="74" t="s">
        <v>1019</v>
      </c>
      <c r="I5" s="74" t="s">
        <v>1020</v>
      </c>
      <c r="J5" s="74" t="s">
        <v>174</v>
      </c>
      <c r="K5" s="74" t="s">
        <v>1021</v>
      </c>
      <c r="L5" s="74" t="s">
        <v>1022</v>
      </c>
      <c r="M5" s="74" t="s">
        <v>1023</v>
      </c>
      <c r="N5" s="74" t="s">
        <v>1024</v>
      </c>
      <c r="O5" s="74" t="s">
        <v>1025</v>
      </c>
      <c r="P5" s="74" t="s">
        <v>1026</v>
      </c>
      <c r="Q5" s="74" t="s">
        <v>1027</v>
      </c>
      <c r="R5" s="74" t="s">
        <v>1028</v>
      </c>
      <c r="S5" s="74" t="s">
        <v>487</v>
      </c>
      <c r="T5" s="74" t="s">
        <v>488</v>
      </c>
      <c r="U5" s="74" t="s">
        <v>1029</v>
      </c>
      <c r="V5" s="74" t="s">
        <v>589</v>
      </c>
      <c r="W5" s="74" t="s">
        <v>1030</v>
      </c>
      <c r="X5" s="74" t="s">
        <v>1031</v>
      </c>
      <c r="Y5" s="74" t="s">
        <v>1032</v>
      </c>
      <c r="Z5" s="74" t="s">
        <v>1033</v>
      </c>
      <c r="AA5" s="74" t="s">
        <v>1034</v>
      </c>
      <c r="AB5" s="74" t="s">
        <v>673</v>
      </c>
      <c r="AC5" s="74" t="s">
        <v>1035</v>
      </c>
      <c r="AD5" s="74" t="s">
        <v>1036</v>
      </c>
      <c r="AE5" s="74" t="s">
        <v>1037</v>
      </c>
      <c r="AF5" s="74" t="s">
        <v>1038</v>
      </c>
      <c r="AG5" s="74" t="s">
        <v>1039</v>
      </c>
      <c r="AH5" s="74" t="s">
        <v>1040</v>
      </c>
      <c r="AI5" s="74" t="s">
        <v>1041</v>
      </c>
      <c r="AJ5" s="74" t="s">
        <v>1042</v>
      </c>
      <c r="AK5" s="74" t="s">
        <v>1043</v>
      </c>
      <c r="AL5" s="74" t="s">
        <v>1044</v>
      </c>
      <c r="AM5" s="74" t="s">
        <v>1045</v>
      </c>
      <c r="AN5" s="74" t="s">
        <v>1046</v>
      </c>
      <c r="AO5" s="74" t="s">
        <v>725</v>
      </c>
      <c r="AP5" s="74" t="s">
        <v>1047</v>
      </c>
      <c r="AQ5" s="74" t="s">
        <v>199</v>
      </c>
    </row>
    <row r="8" spans="2:43" x14ac:dyDescent="0.25">
      <c r="B8" s="103" t="s">
        <v>87</v>
      </c>
      <c r="C8" s="103" t="s">
        <v>98</v>
      </c>
      <c r="D8" s="103" t="s">
        <v>185</v>
      </c>
      <c r="E8" s="103" t="s">
        <v>262</v>
      </c>
      <c r="F8" s="103" t="s">
        <v>272</v>
      </c>
      <c r="G8" s="103" t="s">
        <v>360</v>
      </c>
      <c r="H8" s="103" t="s">
        <v>334</v>
      </c>
      <c r="I8" s="103" t="s">
        <v>333</v>
      </c>
      <c r="J8" s="103" t="s">
        <v>328</v>
      </c>
      <c r="K8" s="103" t="s">
        <v>365</v>
      </c>
      <c r="L8" s="103" t="s">
        <v>379</v>
      </c>
      <c r="M8" s="103" t="s">
        <v>408</v>
      </c>
      <c r="N8" s="103" t="s">
        <v>823</v>
      </c>
      <c r="O8" s="103" t="s">
        <v>434</v>
      </c>
      <c r="P8" s="103" t="s">
        <v>460</v>
      </c>
      <c r="Q8" s="103" t="s">
        <v>1048</v>
      </c>
      <c r="R8" s="103" t="s">
        <v>1049</v>
      </c>
      <c r="S8" s="103" t="s">
        <v>1050</v>
      </c>
      <c r="T8" s="103" t="s">
        <v>518</v>
      </c>
      <c r="U8" s="103" t="s">
        <v>505</v>
      </c>
      <c r="V8" s="103" t="s">
        <v>1051</v>
      </c>
      <c r="W8" s="103" t="s">
        <v>267</v>
      </c>
      <c r="X8" s="103" t="s">
        <v>379</v>
      </c>
      <c r="Y8" s="103" t="s">
        <v>640</v>
      </c>
      <c r="Z8" s="103" t="s">
        <v>1051</v>
      </c>
      <c r="AA8" s="103" t="s">
        <v>693</v>
      </c>
      <c r="AB8" s="103" t="s">
        <v>695</v>
      </c>
      <c r="AC8" s="103" t="s">
        <v>1052</v>
      </c>
      <c r="AD8" s="103" t="s">
        <v>727</v>
      </c>
      <c r="AE8" s="103" t="s">
        <v>711</v>
      </c>
      <c r="AF8" s="103" t="s">
        <v>747</v>
      </c>
      <c r="AG8" s="103" t="s">
        <v>223</v>
      </c>
      <c r="AH8" s="103" t="s">
        <v>774</v>
      </c>
      <c r="AI8" s="103" t="s">
        <v>1053</v>
      </c>
      <c r="AJ8" s="103" t="s">
        <v>811</v>
      </c>
      <c r="AK8" s="103" t="s">
        <v>833</v>
      </c>
      <c r="AL8" s="103" t="s">
        <v>434</v>
      </c>
      <c r="AM8" s="103" t="s">
        <v>849</v>
      </c>
      <c r="AN8" s="103" t="s">
        <v>570</v>
      </c>
      <c r="AO8" s="103" t="s">
        <v>16</v>
      </c>
      <c r="AP8" s="103" t="s">
        <v>899</v>
      </c>
      <c r="AQ8" s="103" t="s">
        <v>229</v>
      </c>
    </row>
    <row r="9" spans="2:43" x14ac:dyDescent="0.25">
      <c r="B9" s="103" t="s">
        <v>1054</v>
      </c>
      <c r="C9" s="103" t="s">
        <v>1055</v>
      </c>
      <c r="D9" s="103" t="s">
        <v>194</v>
      </c>
      <c r="E9" s="103" t="s">
        <v>1056</v>
      </c>
      <c r="F9" s="103" t="s">
        <v>275</v>
      </c>
      <c r="G9" s="103" t="s">
        <v>1057</v>
      </c>
      <c r="H9" s="103" t="s">
        <v>1058</v>
      </c>
      <c r="I9" s="103" t="s">
        <v>1059</v>
      </c>
      <c r="J9" s="103" t="s">
        <v>337</v>
      </c>
      <c r="K9" s="103" t="s">
        <v>1060</v>
      </c>
      <c r="L9" s="103" t="s">
        <v>399</v>
      </c>
      <c r="M9" s="103" t="s">
        <v>400</v>
      </c>
      <c r="N9" s="103" t="s">
        <v>431</v>
      </c>
      <c r="O9" s="103" t="s">
        <v>838</v>
      </c>
      <c r="P9" s="103" t="s">
        <v>1061</v>
      </c>
      <c r="Q9" s="103" t="s">
        <v>475</v>
      </c>
      <c r="R9" s="103" t="s">
        <v>515</v>
      </c>
      <c r="S9" s="103" t="s">
        <v>502</v>
      </c>
      <c r="T9" s="103" t="s">
        <v>511</v>
      </c>
      <c r="U9" s="103" t="s">
        <v>1062</v>
      </c>
      <c r="V9" s="103" t="s">
        <v>1063</v>
      </c>
      <c r="W9" s="103" t="s">
        <v>1064</v>
      </c>
      <c r="X9" s="103" t="s">
        <v>610</v>
      </c>
      <c r="Y9" s="103" t="s">
        <v>630</v>
      </c>
      <c r="Z9" s="103" t="s">
        <v>1063</v>
      </c>
      <c r="AA9" s="103" t="s">
        <v>223</v>
      </c>
      <c r="AB9" s="103" t="s">
        <v>682</v>
      </c>
      <c r="AC9" s="103" t="s">
        <v>718</v>
      </c>
      <c r="AD9" s="103" t="s">
        <v>1065</v>
      </c>
      <c r="AE9" s="103" t="s">
        <v>733</v>
      </c>
      <c r="AF9" s="103" t="s">
        <v>751</v>
      </c>
      <c r="AG9" s="103" t="s">
        <v>246</v>
      </c>
      <c r="AH9" s="103" t="s">
        <v>365</v>
      </c>
      <c r="AI9" s="103" t="s">
        <v>796</v>
      </c>
      <c r="AJ9" s="103" t="s">
        <v>817</v>
      </c>
      <c r="AK9" s="103" t="s">
        <v>837</v>
      </c>
      <c r="AL9" s="103" t="s">
        <v>838</v>
      </c>
      <c r="AM9" s="103" t="s">
        <v>853</v>
      </c>
      <c r="AN9" s="103" t="s">
        <v>1066</v>
      </c>
      <c r="AO9" s="103" t="s">
        <v>19</v>
      </c>
      <c r="AP9" s="103" t="s">
        <v>904</v>
      </c>
      <c r="AQ9" s="103" t="s">
        <v>1067</v>
      </c>
    </row>
    <row r="10" spans="2:43" x14ac:dyDescent="0.25">
      <c r="B10" s="103" t="s">
        <v>1068</v>
      </c>
      <c r="E10" s="103" t="s">
        <v>263</v>
      </c>
      <c r="F10" s="103" t="s">
        <v>277</v>
      </c>
      <c r="G10" s="103" t="s">
        <v>340</v>
      </c>
      <c r="H10" s="103" t="s">
        <v>348</v>
      </c>
      <c r="I10" s="103" t="s">
        <v>341</v>
      </c>
      <c r="J10" s="103" t="s">
        <v>344</v>
      </c>
      <c r="K10" s="103" t="s">
        <v>378</v>
      </c>
      <c r="L10" s="103" t="s">
        <v>404</v>
      </c>
      <c r="M10" s="103" t="s">
        <v>1069</v>
      </c>
      <c r="N10" s="103" t="s">
        <v>436</v>
      </c>
      <c r="O10" s="103" t="s">
        <v>428</v>
      </c>
      <c r="P10" s="103" t="s">
        <v>1070</v>
      </c>
      <c r="Q10" s="103" t="s">
        <v>467</v>
      </c>
      <c r="R10" s="103" t="s">
        <v>1071</v>
      </c>
      <c r="S10" s="103" t="s">
        <v>510</v>
      </c>
      <c r="T10" s="103" t="s">
        <v>503</v>
      </c>
      <c r="U10" s="103" t="s">
        <v>520</v>
      </c>
      <c r="V10" s="103" t="s">
        <v>602</v>
      </c>
      <c r="W10" s="103" t="s">
        <v>618</v>
      </c>
      <c r="X10" s="103" t="s">
        <v>1072</v>
      </c>
      <c r="Y10" s="103" t="s">
        <v>1073</v>
      </c>
      <c r="Z10" s="103" t="s">
        <v>602</v>
      </c>
      <c r="AA10" s="103" t="s">
        <v>1074</v>
      </c>
      <c r="AB10" s="103" t="s">
        <v>1075</v>
      </c>
      <c r="AC10" s="103" t="s">
        <v>714</v>
      </c>
      <c r="AD10" s="103" t="s">
        <v>731</v>
      </c>
      <c r="AE10" s="103" t="s">
        <v>1076</v>
      </c>
      <c r="AF10" s="103" t="s">
        <v>1077</v>
      </c>
      <c r="AG10" s="103" t="s">
        <v>1078</v>
      </c>
      <c r="AH10" s="103" t="s">
        <v>768</v>
      </c>
      <c r="AI10" s="103" t="s">
        <v>1079</v>
      </c>
      <c r="AJ10" s="103" t="s">
        <v>467</v>
      </c>
      <c r="AK10" s="103" t="s">
        <v>1080</v>
      </c>
      <c r="AL10" s="103" t="s">
        <v>428</v>
      </c>
      <c r="AM10" s="103" t="s">
        <v>450</v>
      </c>
      <c r="AN10" s="103" t="s">
        <v>582</v>
      </c>
      <c r="AO10" s="103" t="s">
        <v>22</v>
      </c>
      <c r="AP10" s="103" t="s">
        <v>1081</v>
      </c>
      <c r="AQ10" s="103" t="s">
        <v>215</v>
      </c>
    </row>
    <row r="11" spans="2:43" x14ac:dyDescent="0.25">
      <c r="B11" s="103" t="s">
        <v>1082</v>
      </c>
      <c r="E11" s="103" t="s">
        <v>1083</v>
      </c>
      <c r="F11" s="103" t="s">
        <v>279</v>
      </c>
      <c r="G11" s="103" t="s">
        <v>331</v>
      </c>
      <c r="I11" s="103" t="s">
        <v>1084</v>
      </c>
      <c r="K11" s="103" t="s">
        <v>386</v>
      </c>
      <c r="L11" s="103" t="s">
        <v>1078</v>
      </c>
      <c r="M11" s="103" t="s">
        <v>405</v>
      </c>
      <c r="N11" s="103" t="s">
        <v>426</v>
      </c>
      <c r="O11" s="103" t="s">
        <v>1085</v>
      </c>
      <c r="P11" s="103" t="s">
        <v>1086</v>
      </c>
      <c r="Q11" s="103" t="s">
        <v>452</v>
      </c>
      <c r="R11" s="103" t="s">
        <v>508</v>
      </c>
      <c r="S11" s="103" t="s">
        <v>399</v>
      </c>
      <c r="T11" s="103" t="s">
        <v>1087</v>
      </c>
      <c r="U11" s="103" t="s">
        <v>331</v>
      </c>
      <c r="V11" s="103" t="s">
        <v>659</v>
      </c>
      <c r="W11" s="103" t="s">
        <v>1088</v>
      </c>
      <c r="X11" s="103" t="s">
        <v>1089</v>
      </c>
      <c r="Y11" s="103" t="s">
        <v>1090</v>
      </c>
      <c r="Z11" s="103" t="s">
        <v>659</v>
      </c>
      <c r="AA11" s="103" t="s">
        <v>1091</v>
      </c>
      <c r="AB11" s="103" t="s">
        <v>688</v>
      </c>
      <c r="AC11" s="103" t="s">
        <v>1092</v>
      </c>
      <c r="AD11" s="103" t="s">
        <v>1093</v>
      </c>
      <c r="AE11" s="103" t="s">
        <v>1094</v>
      </c>
      <c r="AF11" s="103" t="s">
        <v>742</v>
      </c>
      <c r="AG11" s="103" t="s">
        <v>1095</v>
      </c>
      <c r="AH11" s="103" t="s">
        <v>779</v>
      </c>
      <c r="AI11" s="103" t="s">
        <v>1096</v>
      </c>
      <c r="AJ11" s="103" t="s">
        <v>802</v>
      </c>
      <c r="AK11" s="103" t="s">
        <v>1097</v>
      </c>
      <c r="AL11" s="103" t="s">
        <v>1098</v>
      </c>
      <c r="AM11" s="103" t="s">
        <v>1099</v>
      </c>
      <c r="AN11" s="103" t="s">
        <v>1100</v>
      </c>
      <c r="AO11" s="103" t="s">
        <v>25</v>
      </c>
      <c r="AP11" s="103" t="s">
        <v>909</v>
      </c>
      <c r="AQ11" s="103" t="s">
        <v>1101</v>
      </c>
    </row>
    <row r="12" spans="2:43" x14ac:dyDescent="0.25">
      <c r="B12" s="103" t="s">
        <v>1102</v>
      </c>
      <c r="E12" s="103" t="s">
        <v>1103</v>
      </c>
      <c r="F12" s="103" t="s">
        <v>281</v>
      </c>
      <c r="G12" s="103" t="s">
        <v>1104</v>
      </c>
      <c r="I12" s="103" t="s">
        <v>347</v>
      </c>
      <c r="K12" s="103" t="s">
        <v>1104</v>
      </c>
      <c r="L12" s="103" t="s">
        <v>387</v>
      </c>
      <c r="M12" s="103" t="s">
        <v>1105</v>
      </c>
      <c r="N12" s="103" t="s">
        <v>449</v>
      </c>
      <c r="O12" s="103" t="s">
        <v>1106</v>
      </c>
      <c r="P12" s="103" t="s">
        <v>477</v>
      </c>
      <c r="Q12" s="103" t="s">
        <v>482</v>
      </c>
      <c r="R12" s="103" t="s">
        <v>1107</v>
      </c>
      <c r="S12" s="103" t="s">
        <v>517</v>
      </c>
      <c r="T12" s="103" t="s">
        <v>1108</v>
      </c>
      <c r="V12" s="103" t="s">
        <v>607</v>
      </c>
      <c r="W12" s="103" t="s">
        <v>1109</v>
      </c>
      <c r="X12" s="103" t="s">
        <v>1110</v>
      </c>
      <c r="Y12" s="103" t="s">
        <v>1111</v>
      </c>
      <c r="Z12" s="103" t="s">
        <v>1112</v>
      </c>
      <c r="AA12" s="103" t="s">
        <v>378</v>
      </c>
      <c r="AB12" s="103" t="s">
        <v>1113</v>
      </c>
      <c r="AC12" s="103" t="s">
        <v>710</v>
      </c>
      <c r="AD12" s="103" t="s">
        <v>735</v>
      </c>
      <c r="AE12" s="103" t="s">
        <v>548</v>
      </c>
      <c r="AF12" s="103" t="s">
        <v>156</v>
      </c>
      <c r="AH12" s="103" t="s">
        <v>510</v>
      </c>
      <c r="AI12" s="103" t="s">
        <v>688</v>
      </c>
      <c r="AJ12" s="103" t="s">
        <v>1114</v>
      </c>
      <c r="AK12" s="103" t="s">
        <v>829</v>
      </c>
      <c r="AL12" s="103" t="s">
        <v>1115</v>
      </c>
      <c r="AM12" s="103" t="s">
        <v>1116</v>
      </c>
      <c r="AO12" s="103" t="s">
        <v>28</v>
      </c>
      <c r="AP12" s="103" t="s">
        <v>360</v>
      </c>
      <c r="AQ12" s="103" t="s">
        <v>1117</v>
      </c>
    </row>
    <row r="13" spans="5:43" x14ac:dyDescent="0.25">
      <c r="E13" s="103" t="s">
        <v>1118</v>
      </c>
      <c r="F13" s="103" t="s">
        <v>283</v>
      </c>
      <c r="G13" s="103" t="s">
        <v>1119</v>
      </c>
      <c r="K13" s="103" t="s">
        <v>1119</v>
      </c>
      <c r="L13" s="103" t="s">
        <v>1120</v>
      </c>
      <c r="M13" s="103" t="s">
        <v>1121</v>
      </c>
      <c r="N13" s="103" t="s">
        <v>1122</v>
      </c>
      <c r="O13" s="103" t="s">
        <v>1104</v>
      </c>
      <c r="P13" s="103" t="s">
        <v>469</v>
      </c>
      <c r="Q13" s="103" t="s">
        <v>428</v>
      </c>
      <c r="R13" s="103" t="s">
        <v>1123</v>
      </c>
      <c r="T13" s="103" t="s">
        <v>682</v>
      </c>
      <c r="V13" s="103" t="s">
        <v>1112</v>
      </c>
      <c r="W13" s="103" t="s">
        <v>1115</v>
      </c>
      <c r="X13" s="103" t="s">
        <v>617</v>
      </c>
      <c r="Y13" s="103" t="s">
        <v>614</v>
      </c>
      <c r="Z13" s="103" t="s">
        <v>614</v>
      </c>
      <c r="AA13" s="103" t="s">
        <v>1124</v>
      </c>
      <c r="AB13" s="103" t="s">
        <v>295</v>
      </c>
      <c r="AC13" s="103" t="s">
        <v>1125</v>
      </c>
      <c r="AD13" s="103" t="s">
        <v>1126</v>
      </c>
      <c r="AF13" s="103" t="s">
        <v>1127</v>
      </c>
      <c r="AI13" s="103" t="s">
        <v>1128</v>
      </c>
      <c r="AJ13" s="103" t="s">
        <v>1104</v>
      </c>
      <c r="AK13" s="103" t="s">
        <v>1129</v>
      </c>
      <c r="AP13" s="103" t="s">
        <v>1130</v>
      </c>
      <c r="AQ13" s="103" t="s">
        <v>1131</v>
      </c>
    </row>
    <row r="14" spans="5:43" x14ac:dyDescent="0.25">
      <c r="E14" s="103" t="s">
        <v>1132</v>
      </c>
      <c r="F14" s="103" t="s">
        <v>285</v>
      </c>
      <c r="P14" s="103" t="s">
        <v>1133</v>
      </c>
      <c r="Q14" s="103" t="s">
        <v>1074</v>
      </c>
      <c r="R14" s="103" t="s">
        <v>1134</v>
      </c>
      <c r="T14" s="103" t="s">
        <v>1135</v>
      </c>
      <c r="V14" s="103" t="s">
        <v>614</v>
      </c>
      <c r="X14" s="103" t="s">
        <v>1136</v>
      </c>
      <c r="Y14" s="103" t="s">
        <v>1137</v>
      </c>
      <c r="Z14" s="103" t="s">
        <v>1138</v>
      </c>
      <c r="AC14" s="103" t="s">
        <v>1139</v>
      </c>
      <c r="AD14" s="103" t="s">
        <v>295</v>
      </c>
      <c r="AI14" s="103" t="s">
        <v>807</v>
      </c>
      <c r="AP14" s="103" t="s">
        <v>1140</v>
      </c>
      <c r="AQ14" s="103" t="s">
        <v>1056</v>
      </c>
    </row>
    <row r="15" spans="5:43" x14ac:dyDescent="0.25">
      <c r="E15" s="103" t="s">
        <v>1141</v>
      </c>
      <c r="F15" s="103" t="s">
        <v>287</v>
      </c>
      <c r="P15" s="103" t="s">
        <v>1142</v>
      </c>
      <c r="R15" s="103" t="s">
        <v>275</v>
      </c>
      <c r="T15" s="103" t="s">
        <v>1143</v>
      </c>
      <c r="V15" s="103" t="s">
        <v>1144</v>
      </c>
      <c r="X15" s="103" t="s">
        <v>1145</v>
      </c>
      <c r="Y15" s="103" t="s">
        <v>1146</v>
      </c>
      <c r="Z15" s="103" t="s">
        <v>1144</v>
      </c>
      <c r="AC15" s="103" t="s">
        <v>295</v>
      </c>
      <c r="AI15" s="103" t="s">
        <v>295</v>
      </c>
      <c r="AQ15" s="103" t="s">
        <v>241</v>
      </c>
    </row>
    <row r="16" spans="5:43" x14ac:dyDescent="0.25">
      <c r="E16" s="103" t="s">
        <v>295</v>
      </c>
      <c r="F16" s="103" t="s">
        <v>289</v>
      </c>
      <c r="P16" s="103" t="s">
        <v>1147</v>
      </c>
      <c r="R16" s="103" t="s">
        <v>500</v>
      </c>
      <c r="T16" s="103" t="s">
        <v>1148</v>
      </c>
      <c r="V16" s="103" t="s">
        <v>1149</v>
      </c>
      <c r="X16" s="103" t="s">
        <v>1150</v>
      </c>
      <c r="Y16" s="103" t="s">
        <v>1151</v>
      </c>
      <c r="AQ16" s="103" t="s">
        <v>1152</v>
      </c>
    </row>
    <row r="17" spans="6:43" x14ac:dyDescent="0.25">
      <c r="F17" s="103" t="s">
        <v>291</v>
      </c>
      <c r="P17" s="103" t="s">
        <v>295</v>
      </c>
      <c r="R17" s="103" t="s">
        <v>1153</v>
      </c>
      <c r="T17" s="103" t="s">
        <v>1154</v>
      </c>
      <c r="X17" s="103" t="s">
        <v>1155</v>
      </c>
      <c r="Y17" s="103" t="s">
        <v>1156</v>
      </c>
      <c r="AQ17" s="103" t="s">
        <v>1157</v>
      </c>
    </row>
    <row r="18" spans="6:43" x14ac:dyDescent="0.25">
      <c r="F18" s="103" t="s">
        <v>293</v>
      </c>
      <c r="R18" s="103" t="s">
        <v>1158</v>
      </c>
      <c r="T18" s="103" t="s">
        <v>295</v>
      </c>
      <c r="Y18" s="103" t="s">
        <v>295</v>
      </c>
      <c r="AQ18" s="103" t="s">
        <v>1159</v>
      </c>
    </row>
    <row r="19" spans="6:43" x14ac:dyDescent="0.25">
      <c r="F19" s="103" t="s">
        <v>295</v>
      </c>
      <c r="R19" s="103" t="s">
        <v>295</v>
      </c>
      <c r="AQ19" s="103" t="s">
        <v>447</v>
      </c>
    </row>
    <row r="20" spans="43:43" x14ac:dyDescent="0.25">
      <c r="AQ20" s="103" t="s">
        <v>295</v>
      </c>
    </row>
    <row r="24" spans="2:8" x14ac:dyDescent="0.25">
      <c r="B24" s="68" t="s">
        <v>1160</v>
      </c>
      <c r="C24" s="69"/>
      <c r="D24" s="69"/>
      <c r="E24" s="69"/>
      <c r="F24" s="69"/>
      <c r="G24" s="69"/>
      <c r="H24" s="69"/>
    </row>
    <row r="25" ht="30" customHeight="1" spans="2:2" x14ac:dyDescent="0.25">
      <c r="B25" s="104" t="s">
        <v>1161</v>
      </c>
    </row>
    <row r="27" spans="2:4" x14ac:dyDescent="0.25">
      <c r="B27" s="74" t="s">
        <v>929</v>
      </c>
      <c r="C27" s="74" t="s">
        <v>1162</v>
      </c>
      <c r="D27" s="74" t="s">
        <v>1163</v>
      </c>
    </row>
    <row r="28" spans="2:4" x14ac:dyDescent="0.25">
      <c r="B28" s="105" t="s">
        <v>128</v>
      </c>
      <c r="C28" s="106" t="s">
        <v>901</v>
      </c>
      <c r="D28" s="107" t="s">
        <v>272</v>
      </c>
    </row>
    <row r="29" spans="2:4" x14ac:dyDescent="0.25">
      <c r="B29" s="105" t="s">
        <v>349</v>
      </c>
      <c r="C29" s="106" t="s">
        <v>1164</v>
      </c>
      <c r="D29" s="107" t="s">
        <v>275</v>
      </c>
    </row>
    <row r="30" spans="2:4" x14ac:dyDescent="0.25">
      <c r="B30" s="105" t="s">
        <v>523</v>
      </c>
      <c r="C30" s="106" t="s">
        <v>1165</v>
      </c>
      <c r="D30" s="107" t="s">
        <v>277</v>
      </c>
    </row>
    <row r="31" spans="2:4" x14ac:dyDescent="0.25">
      <c r="B31" s="105" t="s">
        <v>483</v>
      </c>
      <c r="C31" s="106" t="s">
        <v>1166</v>
      </c>
      <c r="D31" s="107" t="s">
        <v>277</v>
      </c>
    </row>
    <row r="32" spans="2:4" x14ac:dyDescent="0.25">
      <c r="B32" s="105" t="s">
        <v>544</v>
      </c>
      <c r="C32" s="106" t="s">
        <v>1167</v>
      </c>
      <c r="D32" s="107" t="s">
        <v>291</v>
      </c>
    </row>
    <row r="33" spans="2:4" x14ac:dyDescent="0.25">
      <c r="B33" s="105" t="s">
        <v>584</v>
      </c>
      <c r="C33" s="106" t="s">
        <v>1168</v>
      </c>
      <c r="D33" s="107" t="s">
        <v>279</v>
      </c>
    </row>
    <row r="34" spans="2:4" x14ac:dyDescent="0.25">
      <c r="B34" s="105" t="s">
        <v>144</v>
      </c>
      <c r="C34" s="106" t="s">
        <v>1169</v>
      </c>
      <c r="D34" s="107" t="s">
        <v>279</v>
      </c>
    </row>
    <row r="35" spans="2:4" x14ac:dyDescent="0.25">
      <c r="B35" s="105" t="s">
        <v>440</v>
      </c>
      <c r="C35" s="106" t="s">
        <v>1170</v>
      </c>
      <c r="D35" s="107" t="s">
        <v>291</v>
      </c>
    </row>
    <row r="36" spans="2:4" x14ac:dyDescent="0.25">
      <c r="B36" s="105" t="s">
        <v>738</v>
      </c>
      <c r="C36" s="106" t="s">
        <v>1171</v>
      </c>
      <c r="D36" s="107" t="s">
        <v>281</v>
      </c>
    </row>
    <row r="37" spans="2:4" x14ac:dyDescent="0.25">
      <c r="B37" s="105" t="s">
        <v>752</v>
      </c>
      <c r="C37" s="106" t="s">
        <v>1172</v>
      </c>
      <c r="D37" s="107" t="s">
        <v>285</v>
      </c>
    </row>
    <row r="38" spans="2:4" x14ac:dyDescent="0.25">
      <c r="B38" s="105" t="s">
        <v>781</v>
      </c>
      <c r="C38" s="106" t="s">
        <v>1173</v>
      </c>
      <c r="D38" s="107" t="s">
        <v>287</v>
      </c>
    </row>
    <row r="39" spans="2:4" x14ac:dyDescent="0.25">
      <c r="B39" s="105" t="s">
        <v>839</v>
      </c>
      <c r="C39" s="106" t="s">
        <v>1174</v>
      </c>
      <c r="D39" s="107" t="s">
        <v>289</v>
      </c>
    </row>
    <row r="40" spans="2:4" x14ac:dyDescent="0.25">
      <c r="B40" s="105" t="s">
        <v>697</v>
      </c>
      <c r="C40" s="106" t="s">
        <v>1175</v>
      </c>
      <c r="D40" s="107" t="s">
        <v>283</v>
      </c>
    </row>
    <row r="41" spans="2:4" x14ac:dyDescent="0.25">
      <c r="B41" s="105" t="s">
        <v>142</v>
      </c>
      <c r="C41" s="106" t="s">
        <v>1176</v>
      </c>
      <c r="D41" s="107" t="s">
        <v>283</v>
      </c>
    </row>
    <row r="43" spans="2:2" x14ac:dyDescent="0.25">
      <c r="B43" s="72" t="s">
        <v>1177</v>
      </c>
    </row>
  </sheetData>
  <mergeCells count="5">
    <mergeCell ref="B1:C1"/>
    <mergeCell ref="D1:E1"/>
    <mergeCell ref="F1:G1"/>
    <mergeCell ref="H1:I1"/>
    <mergeCell ref="J1:K1"/>
  </mergeCells>
  <hyperlinks>
    <hyperlink ref="B1" r:id="rId1" location="#'DASHBOARD'!A1"/>
    <hyperlink ref="D1" r:id="rId2" location="#'START HERE'!A1"/>
    <hyperlink ref="F1" r:id="rId3" location="#'CHRISTMAS CALENDAR'!A1"/>
    <hyperlink ref="H1" r:id="rId4" location="#'MASTER BUDGET'!A1"/>
    <hyperlink ref="J1" r:id="rId5" location="#'SHEET INDEX'!A1"/>
  </hyperlinks>
  <pageMargins left="0.4" right="0.4" top="0.6" bottom="0.6" header="0.3" footer="0.3"/>
  <pageSetup orientation="landscape" fitToWidth="1" fitToHeight="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6257"/>
    <pageSetUpPr fitToPage="1"/>
  </sheetPr>
  <dimension ref="A1:I93"/>
  <sheetViews>
    <sheetView workbookViewId="0" showGridLines="0" zoomScale="90">
      <pane ySplit="4" topLeftCell="A5" activePane="bottomLeft" state="frozen"/>
      <selection pane="bottomLeft"/>
    </sheetView>
  </sheetViews>
  <sheetFormatPr defaultRowHeight="15" outlineLevelRow="0" outlineLevelCol="0" x14ac:dyDescent="55"/>
  <cols>
    <col min="1" max="1" width="2" customWidth="1"/>
    <col min="2" max="2" width="52" customWidth="1"/>
    <col min="3" max="5" width="14" customWidth="1"/>
    <col min="6" max="6" width="18" customWidth="1"/>
    <col min="7" max="7" width="56" customWidth="1"/>
    <col min="8" max="9" width="10" customWidth="1"/>
  </cols>
  <sheetData>
    <row r="1" ht="21" customHeight="1" spans="1:9" x14ac:dyDescent="0.25">
      <c r="A1" s="4"/>
      <c r="B1" s="10" t="s">
        <v>8</v>
      </c>
      <c r="C1" s="10" t="s">
        <v>9</v>
      </c>
      <c r="D1" s="10" t="s">
        <v>10</v>
      </c>
      <c r="E1" s="10" t="s">
        <v>11</v>
      </c>
      <c r="F1" s="10" t="s">
        <v>12</v>
      </c>
      <c r="G1" s="4"/>
      <c r="H1" s="4"/>
      <c r="I1" s="4"/>
    </row>
    <row r="2" ht="34" customHeight="1" spans="1:9" x14ac:dyDescent="0.25">
      <c r="A2" s="12"/>
      <c r="B2" s="13" t="s">
        <v>1178</v>
      </c>
      <c r="C2" s="12"/>
      <c r="D2" s="12"/>
      <c r="E2" s="12"/>
      <c r="F2" s="12"/>
      <c r="G2" s="12"/>
      <c r="H2" s="12"/>
      <c r="I2" s="12"/>
    </row>
    <row r="3" ht="18" customHeight="1" spans="1:9" x14ac:dyDescent="0.25">
      <c r="A3" s="12"/>
      <c r="B3" s="14" t="s">
        <v>1179</v>
      </c>
      <c r="C3" s="12"/>
      <c r="D3" s="12"/>
      <c r="E3" s="12"/>
      <c r="F3" s="12"/>
      <c r="G3" s="12"/>
      <c r="H3" s="12"/>
      <c r="I3" s="12"/>
    </row>
    <row r="4" ht="17" customHeight="1" spans="1:9" x14ac:dyDescent="0.25">
      <c r="A4" s="12"/>
      <c r="B4" s="15" t="s">
        <v>1180</v>
      </c>
      <c r="C4" s="12"/>
      <c r="D4" s="12"/>
      <c r="E4" s="12"/>
      <c r="F4" s="12"/>
      <c r="G4" s="12"/>
      <c r="H4" s="12"/>
      <c r="I4" s="12"/>
    </row>
    <row r="5" spans="1:9" x14ac:dyDescent="0.25">
      <c r="A5" s="16"/>
      <c r="B5" s="16"/>
      <c r="C5" s="16"/>
      <c r="D5" s="16"/>
      <c r="E5" s="16"/>
      <c r="F5" s="16"/>
      <c r="G5" s="16"/>
      <c r="H5" s="16"/>
      <c r="I5" s="16"/>
    </row>
    <row r="6" spans="1:9" x14ac:dyDescent="0.25">
      <c r="A6" s="16"/>
      <c r="B6" s="17" t="s">
        <v>1181</v>
      </c>
      <c r="C6" s="18"/>
      <c r="D6" s="18"/>
      <c r="E6" s="18"/>
      <c r="F6" s="18"/>
      <c r="G6" s="18"/>
      <c r="H6" s="18"/>
      <c r="I6" s="18"/>
    </row>
    <row r="7" spans="1:9" x14ac:dyDescent="0.25">
      <c r="A7" s="16"/>
      <c r="B7" s="16"/>
      <c r="C7" s="16"/>
      <c r="D7" s="16"/>
      <c r="E7" s="16"/>
      <c r="F7" s="16"/>
      <c r="G7" s="16"/>
      <c r="H7" s="16"/>
      <c r="I7" s="16"/>
    </row>
    <row r="8" spans="1:9" x14ac:dyDescent="0.25">
      <c r="A8" s="16"/>
      <c r="B8" s="58" t="s">
        <v>1182</v>
      </c>
      <c r="C8" s="58" t="s">
        <v>1183</v>
      </c>
      <c r="D8" s="58" t="s">
        <v>1184</v>
      </c>
      <c r="E8" s="58" t="s">
        <v>1185</v>
      </c>
      <c r="F8" s="58" t="s">
        <v>1186</v>
      </c>
      <c r="G8" s="58" t="s">
        <v>1187</v>
      </c>
      <c r="H8" s="16"/>
      <c r="I8" s="16"/>
    </row>
    <row r="9" ht="26" customHeight="1" spans="1:9" x14ac:dyDescent="0.25">
      <c r="A9" s="16"/>
      <c r="B9" s="21" t="s">
        <v>1188</v>
      </c>
      <c r="C9" s="108">
        <f>SUM('CARDS + MAIL'!$I$6:$I$155)+SUM('DONATIONS + GIVING'!$G$6:$G$65)+SUM('GIFT PLANNER'!$Q$6:$Q$205)+SUM('STOCKING STUFFERS'!$J$6:$J$155)+SUM('CHRISTMAS CALENDAR'!$K$6:$K$205)+SUM('DECOR INVENTORY'!$P$6:$P$105)+SUM('DECORATING PLAN'!$H$6:$H$65)+SUM('TABLESCAPE + FLORALS'!$R$6:$R$65)+SUM('TRAVEL PLAN'!$M$6:$M$45)+SUM('VENDORS + APPOINTMENTS'!$M$6:$M$65)+SUM('EVENTS + WARDROBE'!$N$6:$N$65)+SUM('GROCERY LIST'!$L$6:$L$205)+SUM('MEAL + BAKING PLAN'!$Q$6:$Q$155)+SUM('TRADITIONS + BUCKET LIST'!$I$6:$I$85)</f>
      </c>
      <c r="D9" s="108">
        <f>SUM('MASTER BUDGET'!$F$6:$F$25)</f>
      </c>
      <c r="E9" s="108">
        <f>ROUND(C9-D9,2)</f>
      </c>
      <c r="F9" s="109">
        <f>IF(ABS(E9)&lt;0.005,"RECONCILED","UNMAPPED COSTS")</f>
      </c>
      <c r="G9" s="27" t="s">
        <v>1189</v>
      </c>
      <c r="H9" s="16"/>
      <c r="I9" s="16"/>
    </row>
    <row r="10" ht="26" customHeight="1" spans="1:9" x14ac:dyDescent="0.25">
      <c r="A10" s="16"/>
      <c r="B10" s="21" t="s">
        <v>1190</v>
      </c>
      <c r="C10" s="108">
        <f>SUM('CARDS + MAIL'!$J$6:$J$155)+SUM('DONATIONS + GIVING'!$H$6:$H$65)+SUM('GIFT PLANNER'!$R$6:$R$205)+SUM('STOCKING STUFFERS'!$K$6:$K$155)+SUM('CHRISTMAS CALENDAR'!$L$6:$L$205)+SUM('DECOR INVENTORY'!$Q$6:$Q$105)+SUM('DECORATING PLAN'!$I$6:$I$65)+SUM('TABLESCAPE + FLORALS'!$S$6:$S$65)+SUM('TRAVEL PLAN'!$N$6:$N$45)+SUM('VENDORS + APPOINTMENTS'!$Q$6:$Q$65)+SUM('EVENTS + WARDROBE'!$O$6:$O$65)+SUM('GROCERY LIST'!$M$6:$M$205)+SUM('MEAL + BAKING PLAN'!$R$6:$R$155)+SUM('TRADITIONS + BUCKET LIST'!$J$6:$J$85)-SUM('RETURNS + EXCHANGES'!$R$6:$R$65)</f>
      </c>
      <c r="D10" s="108">
        <f>SUM('MASTER BUDGET'!$G$6:$G$25)</f>
      </c>
      <c r="E10" s="108">
        <f>ROUND(C10-D10,2)</f>
      </c>
      <c r="F10" s="109">
        <f>IF(ABS(E10)&lt;0.005,"RECONCILED","UNMAPPED COSTS")</f>
      </c>
      <c r="G10" s="27" t="s">
        <v>1191</v>
      </c>
      <c r="H10" s="16"/>
      <c r="I10" s="16"/>
    </row>
    <row r="11" spans="1:9" x14ac:dyDescent="0.25">
      <c r="A11" s="16"/>
      <c r="B11" s="16"/>
      <c r="C11" s="16"/>
      <c r="D11" s="16"/>
      <c r="E11" s="16"/>
      <c r="F11" s="16"/>
      <c r="G11" s="16"/>
      <c r="H11" s="16"/>
      <c r="I11" s="16"/>
    </row>
    <row r="12" spans="1:9" x14ac:dyDescent="0.25">
      <c r="A12" s="16"/>
      <c r="B12" s="16"/>
      <c r="C12" s="16"/>
      <c r="D12" s="16"/>
      <c r="E12" s="16"/>
      <c r="F12" s="16"/>
      <c r="G12" s="16"/>
      <c r="H12" s="16"/>
      <c r="I12" s="16"/>
    </row>
    <row r="13" spans="1:9" x14ac:dyDescent="0.25">
      <c r="A13" s="16"/>
      <c r="B13" s="17" t="s">
        <v>1192</v>
      </c>
      <c r="C13" s="18"/>
      <c r="D13" s="18"/>
      <c r="E13" s="18"/>
      <c r="F13" s="18"/>
      <c r="G13" s="18"/>
      <c r="H13" s="18"/>
      <c r="I13" s="18"/>
    </row>
    <row r="14" spans="1:9" x14ac:dyDescent="0.25">
      <c r="A14" s="16"/>
      <c r="B14" s="16"/>
      <c r="C14" s="16"/>
      <c r="D14" s="16"/>
      <c r="E14" s="16"/>
      <c r="F14" s="16"/>
      <c r="G14" s="16"/>
      <c r="H14" s="16"/>
      <c r="I14" s="16"/>
    </row>
    <row r="15" spans="1:9" x14ac:dyDescent="0.25">
      <c r="A15" s="16"/>
      <c r="B15" s="58" t="s">
        <v>1193</v>
      </c>
      <c r="C15" s="58" t="s">
        <v>1194</v>
      </c>
      <c r="D15" s="58" t="s">
        <v>929</v>
      </c>
      <c r="E15" s="16"/>
      <c r="F15" s="58" t="s">
        <v>1195</v>
      </c>
      <c r="G15" s="16"/>
      <c r="H15" s="16"/>
      <c r="I15" s="16"/>
    </row>
    <row r="16" spans="1:9" x14ac:dyDescent="0.25">
      <c r="A16" s="16"/>
      <c r="B16" s="110" t="s">
        <v>1196</v>
      </c>
      <c r="C16" s="111">
        <f>SUM('MASTER BUDGET'!$M$6:$M$25)</f>
      </c>
      <c r="D16" s="112" t="s">
        <v>123</v>
      </c>
      <c r="E16" s="51"/>
      <c r="F16" s="51"/>
      <c r="G16" s="113" t="s">
        <v>1197</v>
      </c>
      <c r="H16" s="16"/>
      <c r="I16" s="16"/>
    </row>
    <row r="17" spans="1:9" x14ac:dyDescent="0.25">
      <c r="A17" s="16"/>
      <c r="B17" s="110" t="s">
        <v>1198</v>
      </c>
      <c r="C17" s="111">
        <f>SUM('CARDS + MAIL'!$O$6:$O$155)</f>
      </c>
      <c r="D17" s="112" t="s">
        <v>738</v>
      </c>
      <c r="E17" s="51"/>
      <c r="F17" s="51"/>
      <c r="G17" s="113" t="s">
        <v>1197</v>
      </c>
      <c r="H17" s="16"/>
      <c r="I17" s="16"/>
    </row>
    <row r="18" spans="1:9" x14ac:dyDescent="0.25">
      <c r="A18" s="16"/>
      <c r="B18" s="110" t="s">
        <v>1199</v>
      </c>
      <c r="C18" s="111">
        <f>SUM('CARDS + MAIL'!$P$6:$P$155)</f>
      </c>
      <c r="D18" s="112" t="s">
        <v>738</v>
      </c>
      <c r="E18" s="51"/>
      <c r="F18" s="51"/>
      <c r="G18" s="113" t="s">
        <v>1200</v>
      </c>
      <c r="H18" s="16"/>
      <c r="I18" s="16"/>
    </row>
    <row r="19" spans="1:9" x14ac:dyDescent="0.25">
      <c r="A19" s="16"/>
      <c r="B19" s="110" t="s">
        <v>1201</v>
      </c>
      <c r="C19" s="111">
        <f>SUM('CARDS + MAIL'!$Q$6:$Q$155)</f>
      </c>
      <c r="D19" s="112" t="s">
        <v>738</v>
      </c>
      <c r="E19" s="51"/>
      <c r="F19" s="51"/>
      <c r="G19" s="113" t="s">
        <v>1202</v>
      </c>
      <c r="H19" s="16"/>
      <c r="I19" s="16"/>
    </row>
    <row r="20" spans="1:9" x14ac:dyDescent="0.25">
      <c r="A20" s="16"/>
      <c r="B20" s="110" t="s">
        <v>1203</v>
      </c>
      <c r="C20" s="111">
        <f>SUM('DONATIONS + GIVING'!$N$6:$N$65)</f>
      </c>
      <c r="D20" s="112" t="s">
        <v>839</v>
      </c>
      <c r="E20" s="51"/>
      <c r="F20" s="51"/>
      <c r="G20" s="113" t="s">
        <v>1197</v>
      </c>
      <c r="H20" s="16"/>
      <c r="I20" s="16"/>
    </row>
    <row r="21" spans="1:9" x14ac:dyDescent="0.25">
      <c r="A21" s="16"/>
      <c r="B21" s="110" t="s">
        <v>1204</v>
      </c>
      <c r="C21" s="111">
        <f>SUM('DONATIONS + GIVING'!$O$6:$O$65)</f>
      </c>
      <c r="D21" s="112" t="s">
        <v>839</v>
      </c>
      <c r="E21" s="51"/>
      <c r="F21" s="51"/>
      <c r="G21" s="113" t="s">
        <v>1200</v>
      </c>
      <c r="H21" s="16"/>
      <c r="I21" s="16"/>
    </row>
    <row r="22" spans="1:9" x14ac:dyDescent="0.25">
      <c r="A22" s="16"/>
      <c r="B22" s="110" t="s">
        <v>1205</v>
      </c>
      <c r="C22" s="111">
        <f>SUM('GIFT PLANNER'!$AG$6:$AG$205)</f>
      </c>
      <c r="D22" s="112" t="s">
        <v>128</v>
      </c>
      <c r="E22" s="51"/>
      <c r="F22" s="51"/>
      <c r="G22" s="113" t="s">
        <v>1197</v>
      </c>
      <c r="H22" s="16"/>
      <c r="I22" s="16"/>
    </row>
    <row r="23" spans="1:9" x14ac:dyDescent="0.25">
      <c r="A23" s="16"/>
      <c r="B23" s="110" t="s">
        <v>1206</v>
      </c>
      <c r="C23" s="111">
        <f>SUM('GIFT PLANNER'!$AH$6:$AH$205)</f>
      </c>
      <c r="D23" s="112" t="s">
        <v>128</v>
      </c>
      <c r="E23" s="51"/>
      <c r="F23" s="51"/>
      <c r="G23" s="113" t="s">
        <v>1200</v>
      </c>
      <c r="H23" s="16"/>
      <c r="I23" s="16"/>
    </row>
    <row r="24" spans="1:9" x14ac:dyDescent="0.25">
      <c r="A24" s="16"/>
      <c r="B24" s="110" t="s">
        <v>1207</v>
      </c>
      <c r="C24" s="111">
        <f>SUM('GIFT PLANNER'!$AI$6:$AI$205)</f>
      </c>
      <c r="D24" s="112" t="s">
        <v>128</v>
      </c>
      <c r="E24" s="51"/>
      <c r="F24" s="51"/>
      <c r="G24" s="113" t="s">
        <v>1202</v>
      </c>
      <c r="H24" s="16"/>
      <c r="I24" s="16"/>
    </row>
    <row r="25" spans="1:9" x14ac:dyDescent="0.25">
      <c r="A25" s="16"/>
      <c r="B25" s="110" t="s">
        <v>1208</v>
      </c>
      <c r="C25" s="111">
        <f>SUM('GIFT PLANNER'!$AJ$6:$AJ$205)</f>
      </c>
      <c r="D25" s="112" t="s">
        <v>128</v>
      </c>
      <c r="E25" s="51"/>
      <c r="F25" s="51"/>
      <c r="G25" s="113" t="s">
        <v>1209</v>
      </c>
      <c r="H25" s="16"/>
      <c r="I25" s="16"/>
    </row>
    <row r="26" spans="1:9" x14ac:dyDescent="0.25">
      <c r="A26" s="16"/>
      <c r="B26" s="110" t="s">
        <v>1210</v>
      </c>
      <c r="C26" s="111">
        <f>SUM('ONLINE ORDERS'!$U$6:$U$155)</f>
      </c>
      <c r="D26" s="112" t="s">
        <v>133</v>
      </c>
      <c r="E26" s="51"/>
      <c r="F26" s="51"/>
      <c r="G26" s="113" t="s">
        <v>1197</v>
      </c>
      <c r="H26" s="16"/>
      <c r="I26" s="16"/>
    </row>
    <row r="27" spans="1:9" x14ac:dyDescent="0.25">
      <c r="A27" s="16"/>
      <c r="B27" s="110" t="s">
        <v>1211</v>
      </c>
      <c r="C27" s="111">
        <f>SUM('ONLINE ORDERS'!$V$6:$V$155)</f>
      </c>
      <c r="D27" s="112" t="s">
        <v>133</v>
      </c>
      <c r="E27" s="51"/>
      <c r="F27" s="51"/>
      <c r="G27" s="113" t="s">
        <v>1202</v>
      </c>
      <c r="H27" s="16"/>
      <c r="I27" s="16"/>
    </row>
    <row r="28" spans="1:9" x14ac:dyDescent="0.25">
      <c r="A28" s="16"/>
      <c r="B28" s="110" t="s">
        <v>1212</v>
      </c>
      <c r="C28" s="111">
        <f>SUM('PEOPLE + BUDGETS'!$Q$6:$Q$105)</f>
      </c>
      <c r="D28" s="112" t="s">
        <v>248</v>
      </c>
      <c r="E28" s="51"/>
      <c r="F28" s="51"/>
      <c r="G28" s="113" t="s">
        <v>1197</v>
      </c>
      <c r="H28" s="16"/>
      <c r="I28" s="16"/>
    </row>
    <row r="29" spans="1:9" x14ac:dyDescent="0.25">
      <c r="A29" s="16"/>
      <c r="B29" s="110" t="s">
        <v>1213</v>
      </c>
      <c r="C29" s="111">
        <f>SUM('RECIPIENT PROFILES'!$S$6:$S$105)</f>
      </c>
      <c r="D29" s="112" t="s">
        <v>195</v>
      </c>
      <c r="E29" s="51"/>
      <c r="F29" s="51"/>
      <c r="G29" s="113" t="s">
        <v>1197</v>
      </c>
      <c r="H29" s="16"/>
      <c r="I29" s="16"/>
    </row>
    <row r="30" spans="1:9" x14ac:dyDescent="0.25">
      <c r="A30" s="16"/>
      <c r="B30" s="110" t="s">
        <v>1214</v>
      </c>
      <c r="C30" s="111">
        <f>SUM('RETURNS + EXCHANGES'!$U$6:$U$65)</f>
      </c>
      <c r="D30" s="112" t="s">
        <v>140</v>
      </c>
      <c r="E30" s="51"/>
      <c r="F30" s="51"/>
      <c r="G30" s="113" t="s">
        <v>1197</v>
      </c>
      <c r="H30" s="16"/>
      <c r="I30" s="16"/>
    </row>
    <row r="31" spans="1:9" x14ac:dyDescent="0.25">
      <c r="A31" s="16"/>
      <c r="B31" s="110" t="s">
        <v>1215</v>
      </c>
      <c r="C31" s="111">
        <f>SUM('RETURNS + EXCHANGES'!$V$6:$V$65)</f>
      </c>
      <c r="D31" s="112" t="s">
        <v>140</v>
      </c>
      <c r="E31" s="51"/>
      <c r="F31" s="51"/>
      <c r="G31" s="113" t="s">
        <v>1209</v>
      </c>
      <c r="H31" s="16"/>
      <c r="I31" s="16"/>
    </row>
    <row r="32" spans="1:9" x14ac:dyDescent="0.25">
      <c r="A32" s="16"/>
      <c r="B32" s="110" t="s">
        <v>1216</v>
      </c>
      <c r="C32" s="111">
        <f>SUM('RETURNS + EXCHANGES'!$W$6:$W$65)</f>
      </c>
      <c r="D32" s="112" t="s">
        <v>140</v>
      </c>
      <c r="E32" s="51"/>
      <c r="F32" s="51"/>
      <c r="G32" s="113" t="s">
        <v>1217</v>
      </c>
      <c r="H32" s="16"/>
      <c r="I32" s="16"/>
    </row>
    <row r="33" spans="1:9" x14ac:dyDescent="0.25">
      <c r="A33" s="16"/>
      <c r="B33" s="110" t="s">
        <v>1218</v>
      </c>
      <c r="C33" s="111">
        <f>SUM('STOCKING STUFFERS'!$O$6:$O$155)</f>
      </c>
      <c r="D33" s="112" t="s">
        <v>349</v>
      </c>
      <c r="E33" s="51"/>
      <c r="F33" s="51"/>
      <c r="G33" s="113" t="s">
        <v>1197</v>
      </c>
      <c r="H33" s="16"/>
      <c r="I33" s="16"/>
    </row>
    <row r="34" spans="1:9" x14ac:dyDescent="0.25">
      <c r="A34" s="16"/>
      <c r="B34" s="110" t="s">
        <v>1219</v>
      </c>
      <c r="C34" s="111">
        <f>SUM('STOCKING STUFFERS'!$P$6:$P$155)</f>
      </c>
      <c r="D34" s="112" t="s">
        <v>349</v>
      </c>
      <c r="E34" s="51"/>
      <c r="F34" s="51"/>
      <c r="G34" s="113" t="s">
        <v>1200</v>
      </c>
      <c r="H34" s="16"/>
      <c r="I34" s="16"/>
    </row>
    <row r="35" spans="1:9" x14ac:dyDescent="0.25">
      <c r="A35" s="16"/>
      <c r="B35" s="110" t="s">
        <v>1220</v>
      </c>
      <c r="C35" s="111">
        <f>SUM('STOCKING STUFFERS'!$Q$6:$Q$155)</f>
      </c>
      <c r="D35" s="112" t="s">
        <v>349</v>
      </c>
      <c r="E35" s="51"/>
      <c r="F35" s="51"/>
      <c r="G35" s="113" t="s">
        <v>1202</v>
      </c>
      <c r="H35" s="16"/>
      <c r="I35" s="16"/>
    </row>
    <row r="36" spans="1:9" x14ac:dyDescent="0.25">
      <c r="A36" s="16"/>
      <c r="B36" s="110" t="s">
        <v>1221</v>
      </c>
      <c r="C36" s="111">
        <f>SUM('CHRISTMAS CALENDAR'!$U$6:$U$205)</f>
      </c>
      <c r="D36" s="112" t="s">
        <v>142</v>
      </c>
      <c r="E36" s="51"/>
      <c r="F36" s="51"/>
      <c r="G36" s="113" t="s">
        <v>1197</v>
      </c>
      <c r="H36" s="16"/>
      <c r="I36" s="16"/>
    </row>
    <row r="37" spans="1:9" x14ac:dyDescent="0.25">
      <c r="A37" s="16"/>
      <c r="B37" s="110" t="s">
        <v>1222</v>
      </c>
      <c r="C37" s="111">
        <f>SUM('CHRISTMAS CALENDAR'!$V$6:$V$205)</f>
      </c>
      <c r="D37" s="112" t="s">
        <v>142</v>
      </c>
      <c r="E37" s="51"/>
      <c r="F37" s="51"/>
      <c r="G37" s="113" t="s">
        <v>1200</v>
      </c>
      <c r="H37" s="16"/>
      <c r="I37" s="16"/>
    </row>
    <row r="38" spans="1:9" x14ac:dyDescent="0.25">
      <c r="A38" s="16"/>
      <c r="B38" s="110" t="s">
        <v>1223</v>
      </c>
      <c r="C38" s="111">
        <f>SUM('CLEANING + HOME PREP'!$L$6:$L$105)</f>
      </c>
      <c r="D38" s="112" t="s">
        <v>819</v>
      </c>
      <c r="E38" s="51"/>
      <c r="F38" s="51"/>
      <c r="G38" s="113" t="s">
        <v>1197</v>
      </c>
      <c r="H38" s="16"/>
      <c r="I38" s="16"/>
    </row>
    <row r="39" spans="1:9" x14ac:dyDescent="0.25">
      <c r="A39" s="16"/>
      <c r="B39" s="110" t="s">
        <v>1224</v>
      </c>
      <c r="C39" s="111">
        <f>SUM('DECOR INVENTORY'!$U$6:$U$105)</f>
      </c>
      <c r="D39" s="112" t="s">
        <v>483</v>
      </c>
      <c r="E39" s="51"/>
      <c r="F39" s="51"/>
      <c r="G39" s="113" t="s">
        <v>1197</v>
      </c>
      <c r="H39" s="16"/>
      <c r="I39" s="16"/>
    </row>
    <row r="40" spans="1:9" x14ac:dyDescent="0.25">
      <c r="A40" s="16"/>
      <c r="B40" s="110" t="s">
        <v>1225</v>
      </c>
      <c r="C40" s="111">
        <f>SUM('DECOR INVENTORY'!$V$6:$V$105)</f>
      </c>
      <c r="D40" s="112" t="s">
        <v>483</v>
      </c>
      <c r="E40" s="51"/>
      <c r="F40" s="51"/>
      <c r="G40" s="113" t="s">
        <v>1200</v>
      </c>
      <c r="H40" s="16"/>
      <c r="I40" s="16"/>
    </row>
    <row r="41" spans="1:9" x14ac:dyDescent="0.25">
      <c r="A41" s="16"/>
      <c r="B41" s="110" t="s">
        <v>1226</v>
      </c>
      <c r="C41" s="111">
        <f>SUM('DECORATING PLAN'!$Q$6:$Q$65)</f>
      </c>
      <c r="D41" s="112" t="s">
        <v>523</v>
      </c>
      <c r="E41" s="51"/>
      <c r="F41" s="51"/>
      <c r="G41" s="113" t="s">
        <v>1197</v>
      </c>
      <c r="H41" s="16"/>
      <c r="I41" s="16"/>
    </row>
    <row r="42" spans="1:9" x14ac:dyDescent="0.25">
      <c r="A42" s="16"/>
      <c r="B42" s="110" t="s">
        <v>1227</v>
      </c>
      <c r="C42" s="111">
        <f>SUM('DECORATING PLAN'!$R$6:$R$65)</f>
      </c>
      <c r="D42" s="112" t="s">
        <v>523</v>
      </c>
      <c r="E42" s="51"/>
      <c r="F42" s="51"/>
      <c r="G42" s="113" t="s">
        <v>1200</v>
      </c>
      <c r="H42" s="16"/>
      <c r="I42" s="16"/>
    </row>
    <row r="43" spans="1:9" x14ac:dyDescent="0.25">
      <c r="A43" s="16"/>
      <c r="B43" s="110" t="s">
        <v>1228</v>
      </c>
      <c r="C43" s="111">
        <f>SUM('TABLESCAPE + FLORALS'!$X$6:$X$65)</f>
      </c>
      <c r="D43" s="112" t="s">
        <v>544</v>
      </c>
      <c r="E43" s="51"/>
      <c r="F43" s="51"/>
      <c r="G43" s="113" t="s">
        <v>1197</v>
      </c>
      <c r="H43" s="16"/>
      <c r="I43" s="16"/>
    </row>
    <row r="44" spans="1:9" x14ac:dyDescent="0.25">
      <c r="A44" s="16"/>
      <c r="B44" s="110" t="s">
        <v>1229</v>
      </c>
      <c r="C44" s="111">
        <f>SUM('TABLESCAPE + FLORALS'!$Y$6:$Y$65)</f>
      </c>
      <c r="D44" s="112" t="s">
        <v>544</v>
      </c>
      <c r="E44" s="51"/>
      <c r="F44" s="51"/>
      <c r="G44" s="113" t="s">
        <v>1200</v>
      </c>
      <c r="H44" s="16"/>
      <c r="I44" s="16"/>
    </row>
    <row r="45" spans="1:9" x14ac:dyDescent="0.25">
      <c r="A45" s="16"/>
      <c r="B45" s="110" t="s">
        <v>1230</v>
      </c>
      <c r="C45" s="111">
        <f>SUM('TABLESCAPE + FLORALS'!$Z$6:$Z$65)</f>
      </c>
      <c r="D45" s="112" t="s">
        <v>544</v>
      </c>
      <c r="E45" s="51"/>
      <c r="F45" s="51"/>
      <c r="G45" s="113" t="s">
        <v>1231</v>
      </c>
      <c r="H45" s="16"/>
      <c r="I45" s="16"/>
    </row>
    <row r="46" spans="1:9" x14ac:dyDescent="0.25">
      <c r="A46" s="16"/>
      <c r="B46" s="110" t="s">
        <v>1232</v>
      </c>
      <c r="C46" s="111">
        <f>SUM('TRAVEL PLAN'!$T$6:$T$45)</f>
      </c>
      <c r="D46" s="112" t="s">
        <v>781</v>
      </c>
      <c r="E46" s="51"/>
      <c r="F46" s="51"/>
      <c r="G46" s="113" t="s">
        <v>1197</v>
      </c>
      <c r="H46" s="16"/>
      <c r="I46" s="16"/>
    </row>
    <row r="47" spans="1:9" x14ac:dyDescent="0.25">
      <c r="A47" s="16"/>
      <c r="B47" s="110" t="s">
        <v>1233</v>
      </c>
      <c r="C47" s="111">
        <f>SUM('TRAVEL PLAN'!$U$6:$U$45)</f>
      </c>
      <c r="D47" s="112" t="s">
        <v>781</v>
      </c>
      <c r="E47" s="51"/>
      <c r="F47" s="51"/>
      <c r="G47" s="113" t="s">
        <v>1200</v>
      </c>
      <c r="H47" s="16"/>
      <c r="I47" s="16"/>
    </row>
    <row r="48" spans="1:9" x14ac:dyDescent="0.25">
      <c r="A48" s="16"/>
      <c r="B48" s="110" t="s">
        <v>1234</v>
      </c>
      <c r="C48" s="111">
        <f>SUM('VENDORS + APPOINTMENTS'!$X$6:$X$65)</f>
      </c>
      <c r="D48" s="112" t="s">
        <v>440</v>
      </c>
      <c r="E48" s="51"/>
      <c r="F48" s="51"/>
      <c r="G48" s="113" t="s">
        <v>1197</v>
      </c>
      <c r="H48" s="16"/>
      <c r="I48" s="16"/>
    </row>
    <row r="49" spans="1:9" x14ac:dyDescent="0.25">
      <c r="A49" s="16"/>
      <c r="B49" s="110" t="s">
        <v>1235</v>
      </c>
      <c r="C49" s="111">
        <f>SUM('VENDORS + APPOINTMENTS'!$Y$6:$Y$65)</f>
      </c>
      <c r="D49" s="112" t="s">
        <v>440</v>
      </c>
      <c r="E49" s="51"/>
      <c r="F49" s="51"/>
      <c r="G49" s="113" t="s">
        <v>1200</v>
      </c>
      <c r="H49" s="16"/>
      <c r="I49" s="16"/>
    </row>
    <row r="50" spans="1:9" x14ac:dyDescent="0.25">
      <c r="A50" s="16"/>
      <c r="B50" s="110" t="s">
        <v>1236</v>
      </c>
      <c r="C50" s="111">
        <f>SUM('VENDORS + APPOINTMENTS'!$Z$6:$Z$65)</f>
      </c>
      <c r="D50" s="112" t="s">
        <v>440</v>
      </c>
      <c r="E50" s="51"/>
      <c r="F50" s="51"/>
      <c r="G50" s="113" t="s">
        <v>1231</v>
      </c>
      <c r="H50" s="16"/>
      <c r="I50" s="16"/>
    </row>
    <row r="51" spans="1:9" x14ac:dyDescent="0.25">
      <c r="A51" s="16"/>
      <c r="B51" s="110" t="s">
        <v>1237</v>
      </c>
      <c r="C51" s="111">
        <f>SUM('EVENTS + WARDROBE'!$T$6:$T$65)</f>
      </c>
      <c r="D51" s="112" t="s">
        <v>752</v>
      </c>
      <c r="E51" s="51"/>
      <c r="F51" s="51"/>
      <c r="G51" s="113" t="s">
        <v>1197</v>
      </c>
      <c r="H51" s="16"/>
      <c r="I51" s="16"/>
    </row>
    <row r="52" spans="1:9" x14ac:dyDescent="0.25">
      <c r="A52" s="16"/>
      <c r="B52" s="110" t="s">
        <v>1238</v>
      </c>
      <c r="C52" s="111">
        <f>SUM('EVENTS + WARDROBE'!$U$6:$U$65)</f>
      </c>
      <c r="D52" s="112" t="s">
        <v>752</v>
      </c>
      <c r="E52" s="51"/>
      <c r="F52" s="51"/>
      <c r="G52" s="113" t="s">
        <v>1200</v>
      </c>
      <c r="H52" s="16"/>
      <c r="I52" s="16"/>
    </row>
    <row r="53" spans="1:9" x14ac:dyDescent="0.25">
      <c r="A53" s="16"/>
      <c r="B53" s="110" t="s">
        <v>1239</v>
      </c>
      <c r="C53" s="111">
        <f>SUM('EVENTS + WARDROBE'!$V$6:$V$65)</f>
      </c>
      <c r="D53" s="112" t="s">
        <v>752</v>
      </c>
      <c r="E53" s="51"/>
      <c r="F53" s="51"/>
      <c r="G53" s="113" t="s">
        <v>1231</v>
      </c>
      <c r="H53" s="16"/>
      <c r="I53" s="16"/>
    </row>
    <row r="54" spans="1:9" x14ac:dyDescent="0.25">
      <c r="A54" s="16"/>
      <c r="B54" s="110" t="s">
        <v>1240</v>
      </c>
      <c r="C54" s="111">
        <f>SUM('GROCERY LIST'!$R$6:$R$205)</f>
      </c>
      <c r="D54" s="112" t="s">
        <v>144</v>
      </c>
      <c r="E54" s="51"/>
      <c r="F54" s="51"/>
      <c r="G54" s="113" t="s">
        <v>1197</v>
      </c>
      <c r="H54" s="16"/>
      <c r="I54" s="16"/>
    </row>
    <row r="55" spans="1:9" x14ac:dyDescent="0.25">
      <c r="A55" s="16"/>
      <c r="B55" s="110" t="s">
        <v>1241</v>
      </c>
      <c r="C55" s="111">
        <f>SUM('GROCERY LIST'!$S$6:$S$205)</f>
      </c>
      <c r="D55" s="112" t="s">
        <v>144</v>
      </c>
      <c r="E55" s="51"/>
      <c r="F55" s="51"/>
      <c r="G55" s="113" t="s">
        <v>1200</v>
      </c>
      <c r="H55" s="16"/>
      <c r="I55" s="16"/>
    </row>
    <row r="56" spans="1:9" x14ac:dyDescent="0.25">
      <c r="A56" s="16"/>
      <c r="B56" s="110" t="s">
        <v>1242</v>
      </c>
      <c r="C56" s="111">
        <f>SUM('GROCERY LIST'!$T$6:$T$205)</f>
      </c>
      <c r="D56" s="112" t="s">
        <v>144</v>
      </c>
      <c r="E56" s="51"/>
      <c r="F56" s="51"/>
      <c r="G56" s="113" t="s">
        <v>1243</v>
      </c>
      <c r="H56" s="16"/>
      <c r="I56" s="16"/>
    </row>
    <row r="57" spans="1:9" x14ac:dyDescent="0.25">
      <c r="A57" s="16"/>
      <c r="B57" s="110" t="s">
        <v>1244</v>
      </c>
      <c r="C57" s="111">
        <f>SUM('HOSTING + GUESTS'!$S$6:$S$105)</f>
      </c>
      <c r="D57" s="112" t="s">
        <v>667</v>
      </c>
      <c r="E57" s="51"/>
      <c r="F57" s="51"/>
      <c r="G57" s="113" t="s">
        <v>1197</v>
      </c>
      <c r="H57" s="16"/>
      <c r="I57" s="16"/>
    </row>
    <row r="58" spans="1:9" x14ac:dyDescent="0.25">
      <c r="A58" s="16"/>
      <c r="B58" s="110" t="s">
        <v>1245</v>
      </c>
      <c r="C58" s="111">
        <f>SUM('HOSTING + GUESTS'!$T$6:$T$105)</f>
      </c>
      <c r="D58" s="112" t="s">
        <v>667</v>
      </c>
      <c r="E58" s="51"/>
      <c r="F58" s="51"/>
      <c r="G58" s="113" t="s">
        <v>1202</v>
      </c>
      <c r="H58" s="16"/>
      <c r="I58" s="16"/>
    </row>
    <row r="59" spans="1:9" x14ac:dyDescent="0.25">
      <c r="A59" s="16"/>
      <c r="B59" s="110" t="s">
        <v>1246</v>
      </c>
      <c r="C59" s="111">
        <f>SUM('HOSTING + GUESTS'!$U$6:$U$105)</f>
      </c>
      <c r="D59" s="112" t="s">
        <v>667</v>
      </c>
      <c r="E59" s="51"/>
      <c r="F59" s="51"/>
      <c r="G59" s="113" t="s">
        <v>1231</v>
      </c>
      <c r="H59" s="16"/>
      <c r="I59" s="16"/>
    </row>
    <row r="60" spans="1:9" x14ac:dyDescent="0.25">
      <c r="A60" s="16"/>
      <c r="B60" s="110" t="s">
        <v>1247</v>
      </c>
      <c r="C60" s="111">
        <f>SUM('MEAL + BAKING PLAN'!$U$6:$U$155)</f>
      </c>
      <c r="D60" s="112" t="s">
        <v>584</v>
      </c>
      <c r="E60" s="51"/>
      <c r="F60" s="51"/>
      <c r="G60" s="113" t="s">
        <v>1197</v>
      </c>
      <c r="H60" s="16"/>
      <c r="I60" s="16"/>
    </row>
    <row r="61" spans="1:9" x14ac:dyDescent="0.25">
      <c r="A61" s="16"/>
      <c r="B61" s="110" t="s">
        <v>1248</v>
      </c>
      <c r="C61" s="111">
        <f>SUM('MEAL + BAKING PLAN'!$V$6:$V$155)</f>
      </c>
      <c r="D61" s="112" t="s">
        <v>584</v>
      </c>
      <c r="E61" s="51"/>
      <c r="F61" s="51"/>
      <c r="G61" s="113" t="s">
        <v>1200</v>
      </c>
      <c r="H61" s="16"/>
      <c r="I61" s="16"/>
    </row>
    <row r="62" spans="1:9" x14ac:dyDescent="0.25">
      <c r="A62" s="16"/>
      <c r="B62" s="110" t="s">
        <v>1249</v>
      </c>
      <c r="C62" s="111">
        <f>SUM('MEAL + BAKING PLAN'!$W$6:$W$155)</f>
      </c>
      <c r="D62" s="112" t="s">
        <v>584</v>
      </c>
      <c r="E62" s="51"/>
      <c r="F62" s="51"/>
      <c r="G62" s="113" t="s">
        <v>1243</v>
      </c>
      <c r="H62" s="16"/>
      <c r="I62" s="16"/>
    </row>
    <row r="63" spans="1:9" x14ac:dyDescent="0.25">
      <c r="A63" s="16"/>
      <c r="B63" s="110" t="s">
        <v>1250</v>
      </c>
      <c r="C63" s="111">
        <f>SUM('RECIPE INDEX'!$N$6:$N$105)</f>
      </c>
      <c r="D63" s="112" t="s">
        <v>643</v>
      </c>
      <c r="E63" s="51"/>
      <c r="F63" s="51"/>
      <c r="G63" s="113" t="s">
        <v>1197</v>
      </c>
      <c r="H63" s="16"/>
      <c r="I63" s="16"/>
    </row>
    <row r="64" spans="1:9" x14ac:dyDescent="0.25">
      <c r="A64" s="16"/>
      <c r="B64" s="110" t="s">
        <v>1251</v>
      </c>
      <c r="C64" s="111">
        <f>SUM('ADVENT + REFLECTION'!$J$6:$J$36)</f>
      </c>
      <c r="D64" s="112" t="s">
        <v>858</v>
      </c>
      <c r="E64" s="51"/>
      <c r="F64" s="51"/>
      <c r="G64" s="113" t="s">
        <v>1197</v>
      </c>
      <c r="H64" s="16"/>
      <c r="I64" s="16"/>
    </row>
    <row r="65" spans="1:9" x14ac:dyDescent="0.25">
      <c r="A65" s="16"/>
      <c r="B65" s="110" t="s">
        <v>1252</v>
      </c>
      <c r="C65" s="111">
        <f>SUM('ANNUAL ARCHIVE'!$K$6:$K$25)</f>
      </c>
      <c r="D65" s="112" t="s">
        <v>912</v>
      </c>
      <c r="E65" s="51"/>
      <c r="F65" s="51"/>
      <c r="G65" s="113" t="s">
        <v>1197</v>
      </c>
      <c r="H65" s="16"/>
      <c r="I65" s="16"/>
    </row>
    <row r="66" spans="1:9" x14ac:dyDescent="0.25">
      <c r="A66" s="16"/>
      <c r="B66" s="110" t="s">
        <v>1253</v>
      </c>
      <c r="C66" s="111">
        <f>SUM('MOVIES + MUSIC'!$K$6:$K$85)</f>
      </c>
      <c r="D66" s="112" t="s">
        <v>720</v>
      </c>
      <c r="E66" s="51"/>
      <c r="F66" s="51"/>
      <c r="G66" s="113" t="s">
        <v>1197</v>
      </c>
      <c r="H66" s="16"/>
      <c r="I66" s="16"/>
    </row>
    <row r="67" spans="1:9" x14ac:dyDescent="0.25">
      <c r="A67" s="16"/>
      <c r="B67" s="110" t="s">
        <v>1254</v>
      </c>
      <c r="C67" s="111">
        <f>SUM(MEMORIES!$L$6:$L$105)</f>
      </c>
      <c r="D67" s="112" t="s">
        <v>871</v>
      </c>
      <c r="E67" s="51"/>
      <c r="F67" s="51"/>
      <c r="G67" s="113" t="s">
        <v>1197</v>
      </c>
      <c r="H67" s="16"/>
      <c r="I67" s="16"/>
    </row>
    <row r="68" spans="1:9" x14ac:dyDescent="0.25">
      <c r="A68" s="16"/>
      <c r="B68" s="110" t="s">
        <v>1255</v>
      </c>
      <c r="C68" s="111">
        <f>SUM('NEXT YEAR NOTES'!$J$6:$J$105)</f>
      </c>
      <c r="D68" s="112" t="s">
        <v>890</v>
      </c>
      <c r="E68" s="51"/>
      <c r="F68" s="51"/>
      <c r="G68" s="113" t="s">
        <v>1197</v>
      </c>
      <c r="H68" s="16"/>
      <c r="I68" s="16"/>
    </row>
    <row r="69" spans="1:9" x14ac:dyDescent="0.25">
      <c r="A69" s="16"/>
      <c r="B69" s="110" t="s">
        <v>1256</v>
      </c>
      <c r="C69" s="111">
        <f>SUM('TRADITIONS + BUCKET LIST'!$R$6:$R$85)</f>
      </c>
      <c r="D69" s="112" t="s">
        <v>697</v>
      </c>
      <c r="E69" s="51"/>
      <c r="F69" s="51"/>
      <c r="G69" s="113" t="s">
        <v>1197</v>
      </c>
      <c r="H69" s="16"/>
      <c r="I69" s="16"/>
    </row>
    <row r="70" spans="1:9" x14ac:dyDescent="0.25">
      <c r="A70" s="16"/>
      <c r="B70" s="110" t="s">
        <v>1257</v>
      </c>
      <c r="C70" s="111">
        <f>SUM('TRADITIONS + BUCKET LIST'!$S$6:$S$85)</f>
      </c>
      <c r="D70" s="112" t="s">
        <v>697</v>
      </c>
      <c r="E70" s="51"/>
      <c r="F70" s="51"/>
      <c r="G70" s="113" t="s">
        <v>1200</v>
      </c>
      <c r="H70" s="16"/>
      <c r="I70" s="16"/>
    </row>
    <row r="71" spans="1:9" x14ac:dyDescent="0.25">
      <c r="A71" s="16"/>
      <c r="B71" s="110" t="s">
        <v>1258</v>
      </c>
      <c r="C71" s="111">
        <f>SUM('SEASON VISION'!$I$15:$I$38)</f>
      </c>
      <c r="D71" s="112" t="s">
        <v>158</v>
      </c>
      <c r="E71" s="51"/>
      <c r="F71" s="51"/>
      <c r="G71" s="113" t="s">
        <v>1197</v>
      </c>
      <c r="H71" s="16"/>
      <c r="I71" s="16"/>
    </row>
    <row r="72" spans="1:9" x14ac:dyDescent="0.25">
      <c r="A72" s="16"/>
      <c r="B72" s="16"/>
      <c r="C72" s="16"/>
      <c r="D72" s="16"/>
      <c r="E72" s="16"/>
      <c r="F72" s="16"/>
      <c r="G72" s="16"/>
      <c r="H72" s="16"/>
      <c r="I72" s="16"/>
    </row>
    <row r="73" spans="1:9" x14ac:dyDescent="0.25">
      <c r="A73" s="16"/>
      <c r="B73" s="16"/>
      <c r="C73" s="16"/>
      <c r="D73" s="16"/>
      <c r="E73" s="16"/>
      <c r="F73" s="16"/>
      <c r="G73" s="16"/>
      <c r="H73" s="16"/>
      <c r="I73" s="16"/>
    </row>
    <row r="74" spans="1:9" x14ac:dyDescent="0.25">
      <c r="A74" s="16"/>
      <c r="B74" s="17" t="s">
        <v>1259</v>
      </c>
      <c r="C74" s="18"/>
      <c r="D74" s="18"/>
      <c r="E74" s="18"/>
      <c r="F74" s="18"/>
      <c r="G74" s="18"/>
      <c r="H74" s="18"/>
      <c r="I74" s="18"/>
    </row>
    <row r="75" spans="1:9" x14ac:dyDescent="0.25">
      <c r="A75" s="16"/>
      <c r="B75" s="16"/>
      <c r="C75" s="16"/>
      <c r="D75" s="16"/>
      <c r="E75" s="16"/>
      <c r="F75" s="16"/>
      <c r="G75" s="16"/>
      <c r="H75" s="16"/>
      <c r="I75" s="16"/>
    </row>
    <row r="76" spans="1:9" x14ac:dyDescent="0.25">
      <c r="A76" s="16"/>
      <c r="B76" s="110" t="s">
        <v>1260</v>
      </c>
      <c r="C76" s="111">
        <f>SUMPRODUCT(('MASTER BUDGET'!$D$6:$D$25&lt;&gt;"")*(COUNTIF('MASTER BUDGET'!$D$6:$D$25,'MASTER BUDGET'!$D$6:$D$25&amp;"")&gt;1))</f>
      </c>
      <c r="D76" s="112" t="s">
        <v>123</v>
      </c>
      <c r="E76" s="51"/>
      <c r="F76" s="51"/>
      <c r="G76" s="113" t="s">
        <v>1261</v>
      </c>
      <c r="H76" s="16"/>
      <c r="I76" s="16"/>
    </row>
    <row r="77" spans="1:9" x14ac:dyDescent="0.25">
      <c r="A77" s="16"/>
      <c r="B77" s="110" t="s">
        <v>1262</v>
      </c>
      <c r="C77" s="111">
        <f>COUNTIFS('GIFT PLANNER'!$B$6:$B$205,"?*",'GIFT PLANNER'!$C$6:$C$205,"",'GIFT PLANNER'!$Q$6:$Q$205,"&gt;0")</f>
      </c>
      <c r="D77" s="112" t="s">
        <v>128</v>
      </c>
      <c r="E77" s="51"/>
      <c r="F77" s="51"/>
      <c r="G77" s="113" t="s">
        <v>1263</v>
      </c>
      <c r="H77" s="16"/>
      <c r="I77" s="16"/>
    </row>
    <row r="78" spans="1:9" x14ac:dyDescent="0.25">
      <c r="A78" s="16"/>
      <c r="B78" s="110" t="s">
        <v>1264</v>
      </c>
      <c r="C78" s="111">
        <f>COUNTIFS('GIFT PLANNER'!$S$6:$S$205,"Purchased",'GIFT PLANNER'!$R$6:$R$205,"")</f>
      </c>
      <c r="D78" s="112" t="s">
        <v>128</v>
      </c>
      <c r="E78" s="51"/>
      <c r="F78" s="51"/>
      <c r="G78" s="113" t="s">
        <v>1265</v>
      </c>
      <c r="H78" s="16"/>
      <c r="I78" s="16"/>
    </row>
    <row r="79" spans="1:9" x14ac:dyDescent="0.25">
      <c r="A79" s="16"/>
      <c r="B79" s="110" t="s">
        <v>1266</v>
      </c>
      <c r="C79" s="111">
        <f>COUNTIFS('PEOPLE + BUDGETS'!$B$6:$B$105,"?*",'PEOPLE + BUDGETS'!$C$6:$C$105,"",'PEOPLE + BUDGETS'!$G$6:$G$105,"&gt;0")</f>
      </c>
      <c r="D79" s="112" t="s">
        <v>248</v>
      </c>
      <c r="E79" s="51"/>
      <c r="F79" s="51"/>
      <c r="G79" s="113" t="s">
        <v>1267</v>
      </c>
      <c r="H79" s="16"/>
      <c r="I79" s="16"/>
    </row>
    <row r="80" spans="1:9" x14ac:dyDescent="0.25">
      <c r="A80" s="16"/>
      <c r="B80" s="110" t="s">
        <v>1268</v>
      </c>
      <c r="C80" s="111">
        <f>COUNTIFS('CHRISTMAS CALENDAR'!$B$6:$B$205,"?*",'CHRISTMAS CALENDAR'!$C$6:$C$205,"")</f>
      </c>
      <c r="D80" s="112" t="s">
        <v>142</v>
      </c>
      <c r="E80" s="51"/>
      <c r="F80" s="51"/>
      <c r="G80" s="113" t="s">
        <v>1269</v>
      </c>
      <c r="H80" s="16"/>
      <c r="I80" s="16"/>
    </row>
    <row r="81" spans="1:9" x14ac:dyDescent="0.25">
      <c r="A81" s="16"/>
      <c r="B81" s="110" t="s">
        <v>1270</v>
      </c>
      <c r="C81" s="111">
        <f>COUNTIF('ONLINE ORDERS'!$R$6:$R$155,"MISSING DATE")</f>
      </c>
      <c r="D81" s="112" t="s">
        <v>133</v>
      </c>
      <c r="E81" s="51"/>
      <c r="F81" s="51"/>
      <c r="G81" s="113" t="s">
        <v>1271</v>
      </c>
      <c r="H81" s="16"/>
      <c r="I81" s="16"/>
    </row>
    <row r="82" spans="1:9" x14ac:dyDescent="0.25">
      <c r="A82" s="16"/>
      <c r="B82" s="110" t="s">
        <v>1272</v>
      </c>
      <c r="C82" s="111">
        <f>COUNTIFS('RETURNS + EXCHANGES'!$P$6:$P$65,"Yes",'RETURNS + EXCHANGES'!$Q$6:$Q$65,"",'RETURNS + EXCHANGES'!$O$6:$O$65,"")</f>
      </c>
      <c r="D82" s="112" t="s">
        <v>140</v>
      </c>
      <c r="E82" s="51"/>
      <c r="F82" s="51"/>
      <c r="G82" s="113" t="s">
        <v>1273</v>
      </c>
      <c r="H82" s="16"/>
      <c r="I82" s="16"/>
    </row>
    <row r="83" spans="1:9" x14ac:dyDescent="0.25">
      <c r="A83" s="16"/>
      <c r="B83" s="110" t="s">
        <v>1274</v>
      </c>
      <c r="C83" s="111">
        <f>COUNTIF('GIFT PLANNER'!$AE$6:$AE$205,"CHECK DUPLICATE")</f>
      </c>
      <c r="D83" s="112" t="s">
        <v>128</v>
      </c>
      <c r="E83" s="51"/>
      <c r="F83" s="51"/>
      <c r="G83" s="113" t="s">
        <v>1275</v>
      </c>
      <c r="H83" s="16"/>
      <c r="I83" s="16"/>
    </row>
    <row r="84" spans="1:9" x14ac:dyDescent="0.25">
      <c r="A84" s="16"/>
      <c r="B84" s="16"/>
      <c r="C84" s="16"/>
      <c r="D84" s="16"/>
      <c r="E84" s="16"/>
      <c r="F84" s="16"/>
      <c r="G84" s="16"/>
      <c r="H84" s="16"/>
      <c r="I84" s="16"/>
    </row>
    <row r="85" spans="1:9" x14ac:dyDescent="0.25">
      <c r="A85" s="16"/>
      <c r="B85" s="16"/>
      <c r="C85" s="16"/>
      <c r="D85" s="16"/>
      <c r="E85" s="16"/>
      <c r="F85" s="16"/>
      <c r="G85" s="16"/>
      <c r="H85" s="16"/>
      <c r="I85" s="16"/>
    </row>
    <row r="86" spans="1:9" x14ac:dyDescent="0.25">
      <c r="A86" s="16"/>
      <c r="B86" s="17" t="s">
        <v>1276</v>
      </c>
      <c r="C86" s="18"/>
      <c r="D86" s="18"/>
      <c r="E86" s="18"/>
      <c r="F86" s="18"/>
      <c r="G86" s="18"/>
      <c r="H86" s="18"/>
      <c r="I86" s="18"/>
    </row>
    <row r="87" spans="1:9" x14ac:dyDescent="0.25">
      <c r="A87" s="16"/>
      <c r="B87" s="16"/>
      <c r="C87" s="16"/>
      <c r="D87" s="16"/>
      <c r="E87" s="16"/>
      <c r="F87" s="16"/>
      <c r="G87" s="16"/>
      <c r="H87" s="16"/>
      <c r="I87" s="16"/>
    </row>
    <row r="88" ht="26" customHeight="1" spans="1:9" x14ac:dyDescent="0.25">
      <c r="A88" s="16"/>
      <c r="B88" s="114" t="s">
        <v>1277</v>
      </c>
      <c r="C88" s="115">
        <f>SUMPRODUCT(--ISERROR('MASTER BUDGET'!$F$6:$F$25))+SUMPRODUCT(--ISERROR('MASTER BUDGET'!$G$6:$G$25))+SUMPRODUCT(--ISERROR('MASTER BUDGET'!$J$6:$J$25))+SUMPRODUCT(--ISERROR('PEOPLE + BUDGETS'!$L$6:$L$105))+SUMPRODUCT(--ISERROR('PEOPLE + BUDGETS'!$N$6:$N$105))+SUMPRODUCT(--ISERROR('GIFT PLANNER'!$Q$6:$Q$205))+SUMPRODUCT(--ISERROR('GIFT PLANNER'!$E$6:$E$205))+SUMPRODUCT(--ISERROR('GIFT PLANNER'!$W$6:$W$205))+SUMPRODUCT(--ISERROR('ONLINE ORDERS'!$R$6:$R$155))+SUMPRODUCT(--ISERROR('RETURNS + EXCHANGES'!$R$6:$R$65))+SUMPRODUCT(--ISERROR('CHRISTMAS CALENDAR'!$R$6:$R$205))</f>
      </c>
      <c r="D88" s="16"/>
      <c r="E88" s="16"/>
      <c r="F88" s="16"/>
      <c r="G88" s="27" t="s">
        <v>1278</v>
      </c>
      <c r="H88" s="16"/>
      <c r="I88" s="16"/>
    </row>
    <row r="89" spans="1:9" x14ac:dyDescent="0.25">
      <c r="A89" s="16"/>
      <c r="B89" s="16"/>
      <c r="C89" s="16"/>
      <c r="D89" s="16"/>
      <c r="E89" s="16"/>
      <c r="F89" s="16"/>
      <c r="G89" s="16"/>
      <c r="H89" s="16"/>
      <c r="I89" s="16"/>
    </row>
    <row r="90" spans="1:9" x14ac:dyDescent="0.25">
      <c r="A90" s="16"/>
      <c r="B90" s="16"/>
      <c r="C90" s="16"/>
      <c r="D90" s="16"/>
      <c r="E90" s="16"/>
      <c r="F90" s="16"/>
      <c r="G90" s="16"/>
      <c r="H90" s="16"/>
      <c r="I90" s="16"/>
    </row>
    <row r="91" ht="30" customHeight="1" spans="1:9" x14ac:dyDescent="0.25">
      <c r="A91" s="16"/>
      <c r="B91" s="116" t="s">
        <v>1279</v>
      </c>
      <c r="C91" s="117">
        <f>IF(ABS(E9)&lt;0.005,0,1)+IF(ABS(E10)&lt;0.005,0,1)+C16+C17+C18+C19+C20+C21+C22+C23+C24+C25+C26+C27+C28+C29+C30+C31+C32+C33+C34+C35+C36+C37+C38+C39+C40+C41+C42+C43+C44+C45+C46+C47+C48+C49+C50+C51+C52+C53+C54+C55+C56+C57+C58+C59+C60+C61+C62+C63+C64+C65+C66+C67+C68+C69+C70+C71+C76+C77+C78+C79+C80+C81+C82+C83+C88</f>
      </c>
      <c r="D91" s="16"/>
      <c r="E91" s="16"/>
      <c r="F91" s="16"/>
      <c r="G91" s="21" t="s">
        <v>1280</v>
      </c>
      <c r="H91" s="16"/>
      <c r="I91" s="16"/>
    </row>
    <row r="92" spans="1:9" x14ac:dyDescent="0.25">
      <c r="A92" s="16"/>
      <c r="B92" s="16"/>
      <c r="C92" s="16"/>
      <c r="D92" s="16"/>
      <c r="E92" s="16"/>
      <c r="F92" s="16"/>
      <c r="G92" s="16"/>
      <c r="H92" s="16"/>
      <c r="I92" s="16"/>
    </row>
    <row r="93" spans="1:9" x14ac:dyDescent="0.25">
      <c r="A93" s="16"/>
      <c r="B93" s="16"/>
      <c r="C93" s="16"/>
      <c r="D93" s="16"/>
      <c r="E93" s="16"/>
      <c r="F93" s="16"/>
      <c r="G93" s="16"/>
      <c r="H93" s="16"/>
      <c r="I93" s="16"/>
    </row>
  </sheetData>
  <hyperlinks>
    <hyperlink ref="B1" r:id="rId1" location="#'DASHBOARD'!A1"/>
    <hyperlink ref="C1" r:id="rId2" location="#'START HERE'!A1"/>
    <hyperlink ref="D1" r:id="rId3" location="#'CHRISTMAS CALENDAR'!A1"/>
    <hyperlink ref="E1" r:id="rId4" location="#'MASTER BUDGET'!A1"/>
    <hyperlink ref="F1" r:id="rId5" location="#'SHEET INDEX'!A1"/>
    <hyperlink ref="D16" r:id="rId6" location="#'MASTER BUDGET'!A1"/>
    <hyperlink ref="D17" r:id="rId7" location="#'CARDS + MAIL'!A1"/>
    <hyperlink ref="D18" r:id="rId8" location="#'CARDS + MAIL'!A1"/>
    <hyperlink ref="D19" r:id="rId9" location="#'CARDS + MAIL'!A1"/>
    <hyperlink ref="D20" r:id="rId10" location="#'DONATIONS + GIVING'!A1"/>
    <hyperlink ref="D21" r:id="rId11" location="#'DONATIONS + GIVING'!A1"/>
    <hyperlink ref="D22" r:id="rId12" location="#'GIFT PLANNER'!A1"/>
    <hyperlink ref="D23" r:id="rId13" location="#'GIFT PLANNER'!A1"/>
    <hyperlink ref="D24" r:id="rId14" location="#'GIFT PLANNER'!A1"/>
    <hyperlink ref="D25" r:id="rId15" location="#'GIFT PLANNER'!A1"/>
    <hyperlink ref="D26" r:id="rId16" location="#'ONLINE ORDERS'!A1"/>
    <hyperlink ref="D27" r:id="rId17" location="#'ONLINE ORDERS'!A1"/>
    <hyperlink ref="D28" r:id="rId18" location="#'PEOPLE + BUDGETS'!A1"/>
    <hyperlink ref="D29" r:id="rId19" location="#'RECIPIENT PROFILES'!A1"/>
    <hyperlink ref="D30" r:id="rId20" location="#'RETURNS + EXCHANGES'!A1"/>
    <hyperlink ref="D31" r:id="rId21" location="#'RETURNS + EXCHANGES'!A1"/>
    <hyperlink ref="D32" r:id="rId22" location="#'RETURNS + EXCHANGES'!A1"/>
    <hyperlink ref="D33" r:id="rId23" location="#'STOCKING STUFFERS'!A1"/>
    <hyperlink ref="D34" r:id="rId24" location="#'STOCKING STUFFERS'!A1"/>
    <hyperlink ref="D35" r:id="rId25" location="#'STOCKING STUFFERS'!A1"/>
    <hyperlink ref="D36" r:id="rId26" location="#'CHRISTMAS CALENDAR'!A1"/>
    <hyperlink ref="D37" r:id="rId27" location="#'CHRISTMAS CALENDAR'!A1"/>
    <hyperlink ref="D38" r:id="rId28" location="#'CLEANING + HOME PREP'!A1"/>
    <hyperlink ref="D39" r:id="rId29" location="#'DECOR INVENTORY'!A1"/>
    <hyperlink ref="D40" r:id="rId30" location="#'DECOR INVENTORY'!A1"/>
    <hyperlink ref="D41" r:id="rId31" location="#'DECORATING PLAN'!A1"/>
    <hyperlink ref="D42" r:id="rId32" location="#'DECORATING PLAN'!A1"/>
    <hyperlink ref="D43" r:id="rId33" location="#'TABLESCAPE + FLORALS'!A1"/>
    <hyperlink ref="D44" r:id="rId34" location="#'TABLESCAPE + FLORALS'!A1"/>
    <hyperlink ref="D45" r:id="rId35" location="#'TABLESCAPE + FLORALS'!A1"/>
    <hyperlink ref="D46" r:id="rId36" location="#'TRAVEL PLAN'!A1"/>
    <hyperlink ref="D47" r:id="rId37" location="#'TRAVEL PLAN'!A1"/>
    <hyperlink ref="D48" r:id="rId38" location="#'VENDORS + APPOINTMENTS'!A1"/>
    <hyperlink ref="D49" r:id="rId39" location="#'VENDORS + APPOINTMENTS'!A1"/>
    <hyperlink ref="D50" r:id="rId40" location="#'VENDORS + APPOINTMENTS'!A1"/>
    <hyperlink ref="D51" r:id="rId41" location="#'EVENTS + WARDROBE'!A1"/>
    <hyperlink ref="D52" r:id="rId42" location="#'EVENTS + WARDROBE'!A1"/>
    <hyperlink ref="D53" r:id="rId43" location="#'EVENTS + WARDROBE'!A1"/>
    <hyperlink ref="D54" r:id="rId44" location="#'GROCERY LIST'!A1"/>
    <hyperlink ref="D55" r:id="rId45" location="#'GROCERY LIST'!A1"/>
    <hyperlink ref="D56" r:id="rId46" location="#'GROCERY LIST'!A1"/>
    <hyperlink ref="D57" r:id="rId47" location="#'HOSTING + GUESTS'!A1"/>
    <hyperlink ref="D58" r:id="rId48" location="#'HOSTING + GUESTS'!A1"/>
    <hyperlink ref="D59" r:id="rId49" location="#'HOSTING + GUESTS'!A1"/>
    <hyperlink ref="D60" r:id="rId50" location="#'MEAL + BAKING PLAN'!A1"/>
    <hyperlink ref="D61" r:id="rId51" location="#'MEAL + BAKING PLAN'!A1"/>
    <hyperlink ref="D62" r:id="rId52" location="#'MEAL + BAKING PLAN'!A1"/>
    <hyperlink ref="D63" r:id="rId53" location="#'RECIPE INDEX'!A1"/>
    <hyperlink ref="D64" r:id="rId54" location="#'ADVENT + REFLECTION'!A1"/>
    <hyperlink ref="D65" r:id="rId55" location="#'ANNUAL ARCHIVE'!A1"/>
    <hyperlink ref="D66" r:id="rId56" location="#'MOVIES + MUSIC'!A1"/>
    <hyperlink ref="D67" r:id="rId57" location="#'MEMORIES'!A1"/>
    <hyperlink ref="D68" r:id="rId58" location="#'NEXT YEAR NOTES'!A1"/>
    <hyperlink ref="D69" r:id="rId59" location="#'TRADITIONS + BUCKET LIST'!A1"/>
    <hyperlink ref="D70" r:id="rId60" location="#'TRADITIONS + BUCKET LIST'!A1"/>
    <hyperlink ref="D71" r:id="rId61" location="#'SEASON VISION'!A1"/>
    <hyperlink ref="D76" r:id="rId62" location="#'MASTER BUDGET'!A1"/>
    <hyperlink ref="D77" r:id="rId63" location="#'GIFT PLANNER'!A1"/>
    <hyperlink ref="D78" r:id="rId64" location="#'GIFT PLANNER'!A1"/>
    <hyperlink ref="D79" r:id="rId65" location="#'PEOPLE + BUDGETS'!A1"/>
    <hyperlink ref="D80" r:id="rId66" location="#'CHRISTMAS CALENDAR'!A1"/>
    <hyperlink ref="D81" r:id="rId67" location="#'ONLINE ORDERS'!A1"/>
    <hyperlink ref="D82" r:id="rId68" location="#'RETURNS + EXCHANGES'!A1"/>
    <hyperlink ref="D83" r:id="rId69" location="#'GIFT PLANNER'!A1"/>
  </hyperlinks>
  <pageMargins left="0.4" right="0.4" top="0.6" bottom="0.6" header="0.3" footer="0.3"/>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COVER</vt:lpstr>
      <vt:lpstr>START HERE</vt:lpstr>
      <vt:lpstr>SETTINGS</vt:lpstr>
      <vt:lpstr>DASHBOARD</vt:lpstr>
      <vt:lpstr>SEASON VISION</vt:lpstr>
      <vt:lpstr>RECIPIENT PROFILES</vt:lpstr>
      <vt:lpstr>PEOPLE + BUDGETS</vt:lpstr>
      <vt:lpstr>MASTER BUDGET</vt:lpstr>
      <vt:lpstr>GIFT PLANNER</vt:lpstr>
      <vt:lpstr>STOCKING STUFFERS</vt:lpstr>
      <vt:lpstr>ONLINE ORDERS</vt:lpstr>
      <vt:lpstr>RETURNS + EXCHANGES</vt:lpstr>
      <vt:lpstr>CHRISTMAS CALENDAR</vt:lpstr>
      <vt:lpstr>VENDORS + APPOINTMENTS</vt:lpstr>
      <vt:lpstr>DECOR INVENTORY</vt:lpstr>
      <vt:lpstr>DECORATING PLAN</vt:lpstr>
      <vt:lpstr>TABLESCAPE + FLORALS</vt:lpstr>
      <vt:lpstr>MEAL + BAKING PLAN</vt:lpstr>
      <vt:lpstr>GROCERY LIST</vt:lpstr>
      <vt:lpstr>RECIPE INDEX</vt:lpstr>
      <vt:lpstr>HOSTING + GUESTS</vt:lpstr>
      <vt:lpstr>TRADITIONS + BUCKET LIST</vt:lpstr>
      <vt:lpstr>MOVIES + MUSIC</vt:lpstr>
      <vt:lpstr>CARDS + MAIL</vt:lpstr>
      <vt:lpstr>EVENTS + WARDROBE</vt:lpstr>
      <vt:lpstr>TRAVEL PLAN</vt:lpstr>
      <vt:lpstr>CLEANING + HOME PREP</vt:lpstr>
      <vt:lpstr>DONATIONS + GIVING</vt:lpstr>
      <vt:lpstr>ADVENT + REFLECTION</vt:lpstr>
      <vt:lpstr>MEMORIES</vt:lpstr>
      <vt:lpstr>NEXT YEAR NOTES</vt:lpstr>
      <vt:lpstr>ANNUAL ARCHIVE</vt:lpstr>
      <vt:lpstr>SHEET INDEX</vt:lpstr>
      <vt:lpstr>LISTS</vt:lpstr>
      <vt:lpstr>QUALITY CHECK</vt:lpstr>
    </vt:vector>
  </TitlesOfParts>
  <Company>[SELLER BRAND]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 BRAND]</dc:creator>
  <dc:title>The Christmas Season Master Command Center</dc:title>
  <dc:subject>Christmas planning workbook</dc:subject>
  <dc:description>Curate every exquisite detail in one private Christmas atelier. Google Sheets edition, edition 1.0.</dc:description>
  <cp:keywords>Christmas planner, gift tracker, holiday budget, hosting planner, Excel, Google Sheets</cp:keywords>
  <cp:category>Planner</cp:category>
  <cp:lastModifiedBy>[SELLER BRAND]</cp:lastModifiedBy>
  <dcterms:created xsi:type="dcterms:W3CDTF">2026-08-27T02:05:50Z</dcterms:created>
  <dcterms:modified xsi:type="dcterms:W3CDTF">2026-08-27T02:05:50Z</dcterms:modified>
</cp:coreProperties>
</file>